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E765E1C7-37AD-4314-A7F8-C814D457FEE6}" xr6:coauthVersionLast="47" xr6:coauthVersionMax="47" xr10:uidLastSave="{00000000-0000-0000-0000-000000000000}"/>
  <bookViews>
    <workbookView xWindow="-96" yWindow="0" windowWidth="11712" windowHeight="12336" xr2:uid="{98C7D27B-DD95-4A74-97D9-5D662041684A}"/>
  </bookViews>
  <sheets>
    <sheet name="Hoja1" sheetId="1" r:id="rId1"/>
  </sheets>
  <definedNames>
    <definedName name="_xlnm._FilterDatabase" localSheetId="0" hidden="1">Hoja1!$A$4:$V$12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1" l="1"/>
  <c r="G107" i="1"/>
  <c r="H107" i="1"/>
  <c r="I107" i="1"/>
  <c r="J107" i="1"/>
  <c r="S107" i="1"/>
  <c r="T107" i="1"/>
  <c r="U107" i="1"/>
  <c r="V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lardila</author>
  </authors>
  <commentList>
    <comment ref="C4" authorId="0" shapeId="0" xr:uid="{564FA828-A472-4FDF-9577-654043119DBD}">
      <text>
        <r>
          <rPr>
            <sz val="9"/>
            <color indexed="81"/>
            <rFont val="Tahoma"/>
            <family val="2"/>
          </rPr>
          <t xml:space="preserve">Comercializador actual del cliente.
</t>
        </r>
      </text>
    </comment>
  </commentList>
</comments>
</file>

<file path=xl/sharedStrings.xml><?xml version="1.0" encoding="utf-8"?>
<sst xmlns="http://schemas.openxmlformats.org/spreadsheetml/2006/main" count="327" uniqueCount="226">
  <si>
    <t xml:space="preserve"> REFERIDO A NIVEL USUARIO</t>
  </si>
  <si>
    <t>NOMBRE DE LA FRONTERA</t>
  </si>
  <si>
    <t>CODIGO SIC</t>
  </si>
  <si>
    <t>COMERCIALIZADOR</t>
  </si>
  <si>
    <t>DEFINITIVO</t>
  </si>
  <si>
    <t>AENC</t>
  </si>
  <si>
    <t>Diferencia</t>
  </si>
  <si>
    <t>REACTIVA</t>
  </si>
  <si>
    <t>REACTIVA PENALIZADA</t>
  </si>
  <si>
    <t>DÍAS CON PENALIZADA</t>
  </si>
  <si>
    <t>TARIFA ACTIVA</t>
  </si>
  <si>
    <t>TARIFA REACTIVA</t>
  </si>
  <si>
    <t>PEAJE ACTIVA</t>
  </si>
  <si>
    <t>PEAJE INDUCTIVA</t>
  </si>
  <si>
    <t>PEAJE CAPACITIVA</t>
  </si>
  <si>
    <t>TOTAL FACTURA CAR. MAX</t>
  </si>
  <si>
    <t>TOTAL</t>
  </si>
  <si>
    <t>BANCO COOPCENTRAL B GA</t>
  </si>
  <si>
    <t>Frt50742</t>
  </si>
  <si>
    <t>MOSTO BISTRO BGA</t>
  </si>
  <si>
    <t>Frt50743</t>
  </si>
  <si>
    <t>TERPEL BGA PLANTA LUBRICANTES</t>
  </si>
  <si>
    <t>Frt01715</t>
  </si>
  <si>
    <t>ARDILA V PEPE GANGA</t>
  </si>
  <si>
    <t>Frt02745</t>
  </si>
  <si>
    <t>INDUST. COLOMB. CONFECCIONES INCOCO</t>
  </si>
  <si>
    <t>Frt18686</t>
  </si>
  <si>
    <t>INDUSTRIA DE CONFECCIONES S.A.</t>
  </si>
  <si>
    <t>Frt30992</t>
  </si>
  <si>
    <t>Frt06773</t>
  </si>
  <si>
    <t>INVERSIONES MEDELLIN Y SU MODA</t>
  </si>
  <si>
    <t>NIVEL TENSION</t>
  </si>
  <si>
    <t>1725745 BIA ENERGY SAS ESP</t>
  </si>
  <si>
    <t>JAVIER LIZCANO LEON MEGACARNES</t>
  </si>
  <si>
    <t>Frt23128</t>
  </si>
  <si>
    <t>EL TEMPLO DE LA MODA FRESCA SAS MED. 1</t>
  </si>
  <si>
    <t>Frt54516</t>
  </si>
  <si>
    <t>EL TEMPLO DE LA MODA FRESCA SAS MED. 2</t>
  </si>
  <si>
    <t>Frt54517</t>
  </si>
  <si>
    <t>CAPACITIVA PENALIZADA</t>
  </si>
  <si>
    <t>REACTIVA CAPACITIVA</t>
  </si>
  <si>
    <t>EL TEMPLO DE LA MODA FRESCA</t>
  </si>
  <si>
    <t>Frt56572</t>
  </si>
  <si>
    <t>CLINICA LA MAGDALENA</t>
  </si>
  <si>
    <t>Frt03761</t>
  </si>
  <si>
    <t>Frt58717</t>
  </si>
  <si>
    <t>Frt58736</t>
  </si>
  <si>
    <t>Frt58737</t>
  </si>
  <si>
    <t>TEMPLO DE LA MODA FRESCA # 3</t>
  </si>
  <si>
    <t>SERRANO DUARTE MARTHA</t>
  </si>
  <si>
    <t>LOCAL DE ROPA L-280 CACIQUE</t>
  </si>
  <si>
    <t>CLASSIC JEANS SHOPS CACIQUE</t>
  </si>
  <si>
    <t>Frt58894</t>
  </si>
  <si>
    <t>TEMPLO DE LA MODA FRESCA PIEDECUESTA</t>
  </si>
  <si>
    <t>Frt59479</t>
  </si>
  <si>
    <t>TEMPLO DE LA MODA FRESCA FLORIDA</t>
  </si>
  <si>
    <t>Frt59537</t>
  </si>
  <si>
    <t>PROPIEDAD</t>
  </si>
  <si>
    <t>TEMPLO DE LA MODA FRESCA BGA</t>
  </si>
  <si>
    <t>Frt59883</t>
  </si>
  <si>
    <t>Frt60753</t>
  </si>
  <si>
    <t>COPSERVIR LTDA</t>
  </si>
  <si>
    <t>Frt32293</t>
  </si>
  <si>
    <t>Frt62989</t>
  </si>
  <si>
    <t>GARNICA DELGADO Y CIA S EN C ALTIPAL</t>
  </si>
  <si>
    <t>MR BONO AV QUEBRADASECA 33A-100 BURBUJA 2</t>
  </si>
  <si>
    <t>HAMBURGUESAS EL CORRAL  CRA 33</t>
  </si>
  <si>
    <t>Frt64933</t>
  </si>
  <si>
    <t>DIALNET SAN ALBERTO CRA 4 4 29 LOCAL 2</t>
  </si>
  <si>
    <t>Frt64959</t>
  </si>
  <si>
    <t>MISTER BONO LA CUESTA</t>
  </si>
  <si>
    <t>Frt65213</t>
  </si>
  <si>
    <t>MISTER BONO LA CUESTA # 2</t>
  </si>
  <si>
    <t>Frt65384</t>
  </si>
  <si>
    <t>NUTRESA Hamburguesas El Corral TRV ORIENTAL 90 182</t>
  </si>
  <si>
    <t>Frt65485</t>
  </si>
  <si>
    <t>AVICOLA EL GUAMITO</t>
  </si>
  <si>
    <t>Frt02169</t>
  </si>
  <si>
    <t>NUTRESA HAMBURGUESAS EL CORRAL CACIQUE LOCAL 0412</t>
  </si>
  <si>
    <t>Frt70937</t>
  </si>
  <si>
    <t>ANDRES RIVERO GARCIA VDA EL CUCHARO FCA PAYANDE</t>
  </si>
  <si>
    <t>Frt70945</t>
  </si>
  <si>
    <t>ANDRES RIVERO GARCIA CASA 86 BALCONES DEL BELLA IS</t>
  </si>
  <si>
    <t>Frt70950</t>
  </si>
  <si>
    <t>DISTRAVES SAS GRANJA - ALPES 2 - VDA SAN NICOLAS F</t>
  </si>
  <si>
    <t>Frt75112</t>
  </si>
  <si>
    <t>DISTRAVES SAS  GUARIN - CRA 33 A 32 95 ALVAREZ</t>
  </si>
  <si>
    <t>Frt75178</t>
  </si>
  <si>
    <t>DISTRAVES SAS PDV CONCORDIA</t>
  </si>
  <si>
    <t>Frt75287</t>
  </si>
  <si>
    <t>DISTRAVES SAS GRANJA - TABOR</t>
  </si>
  <si>
    <t>Frt75288</t>
  </si>
  <si>
    <t>VILLAREAL ACEVEDO JAIME</t>
  </si>
  <si>
    <t>Frt75360</t>
  </si>
  <si>
    <t>DISTRAVES SAS GRANJA - PAOLA</t>
  </si>
  <si>
    <t>Frt75517</t>
  </si>
  <si>
    <t>DISTRAVES SAS PDV SAN FRANCISCO</t>
  </si>
  <si>
    <t>Frt75559</t>
  </si>
  <si>
    <t>DISTRAVES SAS GRANJA - CAMPIN</t>
  </si>
  <si>
    <t>Frt75561</t>
  </si>
  <si>
    <t>DISTRAVES SAS PDV LEBRIJA</t>
  </si>
  <si>
    <t>Frt75597</t>
  </si>
  <si>
    <t>DISTRAVES SAS GRANJA - SAN LUIS</t>
  </si>
  <si>
    <t>Frt75763</t>
  </si>
  <si>
    <t>DISTRAVES SAS GRANJA - JERCIO - VDA REMANSO PRADER</t>
  </si>
  <si>
    <t>Frt75957</t>
  </si>
  <si>
    <t>DISTRAVES SAS GRANJA - JUAN GALVIS - FCA VILLA PAO</t>
  </si>
  <si>
    <t>Frt76001</t>
  </si>
  <si>
    <t>DISTRAVES SAS PDV CAMPO HERMOSO</t>
  </si>
  <si>
    <t>Frt76491</t>
  </si>
  <si>
    <t>TERPEL ESTORAQUES</t>
  </si>
  <si>
    <t>Frt03185</t>
  </si>
  <si>
    <t>TERPEL EL BOSQUE</t>
  </si>
  <si>
    <t>Frt03225</t>
  </si>
  <si>
    <t xml:space="preserve">DISTRAVES SAS GRANJA - HACRITAMA - HDA HACARITAMA </t>
  </si>
  <si>
    <t>Frt76834</t>
  </si>
  <si>
    <t>DISTRAVES SAS PDV POBLADO 1 - CLL 42 22 16 EL POBL</t>
  </si>
  <si>
    <t>Frt76835</t>
  </si>
  <si>
    <t>DISTRAVES SAS GRANJA - HACARITAMA 2 -HDA HACARITAM</t>
  </si>
  <si>
    <t>Frt76836</t>
  </si>
  <si>
    <t>DISTRAVES SAS GRANJA - LAGOS - VDA MAJADAL FCA SAN</t>
  </si>
  <si>
    <t>Frt76924</t>
  </si>
  <si>
    <t>DISTRAVES SAS GRANJA - POMARROSO 3-4 - HDA EL CORT</t>
  </si>
  <si>
    <t>Frt76963</t>
  </si>
  <si>
    <t>DISTRAVES SAS GRANJA - PLAYA ALTA - VDA BOCA MONTE</t>
  </si>
  <si>
    <t>Frt77092</t>
  </si>
  <si>
    <t>DISTRAVES SAS GRANJA - PANAMA - VDA LLANO DE PALMA</t>
  </si>
  <si>
    <t>Frt77094</t>
  </si>
  <si>
    <t xml:space="preserve">DISTRAVES SAS GRANJA - ALSACIA - VDA LLANA GRANDE </t>
  </si>
  <si>
    <t>Frt77095</t>
  </si>
  <si>
    <t>DISTRAVES SAS GRANJA - PALTA 3 - VDA BOCA MONTE LO</t>
  </si>
  <si>
    <t>Frt77129</t>
  </si>
  <si>
    <t>DISTRAVES SAS GRANJA - VYANETH - FCA SOL ORIENTE M</t>
  </si>
  <si>
    <t>Frt77130</t>
  </si>
  <si>
    <t>DISTRAVES SAS PDV LA CUMBRE - CLL 30 6 E 17 LOC LA</t>
  </si>
  <si>
    <t>Frt77770</t>
  </si>
  <si>
    <t>DISTRAVES SAS GRANJA - SAN ANTONIO - VDA EL ZARZAL</t>
  </si>
  <si>
    <t>Frt78312</t>
  </si>
  <si>
    <t>Frt78313</t>
  </si>
  <si>
    <t>DISTRAVES SAS PDV PLAZA SATELITE LOCAL 1 - DGN 105</t>
  </si>
  <si>
    <t>Frt78317</t>
  </si>
  <si>
    <t>DISTRAVES SAN VICENT</t>
  </si>
  <si>
    <t>Frt03135</t>
  </si>
  <si>
    <t>OFFIMEDICAS SABANA DE TORRES</t>
  </si>
  <si>
    <t>Frt78382</t>
  </si>
  <si>
    <t>OFFIMEDICAS BUCARAMANGA</t>
  </si>
  <si>
    <t>Frt78418</t>
  </si>
  <si>
    <t>DISTRAVES SAS PDV TORCOROMA</t>
  </si>
  <si>
    <t>Frt78538</t>
  </si>
  <si>
    <t>OFFIMEDICAS PIEDECUESTA</t>
  </si>
  <si>
    <t>Frt78553</t>
  </si>
  <si>
    <t>DISTRAVES SAS GRANJA - CATAY</t>
  </si>
  <si>
    <t>Frt78591</t>
  </si>
  <si>
    <t>KFC 3 SAN SILVESTRE</t>
  </si>
  <si>
    <t>Frt78593</t>
  </si>
  <si>
    <t>OFFIMEDICAS SA NUEVO SOTOMAYOR</t>
  </si>
  <si>
    <t>Frt79467</t>
  </si>
  <si>
    <t>DISTRAVES SAS PDV BARICHARA</t>
  </si>
  <si>
    <t>Frt79468</t>
  </si>
  <si>
    <t>DISTRAVES SAS GRANJA - TULCAN</t>
  </si>
  <si>
    <t>Frt79469</t>
  </si>
  <si>
    <t>DISTRAVES SAS PDV PLAZA SATELITE LOCAL 2</t>
  </si>
  <si>
    <t>Frt79470</t>
  </si>
  <si>
    <t>DISTRAVES SAS GRANJA - SAN PEDRO 3 - LEBRIJA</t>
  </si>
  <si>
    <t>Frt79471</t>
  </si>
  <si>
    <t>KFC 3 SAN SILVESTRE 2</t>
  </si>
  <si>
    <t>Frt79485</t>
  </si>
  <si>
    <t>DISTRAVES SAS GRANJA - SDOMINGO - PIEDECUESTA</t>
  </si>
  <si>
    <t>Frt79882</t>
  </si>
  <si>
    <t>DISTRAVES SAS GRANJA - ANDES - PIEDECUESTA</t>
  </si>
  <si>
    <t>Frt79885</t>
  </si>
  <si>
    <t>DISTRAVES SAS GRANJA SAN SEBASTIAN 3</t>
  </si>
  <si>
    <t>Frt79888</t>
  </si>
  <si>
    <t>OFFIMEDICAS SA CRA 33</t>
  </si>
  <si>
    <t>Frt79889</t>
  </si>
  <si>
    <t>DISTRAVES SAS FCA GRANJA VILLA</t>
  </si>
  <si>
    <t>Frt79894</t>
  </si>
  <si>
    <t>DISTRAVES SAS GRANJA - LA LAJA</t>
  </si>
  <si>
    <t>Frt79895</t>
  </si>
  <si>
    <t>DISTRAVES SAS GRANJA - LA ESMERALDA</t>
  </si>
  <si>
    <t>Frt79897</t>
  </si>
  <si>
    <t>DISTRAVES SAS GRANJA - SAN SEBASTIAN</t>
  </si>
  <si>
    <t>Frt79900</t>
  </si>
  <si>
    <t>OFFIMEDICAS SA LAS PALMAS</t>
  </si>
  <si>
    <t>Frt79901</t>
  </si>
  <si>
    <t>DISTRAVES SAS GRANJA - LINDARAJA  - PIEDECUESTA</t>
  </si>
  <si>
    <t>Frt79902</t>
  </si>
  <si>
    <t>DISTRAVES SAS GRANJA SANTA MARIA</t>
  </si>
  <si>
    <t>Frt79904</t>
  </si>
  <si>
    <t>DISTRAVES SAS GRANJA - LA LAJA 3 - VDA EL CARRIZAL</t>
  </si>
  <si>
    <t>Frt79933</t>
  </si>
  <si>
    <t>OFFIMEDICAS SA CANAVERAL</t>
  </si>
  <si>
    <t>Frt79934</t>
  </si>
  <si>
    <t>AVICOLA EL MADROÑO SA AVE REPUB</t>
  </si>
  <si>
    <t>Frt80667</t>
  </si>
  <si>
    <t>OFFIMEDICAS SA</t>
  </si>
  <si>
    <t>Frt81732</t>
  </si>
  <si>
    <t>AVICOLA EL MADROÑO SA FCA LA ESPERANZA</t>
  </si>
  <si>
    <t>Frt81766</t>
  </si>
  <si>
    <t>AVICOLA EL MADROÑO SA VDA SANTA ROSA</t>
  </si>
  <si>
    <t>Frt82036</t>
  </si>
  <si>
    <t>AGROAVICOLA SAN MARINO S A GRANJA MESITAS</t>
  </si>
  <si>
    <t>Frt82048</t>
  </si>
  <si>
    <t>AVICOLA EL MADROÑO SA FCA AVICOLA EL MADRONO MESA</t>
  </si>
  <si>
    <t>Frt82066</t>
  </si>
  <si>
    <t>DISTRAVES SAS GRANJA - OJO DE AGUA</t>
  </si>
  <si>
    <t>Frt82068</t>
  </si>
  <si>
    <t>AVICOLA EL MADROÑO SA VDA CACHIRICITO</t>
  </si>
  <si>
    <t>Frt82174</t>
  </si>
  <si>
    <t>MESES ACUMULADOS NOV</t>
  </si>
  <si>
    <t>MESES ACUMULADOS DIC</t>
  </si>
  <si>
    <t>M DIC</t>
  </si>
  <si>
    <t>DISTRAVES SAS GRANJA - DESCANSO</t>
  </si>
  <si>
    <t>Frt86783</t>
  </si>
  <si>
    <t>BANCO POPULAR SAN GIL</t>
  </si>
  <si>
    <t>Frt87753</t>
  </si>
  <si>
    <t>BANCO POPULAR MALAGA</t>
  </si>
  <si>
    <t>Frt88412</t>
  </si>
  <si>
    <t>BANCO POPULAR VELEZ</t>
  </si>
  <si>
    <t>Frt88418</t>
  </si>
  <si>
    <t>AVICOLA EL MADROÑO SA VDA SAN PABLO</t>
  </si>
  <si>
    <t>Frt88421</t>
  </si>
  <si>
    <t>AVICOLA EL MADROÑO  POBLADO</t>
  </si>
  <si>
    <t>Frt88422</t>
  </si>
  <si>
    <t>HOGAR CONFORT S A S</t>
  </si>
  <si>
    <t>Frt88426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</si>
</sst>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0.0000"/>
    <numFmt numFmtId="166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63"/>
      <name val="Arial"/>
      <family val="2"/>
    </font>
    <font>
      <b/>
      <sz val="9"/>
      <name val="Arial"/>
      <family val="2"/>
    </font>
    <font>
      <sz val="9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4" fillId="7" borderId="7" xfId="0" applyFont="1" applyFill="1" applyBorder="1" applyAlignment="1" applyProtection="1">
      <alignment horizontal="center" vertical="center" wrapText="1"/>
      <protection locked="0"/>
    </xf>
    <xf numFmtId="0" fontId="4" fillId="7" borderId="8" xfId="0" applyFont="1" applyFill="1" applyBorder="1" applyAlignment="1" applyProtection="1">
      <alignment horizontal="center" vertical="center" wrapText="1"/>
      <protection locked="0"/>
    </xf>
    <xf numFmtId="2" fontId="7" fillId="0" borderId="3" xfId="0" applyNumberFormat="1" applyFont="1" applyBorder="1"/>
    <xf numFmtId="164" fontId="7" fillId="0" borderId="3" xfId="1" applyFont="1" applyBorder="1"/>
    <xf numFmtId="0" fontId="8" fillId="8" borderId="9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1" fontId="6" fillId="0" borderId="3" xfId="0" applyNumberFormat="1" applyFont="1" applyBorder="1" applyAlignment="1" applyProtection="1">
      <alignment horizontal="center"/>
      <protection locked="0"/>
    </xf>
    <xf numFmtId="0" fontId="4" fillId="3" borderId="7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 wrapText="1"/>
      <protection locked="0"/>
    </xf>
    <xf numFmtId="0" fontId="4" fillId="7" borderId="10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Protection="1">
      <protection locked="0"/>
    </xf>
    <xf numFmtId="165" fontId="6" fillId="0" borderId="3" xfId="0" applyNumberFormat="1" applyFont="1" applyBorder="1" applyAlignment="1" applyProtection="1">
      <alignment horizontal="center"/>
      <protection locked="0"/>
    </xf>
    <xf numFmtId="166" fontId="6" fillId="0" borderId="3" xfId="1" applyNumberFormat="1" applyFont="1" applyBorder="1" applyAlignment="1" applyProtection="1">
      <alignment horizontal="center"/>
      <protection locked="0"/>
    </xf>
    <xf numFmtId="0" fontId="9" fillId="0" borderId="11" xfId="0" applyFont="1" applyBorder="1" applyProtection="1">
      <protection locked="0"/>
    </xf>
    <xf numFmtId="0" fontId="9" fillId="0" borderId="12" xfId="0" applyFont="1" applyBorder="1" applyAlignment="1" applyProtection="1">
      <alignment horizontal="left"/>
      <protection locked="0"/>
    </xf>
    <xf numFmtId="0" fontId="9" fillId="0" borderId="12" xfId="0" applyFont="1" applyBorder="1" applyProtection="1">
      <protection locked="0"/>
    </xf>
    <xf numFmtId="2" fontId="9" fillId="0" borderId="12" xfId="0" applyNumberFormat="1" applyFont="1" applyBorder="1" applyProtection="1">
      <protection locked="0"/>
    </xf>
    <xf numFmtId="1" fontId="9" fillId="0" borderId="12" xfId="0" applyNumberFormat="1" applyFont="1" applyBorder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right"/>
      <protection locked="0"/>
    </xf>
    <xf numFmtId="2" fontId="9" fillId="0" borderId="0" xfId="0" applyNumberFormat="1" applyFont="1" applyProtection="1">
      <protection locked="0"/>
    </xf>
    <xf numFmtId="1" fontId="9" fillId="0" borderId="0" xfId="0" applyNumberFormat="1" applyFont="1" applyProtection="1">
      <protection locked="0"/>
    </xf>
    <xf numFmtId="0" fontId="6" fillId="0" borderId="12" xfId="0" applyFont="1" applyBorder="1" applyAlignment="1" applyProtection="1">
      <alignment horizontal="right"/>
      <protection locked="0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18E3-4675-4220-A046-B2750FD38228}">
  <dimension ref="A2:V107"/>
  <sheetViews>
    <sheetView tabSelected="1" topLeftCell="N1" zoomScale="80" zoomScaleNormal="80" workbookViewId="0">
      <selection activeCell="Q5" sqref="Q5:R105"/>
    </sheetView>
  </sheetViews>
  <sheetFormatPr baseColWidth="10" defaultRowHeight="14.5" x14ac:dyDescent="0.35"/>
  <cols>
    <col min="1" max="1" width="38.26953125" bestFit="1" customWidth="1"/>
    <col min="3" max="3" width="18.54296875" customWidth="1"/>
    <col min="6" max="6" width="14.54296875" customWidth="1"/>
    <col min="7" max="7" width="15.54296875" customWidth="1"/>
    <col min="16" max="16" width="5.54296875" customWidth="1"/>
    <col min="19" max="19" width="18.54296875" customWidth="1"/>
    <col min="20" max="20" width="16.7265625" customWidth="1"/>
    <col min="21" max="21" width="15.26953125" customWidth="1"/>
    <col min="22" max="22" width="18.7265625" bestFit="1" customWidth="1"/>
  </cols>
  <sheetData>
    <row r="2" spans="1:22" ht="15" thickBot="1" x14ac:dyDescent="0.4"/>
    <row r="3" spans="1:22" ht="15" thickBot="1" x14ac:dyDescent="0.4">
      <c r="A3" s="1"/>
      <c r="B3" s="2"/>
      <c r="C3" s="2"/>
      <c r="D3" s="2"/>
      <c r="E3" s="1"/>
      <c r="F3" s="35" t="s">
        <v>0</v>
      </c>
      <c r="G3" s="36"/>
      <c r="H3" s="1"/>
      <c r="I3" s="1"/>
      <c r="J3" s="1"/>
      <c r="K3" s="1"/>
      <c r="L3" s="1"/>
      <c r="M3" s="1"/>
      <c r="N3" s="1"/>
      <c r="O3" s="3"/>
      <c r="P3" s="3"/>
      <c r="Q3" s="3"/>
      <c r="R3" s="3"/>
      <c r="S3" s="3"/>
      <c r="T3" s="3"/>
      <c r="U3" s="3"/>
      <c r="V3" s="3"/>
    </row>
    <row r="4" spans="1:22" ht="46" x14ac:dyDescent="0.35">
      <c r="A4" s="14" t="s">
        <v>1</v>
      </c>
      <c r="B4" s="15" t="s">
        <v>2</v>
      </c>
      <c r="C4" s="16" t="s">
        <v>3</v>
      </c>
      <c r="D4" s="15" t="s">
        <v>31</v>
      </c>
      <c r="E4" s="15" t="s">
        <v>57</v>
      </c>
      <c r="F4" s="17" t="s">
        <v>4</v>
      </c>
      <c r="G4" s="5" t="s">
        <v>5</v>
      </c>
      <c r="H4" s="16" t="s">
        <v>6</v>
      </c>
      <c r="I4" s="18" t="s">
        <v>7</v>
      </c>
      <c r="J4" s="19" t="s">
        <v>8</v>
      </c>
      <c r="K4" s="5" t="s">
        <v>9</v>
      </c>
      <c r="L4" s="11" t="s">
        <v>40</v>
      </c>
      <c r="M4" s="20" t="s">
        <v>39</v>
      </c>
      <c r="N4" s="4" t="s">
        <v>209</v>
      </c>
      <c r="O4" s="4" t="s">
        <v>210</v>
      </c>
      <c r="P4" s="5" t="s">
        <v>211</v>
      </c>
      <c r="Q4" s="6" t="s">
        <v>10</v>
      </c>
      <c r="R4" s="7" t="s">
        <v>11</v>
      </c>
      <c r="S4" s="8" t="s">
        <v>12</v>
      </c>
      <c r="T4" s="6" t="s">
        <v>13</v>
      </c>
      <c r="U4" s="6" t="s">
        <v>14</v>
      </c>
      <c r="V4" s="7" t="s">
        <v>15</v>
      </c>
    </row>
    <row r="5" spans="1:22" x14ac:dyDescent="0.35">
      <c r="A5" s="24" t="s">
        <v>21</v>
      </c>
      <c r="B5" s="25" t="s">
        <v>22</v>
      </c>
      <c r="C5" s="26" t="s">
        <v>32</v>
      </c>
      <c r="D5" s="34">
        <v>2</v>
      </c>
      <c r="E5" s="34">
        <v>1</v>
      </c>
      <c r="F5" s="27">
        <v>27549.054007776038</v>
      </c>
      <c r="G5" s="27">
        <v>24931.712154180615</v>
      </c>
      <c r="H5" s="27">
        <v>2617.3418535954224</v>
      </c>
      <c r="I5" s="27">
        <v>5254.8119999999999</v>
      </c>
      <c r="J5" s="27">
        <v>0</v>
      </c>
      <c r="K5" s="28">
        <v>0</v>
      </c>
      <c r="L5" s="21">
        <v>2157.39</v>
      </c>
      <c r="M5" s="21">
        <v>0</v>
      </c>
      <c r="N5" s="12">
        <v>0</v>
      </c>
      <c r="O5" s="12">
        <v>0</v>
      </c>
      <c r="P5" s="13">
        <v>1</v>
      </c>
      <c r="Q5" s="22">
        <v>167.60990000000001</v>
      </c>
      <c r="R5" s="22">
        <v>204.69759999999999</v>
      </c>
      <c r="S5" s="23">
        <v>4617494.1873379415</v>
      </c>
      <c r="T5" s="23">
        <v>0</v>
      </c>
      <c r="U5" s="23">
        <v>0</v>
      </c>
      <c r="V5" s="23">
        <v>4617494.1873379415</v>
      </c>
    </row>
    <row r="6" spans="1:22" x14ac:dyDescent="0.35">
      <c r="A6" s="24" t="s">
        <v>76</v>
      </c>
      <c r="B6" s="25" t="s">
        <v>77</v>
      </c>
      <c r="C6" s="26" t="s">
        <v>32</v>
      </c>
      <c r="D6" s="34">
        <v>2</v>
      </c>
      <c r="E6" s="34">
        <v>2</v>
      </c>
      <c r="F6" s="27">
        <v>44304.150012505284</v>
      </c>
      <c r="G6" s="27">
        <v>44304.296658928521</v>
      </c>
      <c r="H6" s="27">
        <v>-0.14664642323623411</v>
      </c>
      <c r="I6" s="27">
        <v>15837.8</v>
      </c>
      <c r="J6" s="27">
        <v>8.24</v>
      </c>
      <c r="K6" s="28">
        <v>31</v>
      </c>
      <c r="L6" s="21">
        <v>36.299999999999997</v>
      </c>
      <c r="M6" s="21">
        <v>0</v>
      </c>
      <c r="N6" s="12">
        <v>0</v>
      </c>
      <c r="O6" s="12">
        <v>1</v>
      </c>
      <c r="P6" s="13">
        <v>1</v>
      </c>
      <c r="Q6" s="22">
        <v>167.60990000000001</v>
      </c>
      <c r="R6" s="22">
        <v>204.69759999999999</v>
      </c>
      <c r="S6" s="23">
        <v>7425814.1531810099</v>
      </c>
      <c r="T6" s="23">
        <v>1686.708224</v>
      </c>
      <c r="U6" s="23">
        <v>0</v>
      </c>
      <c r="V6" s="23">
        <v>7427500.8614050103</v>
      </c>
    </row>
    <row r="7" spans="1:22" x14ac:dyDescent="0.35">
      <c r="A7" s="24" t="s">
        <v>23</v>
      </c>
      <c r="B7" s="25" t="s">
        <v>24</v>
      </c>
      <c r="C7" s="26" t="s">
        <v>32</v>
      </c>
      <c r="D7" s="34">
        <v>1</v>
      </c>
      <c r="E7" s="34">
        <v>1</v>
      </c>
      <c r="F7" s="27">
        <v>18130.12000327219</v>
      </c>
      <c r="G7" s="27">
        <v>18129.318805090377</v>
      </c>
      <c r="H7" s="27">
        <v>0.80119818181265146</v>
      </c>
      <c r="I7" s="27">
        <v>8063.34</v>
      </c>
      <c r="J7" s="27">
        <v>821.52000000000066</v>
      </c>
      <c r="K7" s="28">
        <v>31</v>
      </c>
      <c r="L7" s="21">
        <v>54.42</v>
      </c>
      <c r="M7" s="21">
        <v>0</v>
      </c>
      <c r="N7" s="12">
        <v>5</v>
      </c>
      <c r="O7" s="12">
        <v>6</v>
      </c>
      <c r="P7" s="13">
        <v>1</v>
      </c>
      <c r="Q7" s="22">
        <v>184.8783</v>
      </c>
      <c r="R7" s="22">
        <v>226.0685</v>
      </c>
      <c r="S7" s="23">
        <v>3351865.7650009571</v>
      </c>
      <c r="T7" s="23">
        <v>185719.79412000015</v>
      </c>
      <c r="U7" s="23">
        <v>0</v>
      </c>
      <c r="V7" s="23">
        <v>3537585.5591209573</v>
      </c>
    </row>
    <row r="8" spans="1:22" x14ac:dyDescent="0.35">
      <c r="A8" s="24" t="s">
        <v>141</v>
      </c>
      <c r="B8" s="25" t="s">
        <v>142</v>
      </c>
      <c r="C8" s="26" t="s">
        <v>32</v>
      </c>
      <c r="D8" s="34">
        <v>1</v>
      </c>
      <c r="E8" s="34">
        <v>2</v>
      </c>
      <c r="F8" s="27">
        <v>4908.7800008859494</v>
      </c>
      <c r="G8" s="27">
        <v>4453.1634704656644</v>
      </c>
      <c r="H8" s="27">
        <v>455.61653042028502</v>
      </c>
      <c r="I8" s="27">
        <v>368.18</v>
      </c>
      <c r="J8" s="27">
        <v>0</v>
      </c>
      <c r="K8" s="28">
        <v>0</v>
      </c>
      <c r="L8" s="21">
        <v>1338.34</v>
      </c>
      <c r="M8" s="21">
        <v>0</v>
      </c>
      <c r="N8" s="12">
        <v>0</v>
      </c>
      <c r="O8" s="12">
        <v>0</v>
      </c>
      <c r="P8" s="13">
        <v>1</v>
      </c>
      <c r="Q8" s="22">
        <v>274.37529999999998</v>
      </c>
      <c r="R8" s="22">
        <v>315.56549999999999</v>
      </c>
      <c r="S8" s="23">
        <v>1346847.9853770826</v>
      </c>
      <c r="T8" s="23">
        <v>0</v>
      </c>
      <c r="U8" s="23">
        <v>0</v>
      </c>
      <c r="V8" s="23">
        <v>1346847.9853770826</v>
      </c>
    </row>
    <row r="9" spans="1:22" x14ac:dyDescent="0.35">
      <c r="A9" s="24" t="s">
        <v>110</v>
      </c>
      <c r="B9" s="25" t="s">
        <v>111</v>
      </c>
      <c r="C9" s="26" t="s">
        <v>32</v>
      </c>
      <c r="D9" s="34">
        <v>2</v>
      </c>
      <c r="E9" s="34">
        <v>1</v>
      </c>
      <c r="F9" s="27">
        <v>10004.280002823767</v>
      </c>
      <c r="G9" s="27">
        <v>8986.4542147209868</v>
      </c>
      <c r="H9" s="27">
        <v>1017.8257881027803</v>
      </c>
      <c r="I9" s="27">
        <v>1657.04</v>
      </c>
      <c r="J9" s="27">
        <v>0</v>
      </c>
      <c r="K9" s="28">
        <v>0</v>
      </c>
      <c r="L9" s="21">
        <v>328.46</v>
      </c>
      <c r="M9" s="21">
        <v>0</v>
      </c>
      <c r="N9" s="12">
        <v>0</v>
      </c>
      <c r="O9" s="12">
        <v>0</v>
      </c>
      <c r="P9" s="13">
        <v>1</v>
      </c>
      <c r="Q9" s="22">
        <v>167.60990000000001</v>
      </c>
      <c r="R9" s="22">
        <v>204.69759999999999</v>
      </c>
      <c r="S9" s="23">
        <v>1676816.3708452915</v>
      </c>
      <c r="T9" s="23">
        <v>0</v>
      </c>
      <c r="U9" s="23">
        <v>0</v>
      </c>
      <c r="V9" s="23">
        <v>1676816.3708452915</v>
      </c>
    </row>
    <row r="10" spans="1:22" x14ac:dyDescent="0.35">
      <c r="A10" s="24" t="s">
        <v>112</v>
      </c>
      <c r="B10" s="25" t="s">
        <v>113</v>
      </c>
      <c r="C10" s="26" t="s">
        <v>32</v>
      </c>
      <c r="D10" s="34">
        <v>2</v>
      </c>
      <c r="E10" s="34">
        <v>1</v>
      </c>
      <c r="F10" s="27">
        <v>11040.150003116192</v>
      </c>
      <c r="G10" s="27">
        <v>9915.5632305762738</v>
      </c>
      <c r="H10" s="27">
        <v>1124.5867725399185</v>
      </c>
      <c r="I10" s="27">
        <v>3949.44</v>
      </c>
      <c r="J10" s="27">
        <v>3.8299999999999996</v>
      </c>
      <c r="K10" s="28">
        <v>31</v>
      </c>
      <c r="L10" s="21">
        <v>19.47</v>
      </c>
      <c r="M10" s="21">
        <v>0</v>
      </c>
      <c r="N10" s="12">
        <v>0</v>
      </c>
      <c r="O10" s="12">
        <v>1</v>
      </c>
      <c r="P10" s="13">
        <v>1</v>
      </c>
      <c r="Q10" s="22">
        <v>167.60990000000001</v>
      </c>
      <c r="R10" s="22">
        <v>204.69759999999999</v>
      </c>
      <c r="S10" s="23">
        <v>1850438.4380073047</v>
      </c>
      <c r="T10" s="23">
        <v>783.99180799999988</v>
      </c>
      <c r="U10" s="23">
        <v>0</v>
      </c>
      <c r="V10" s="23">
        <v>1851222.4298153047</v>
      </c>
    </row>
    <row r="11" spans="1:22" x14ac:dyDescent="0.35">
      <c r="A11" s="24" t="s">
        <v>43</v>
      </c>
      <c r="B11" s="25" t="s">
        <v>44</v>
      </c>
      <c r="C11" s="26" t="s">
        <v>32</v>
      </c>
      <c r="D11" s="34">
        <v>3</v>
      </c>
      <c r="E11" s="34">
        <v>1</v>
      </c>
      <c r="F11" s="27">
        <v>185768.70001079497</v>
      </c>
      <c r="G11" s="27">
        <v>185769.00777903132</v>
      </c>
      <c r="H11" s="27">
        <v>-0.30776823635096662</v>
      </c>
      <c r="I11" s="27">
        <v>17343.150000000001</v>
      </c>
      <c r="J11" s="27">
        <v>0</v>
      </c>
      <c r="K11" s="28">
        <v>0</v>
      </c>
      <c r="L11" s="21">
        <v>0</v>
      </c>
      <c r="M11" s="21">
        <v>0</v>
      </c>
      <c r="N11" s="12">
        <v>0</v>
      </c>
      <c r="O11" s="12">
        <v>0</v>
      </c>
      <c r="P11" s="13">
        <v>1</v>
      </c>
      <c r="Q11" s="22">
        <v>54.231400000000001</v>
      </c>
      <c r="R11" s="22">
        <v>90.748999999999995</v>
      </c>
      <c r="S11" s="23">
        <v>10074496.677765427</v>
      </c>
      <c r="T11" s="23">
        <v>0</v>
      </c>
      <c r="U11" s="23">
        <v>0</v>
      </c>
      <c r="V11" s="23">
        <v>10074496.677765427</v>
      </c>
    </row>
    <row r="12" spans="1:22" x14ac:dyDescent="0.35">
      <c r="A12" s="24" t="s">
        <v>30</v>
      </c>
      <c r="B12" s="25" t="s">
        <v>29</v>
      </c>
      <c r="C12" s="26" t="s">
        <v>32</v>
      </c>
      <c r="D12" s="34">
        <v>1</v>
      </c>
      <c r="E12" s="34">
        <v>1</v>
      </c>
      <c r="F12" s="27">
        <v>7466.1600013475118</v>
      </c>
      <c r="G12" s="27">
        <v>7466.4029624418617</v>
      </c>
      <c r="H12" s="27">
        <v>-0.2429610943499938</v>
      </c>
      <c r="I12" s="27">
        <v>381.06</v>
      </c>
      <c r="J12" s="27">
        <v>0.48</v>
      </c>
      <c r="K12" s="28">
        <v>1</v>
      </c>
      <c r="L12" s="21">
        <v>5.82</v>
      </c>
      <c r="M12" s="21">
        <v>0</v>
      </c>
      <c r="N12" s="12">
        <v>0</v>
      </c>
      <c r="O12" s="12">
        <v>0</v>
      </c>
      <c r="P12" s="13">
        <v>1</v>
      </c>
      <c r="Q12" s="22">
        <v>184.8783</v>
      </c>
      <c r="R12" s="22">
        <v>226.0685</v>
      </c>
      <c r="S12" s="23">
        <v>1380330.9685771256</v>
      </c>
      <c r="T12" s="23">
        <v>108.51288</v>
      </c>
      <c r="U12" s="23">
        <v>0</v>
      </c>
      <c r="V12" s="23">
        <v>1380439.4814571256</v>
      </c>
    </row>
    <row r="13" spans="1:22" x14ac:dyDescent="0.35">
      <c r="A13" s="24" t="s">
        <v>25</v>
      </c>
      <c r="B13" s="25" t="s">
        <v>26</v>
      </c>
      <c r="C13" s="26" t="s">
        <v>32</v>
      </c>
      <c r="D13" s="34">
        <v>1</v>
      </c>
      <c r="E13" s="34">
        <v>2</v>
      </c>
      <c r="F13" s="27">
        <v>3278.1000005916399</v>
      </c>
      <c r="G13" s="27">
        <v>3279.5488092634546</v>
      </c>
      <c r="H13" s="27">
        <v>-1.4488086718147315</v>
      </c>
      <c r="I13" s="27">
        <v>752.88</v>
      </c>
      <c r="J13" s="27">
        <v>0.9</v>
      </c>
      <c r="K13" s="28">
        <v>1</v>
      </c>
      <c r="L13" s="21">
        <v>0.28000000000000003</v>
      </c>
      <c r="M13" s="21">
        <v>0</v>
      </c>
      <c r="N13" s="12">
        <v>0</v>
      </c>
      <c r="O13" s="12">
        <v>0</v>
      </c>
      <c r="P13" s="13">
        <v>1</v>
      </c>
      <c r="Q13" s="22">
        <v>274.37529999999998</v>
      </c>
      <c r="R13" s="22">
        <v>315.56549999999999</v>
      </c>
      <c r="S13" s="23">
        <v>899429.67109233129</v>
      </c>
      <c r="T13" s="23">
        <v>284.00894999999997</v>
      </c>
      <c r="U13" s="23">
        <v>0</v>
      </c>
      <c r="V13" s="23">
        <v>899713.68004233134</v>
      </c>
    </row>
    <row r="14" spans="1:22" x14ac:dyDescent="0.35">
      <c r="A14" s="24" t="s">
        <v>33</v>
      </c>
      <c r="B14" s="25" t="s">
        <v>34</v>
      </c>
      <c r="C14" s="26" t="s">
        <v>32</v>
      </c>
      <c r="D14" s="34">
        <v>1</v>
      </c>
      <c r="E14" s="34">
        <v>1</v>
      </c>
      <c r="F14" s="27">
        <v>46120.40000832393</v>
      </c>
      <c r="G14" s="27">
        <v>46120.325646915822</v>
      </c>
      <c r="H14" s="27">
        <v>7.4361408107506577E-2</v>
      </c>
      <c r="I14" s="27">
        <v>9129.36</v>
      </c>
      <c r="J14" s="27">
        <v>0</v>
      </c>
      <c r="K14" s="28">
        <v>0</v>
      </c>
      <c r="L14" s="21">
        <v>21.04</v>
      </c>
      <c r="M14" s="21">
        <v>0</v>
      </c>
      <c r="N14" s="12">
        <v>0</v>
      </c>
      <c r="O14" s="12">
        <v>0</v>
      </c>
      <c r="P14" s="13">
        <v>1</v>
      </c>
      <c r="Q14" s="22">
        <v>184.8783</v>
      </c>
      <c r="R14" s="22">
        <v>226.0685</v>
      </c>
      <c r="S14" s="23">
        <v>8526661.1488589142</v>
      </c>
      <c r="T14" s="23">
        <v>0</v>
      </c>
      <c r="U14" s="23">
        <v>0</v>
      </c>
      <c r="V14" s="23">
        <v>8526661.1488589142</v>
      </c>
    </row>
    <row r="15" spans="1:22" x14ac:dyDescent="0.35">
      <c r="A15" s="24" t="s">
        <v>27</v>
      </c>
      <c r="B15" s="25" t="s">
        <v>28</v>
      </c>
      <c r="C15" s="26" t="s">
        <v>32</v>
      </c>
      <c r="D15" s="34">
        <v>1</v>
      </c>
      <c r="E15" s="34">
        <v>1</v>
      </c>
      <c r="F15" s="27">
        <v>4973.7470008976761</v>
      </c>
      <c r="G15" s="27">
        <v>4973.6712631051287</v>
      </c>
      <c r="H15" s="27">
        <v>7.573779254744295E-2</v>
      </c>
      <c r="I15" s="27">
        <v>791.41</v>
      </c>
      <c r="J15" s="27">
        <v>0</v>
      </c>
      <c r="K15" s="28">
        <v>0</v>
      </c>
      <c r="L15" s="21">
        <v>38.545000000000002</v>
      </c>
      <c r="M15" s="21">
        <v>0</v>
      </c>
      <c r="N15" s="12">
        <v>0</v>
      </c>
      <c r="O15" s="12">
        <v>0</v>
      </c>
      <c r="P15" s="13">
        <v>1</v>
      </c>
      <c r="Q15" s="22">
        <v>184.8783</v>
      </c>
      <c r="R15" s="22">
        <v>226.0685</v>
      </c>
      <c r="S15" s="23">
        <v>919537.89015606081</v>
      </c>
      <c r="T15" s="23">
        <v>0</v>
      </c>
      <c r="U15" s="23">
        <v>0</v>
      </c>
      <c r="V15" s="23">
        <v>919537.89015606081</v>
      </c>
    </row>
    <row r="16" spans="1:22" x14ac:dyDescent="0.35">
      <c r="A16" s="24" t="s">
        <v>61</v>
      </c>
      <c r="B16" s="25" t="s">
        <v>62</v>
      </c>
      <c r="C16" s="26" t="s">
        <v>32</v>
      </c>
      <c r="D16" s="34">
        <v>1</v>
      </c>
      <c r="E16" s="34">
        <v>1</v>
      </c>
      <c r="F16" s="27">
        <v>10378.236001873071</v>
      </c>
      <c r="G16" s="27">
        <v>9825.3641246155112</v>
      </c>
      <c r="H16" s="27">
        <v>552.87187725755939</v>
      </c>
      <c r="I16" s="27">
        <v>649.09199999999998</v>
      </c>
      <c r="J16" s="27">
        <v>0</v>
      </c>
      <c r="K16" s="28">
        <v>0</v>
      </c>
      <c r="L16" s="21">
        <v>437.85599999999999</v>
      </c>
      <c r="M16" s="21">
        <v>0</v>
      </c>
      <c r="N16" s="12">
        <v>0</v>
      </c>
      <c r="O16" s="12">
        <v>0</v>
      </c>
      <c r="P16" s="13">
        <v>1</v>
      </c>
      <c r="Q16" s="22">
        <v>184.8783</v>
      </c>
      <c r="R16" s="22">
        <v>226.0685</v>
      </c>
      <c r="S16" s="23">
        <v>1918710.62902509</v>
      </c>
      <c r="T16" s="23">
        <v>0</v>
      </c>
      <c r="U16" s="23">
        <v>0</v>
      </c>
      <c r="V16" s="23">
        <v>1918710.62902509</v>
      </c>
    </row>
    <row r="17" spans="1:22" x14ac:dyDescent="0.35">
      <c r="A17" s="24" t="s">
        <v>17</v>
      </c>
      <c r="B17" s="25" t="s">
        <v>18</v>
      </c>
      <c r="C17" s="26" t="s">
        <v>32</v>
      </c>
      <c r="D17" s="34">
        <v>1</v>
      </c>
      <c r="E17" s="34">
        <v>1</v>
      </c>
      <c r="F17" s="27">
        <v>7085.0400012787259</v>
      </c>
      <c r="G17" s="27">
        <v>7084.8080772608046</v>
      </c>
      <c r="H17" s="27">
        <v>0.23192401792130113</v>
      </c>
      <c r="I17" s="27">
        <v>3956.64</v>
      </c>
      <c r="J17" s="27">
        <v>486.46000000000004</v>
      </c>
      <c r="K17" s="28">
        <v>31</v>
      </c>
      <c r="L17" s="21">
        <v>0</v>
      </c>
      <c r="M17" s="21">
        <v>0</v>
      </c>
      <c r="N17" s="12">
        <v>5</v>
      </c>
      <c r="O17" s="12">
        <v>6</v>
      </c>
      <c r="P17" s="13">
        <v>1</v>
      </c>
      <c r="Q17" s="22">
        <v>184.8783</v>
      </c>
      <c r="R17" s="22">
        <v>226.0685</v>
      </c>
      <c r="S17" s="23">
        <v>1309870.1508684086</v>
      </c>
      <c r="T17" s="23">
        <v>109973.28251</v>
      </c>
      <c r="U17" s="23">
        <v>0</v>
      </c>
      <c r="V17" s="23">
        <v>1419843.4333784087</v>
      </c>
    </row>
    <row r="18" spans="1:22" x14ac:dyDescent="0.35">
      <c r="A18" s="24" t="s">
        <v>19</v>
      </c>
      <c r="B18" s="25" t="s">
        <v>20</v>
      </c>
      <c r="C18" s="26" t="s">
        <v>32</v>
      </c>
      <c r="D18" s="34">
        <v>1</v>
      </c>
      <c r="E18" s="34">
        <v>2</v>
      </c>
      <c r="F18" s="27">
        <v>2844.6650005134129</v>
      </c>
      <c r="G18" s="27">
        <v>2842.5334710168922</v>
      </c>
      <c r="H18" s="27">
        <v>2.1315294965206704</v>
      </c>
      <c r="I18" s="27">
        <v>1688.0450000000001</v>
      </c>
      <c r="J18" s="27">
        <v>371.50000000000023</v>
      </c>
      <c r="K18" s="28">
        <v>31</v>
      </c>
      <c r="L18" s="21">
        <v>0</v>
      </c>
      <c r="M18" s="21">
        <v>0</v>
      </c>
      <c r="N18" s="12">
        <v>5</v>
      </c>
      <c r="O18" s="12">
        <v>6</v>
      </c>
      <c r="P18" s="13">
        <v>1</v>
      </c>
      <c r="Q18" s="22">
        <v>274.37529999999998</v>
      </c>
      <c r="R18" s="22">
        <v>315.56549999999999</v>
      </c>
      <c r="S18" s="23">
        <v>780505.81291536777</v>
      </c>
      <c r="T18" s="23">
        <v>117232.58325000007</v>
      </c>
      <c r="U18" s="23">
        <v>0</v>
      </c>
      <c r="V18" s="23">
        <v>897738.3961653678</v>
      </c>
    </row>
    <row r="19" spans="1:22" x14ac:dyDescent="0.35">
      <c r="A19" s="24" t="s">
        <v>35</v>
      </c>
      <c r="B19" s="25" t="s">
        <v>36</v>
      </c>
      <c r="C19" s="26" t="s">
        <v>32</v>
      </c>
      <c r="D19" s="34">
        <v>1</v>
      </c>
      <c r="E19" s="34">
        <v>2</v>
      </c>
      <c r="F19" s="27">
        <v>1232.3450002224167</v>
      </c>
      <c r="G19" s="27">
        <v>1232.0929726510303</v>
      </c>
      <c r="H19" s="27">
        <v>0.25202757138640663</v>
      </c>
      <c r="I19" s="27">
        <v>153.749</v>
      </c>
      <c r="J19" s="27">
        <v>0</v>
      </c>
      <c r="K19" s="28">
        <v>0</v>
      </c>
      <c r="L19" s="21">
        <v>255.51</v>
      </c>
      <c r="M19" s="21">
        <v>0</v>
      </c>
      <c r="N19" s="12">
        <v>0</v>
      </c>
      <c r="O19" s="12">
        <v>0</v>
      </c>
      <c r="P19" s="13">
        <v>1</v>
      </c>
      <c r="Q19" s="22">
        <v>274.37529999999998</v>
      </c>
      <c r="R19" s="22">
        <v>315.56549999999999</v>
      </c>
      <c r="S19" s="23">
        <v>338125.02913952561</v>
      </c>
      <c r="T19" s="23">
        <v>0</v>
      </c>
      <c r="U19" s="23">
        <v>0</v>
      </c>
      <c r="V19" s="23">
        <v>338125.02913952561</v>
      </c>
    </row>
    <row r="20" spans="1:22" x14ac:dyDescent="0.35">
      <c r="A20" s="24" t="s">
        <v>37</v>
      </c>
      <c r="B20" s="25" t="s">
        <v>38</v>
      </c>
      <c r="C20" s="26" t="s">
        <v>32</v>
      </c>
      <c r="D20" s="34">
        <v>1</v>
      </c>
      <c r="E20" s="34">
        <v>2</v>
      </c>
      <c r="F20" s="27">
        <v>3005.6120005424623</v>
      </c>
      <c r="G20" s="27">
        <v>3005.6852897165695</v>
      </c>
      <c r="H20" s="27">
        <v>-7.3289174107230792E-2</v>
      </c>
      <c r="I20" s="27">
        <v>850.55799999999999</v>
      </c>
      <c r="J20" s="27">
        <v>0</v>
      </c>
      <c r="K20" s="28">
        <v>0</v>
      </c>
      <c r="L20" s="21">
        <v>352.93200000000002</v>
      </c>
      <c r="M20" s="21">
        <v>0</v>
      </c>
      <c r="N20" s="12">
        <v>0</v>
      </c>
      <c r="O20" s="12">
        <v>0</v>
      </c>
      <c r="P20" s="13">
        <v>1</v>
      </c>
      <c r="Q20" s="22">
        <v>274.37529999999998</v>
      </c>
      <c r="R20" s="22">
        <v>315.56549999999999</v>
      </c>
      <c r="S20" s="23">
        <v>824665.69433243817</v>
      </c>
      <c r="T20" s="23">
        <v>0</v>
      </c>
      <c r="U20" s="23">
        <v>0</v>
      </c>
      <c r="V20" s="23">
        <v>824665.69433243817</v>
      </c>
    </row>
    <row r="21" spans="1:22" x14ac:dyDescent="0.35">
      <c r="A21" s="24" t="s">
        <v>41</v>
      </c>
      <c r="B21" s="25" t="s">
        <v>42</v>
      </c>
      <c r="C21" s="26" t="s">
        <v>32</v>
      </c>
      <c r="D21" s="34">
        <v>1</v>
      </c>
      <c r="E21" s="34">
        <v>2</v>
      </c>
      <c r="F21" s="27">
        <v>1827.7120003298719</v>
      </c>
      <c r="G21" s="27">
        <v>1827.6173530659821</v>
      </c>
      <c r="H21" s="27">
        <v>9.4647263889783062E-2</v>
      </c>
      <c r="I21" s="27">
        <v>342.14299999999997</v>
      </c>
      <c r="J21" s="27">
        <v>0</v>
      </c>
      <c r="K21" s="28">
        <v>0</v>
      </c>
      <c r="L21" s="21">
        <v>434.45800000000003</v>
      </c>
      <c r="M21" s="21">
        <v>0</v>
      </c>
      <c r="N21" s="12">
        <v>0</v>
      </c>
      <c r="O21" s="12">
        <v>0</v>
      </c>
      <c r="P21" s="13">
        <v>1</v>
      </c>
      <c r="Q21" s="22">
        <v>274.37529999999998</v>
      </c>
      <c r="R21" s="22">
        <v>315.56549999999999</v>
      </c>
      <c r="S21" s="23">
        <v>501479.02840410866</v>
      </c>
      <c r="T21" s="23">
        <v>0</v>
      </c>
      <c r="U21" s="23">
        <v>0</v>
      </c>
      <c r="V21" s="23">
        <v>501479.02840410866</v>
      </c>
    </row>
    <row r="22" spans="1:22" x14ac:dyDescent="0.35">
      <c r="A22" s="24" t="s">
        <v>48</v>
      </c>
      <c r="B22" s="25" t="s">
        <v>45</v>
      </c>
      <c r="C22" s="26" t="s">
        <v>32</v>
      </c>
      <c r="D22" s="34">
        <v>1</v>
      </c>
      <c r="E22" s="34">
        <v>2</v>
      </c>
      <c r="F22" s="27">
        <v>1543.7490002786233</v>
      </c>
      <c r="G22" s="27">
        <v>1543.3054329023023</v>
      </c>
      <c r="H22" s="27">
        <v>0.44356737632097065</v>
      </c>
      <c r="I22" s="27">
        <v>252.49</v>
      </c>
      <c r="J22" s="27">
        <v>1.0200000000000007</v>
      </c>
      <c r="K22" s="28">
        <v>1</v>
      </c>
      <c r="L22" s="21">
        <v>234.101</v>
      </c>
      <c r="M22" s="21">
        <v>0</v>
      </c>
      <c r="N22" s="12">
        <v>5</v>
      </c>
      <c r="O22" s="12">
        <v>5</v>
      </c>
      <c r="P22" s="13">
        <v>1</v>
      </c>
      <c r="Q22" s="22">
        <v>274.37529999999998</v>
      </c>
      <c r="R22" s="22">
        <v>315.56549999999999</v>
      </c>
      <c r="S22" s="23">
        <v>423566.59507614729</v>
      </c>
      <c r="T22" s="23">
        <v>321.87681000000021</v>
      </c>
      <c r="U22" s="23">
        <v>0</v>
      </c>
      <c r="V22" s="23">
        <v>423888.47188614728</v>
      </c>
    </row>
    <row r="23" spans="1:22" x14ac:dyDescent="0.35">
      <c r="A23" s="24" t="s">
        <v>49</v>
      </c>
      <c r="B23" s="25" t="s">
        <v>46</v>
      </c>
      <c r="C23" s="26" t="s">
        <v>32</v>
      </c>
      <c r="D23" s="34">
        <v>1</v>
      </c>
      <c r="E23" s="34">
        <v>2</v>
      </c>
      <c r="F23" s="27">
        <v>3582.6850006466129</v>
      </c>
      <c r="G23" s="27">
        <v>3583.4568641371156</v>
      </c>
      <c r="H23" s="27">
        <v>-0.77186349050271019</v>
      </c>
      <c r="I23" s="27">
        <v>1488.2950000000001</v>
      </c>
      <c r="J23" s="27">
        <v>17.869999999999994</v>
      </c>
      <c r="K23" s="28">
        <v>31</v>
      </c>
      <c r="L23" s="21">
        <v>47.145000000000003</v>
      </c>
      <c r="M23" s="21">
        <v>0</v>
      </c>
      <c r="N23" s="12">
        <v>0</v>
      </c>
      <c r="O23" s="12">
        <v>1</v>
      </c>
      <c r="P23" s="13">
        <v>1</v>
      </c>
      <c r="Q23" s="22">
        <v>274.37529999999998</v>
      </c>
      <c r="R23" s="22">
        <v>315.56549999999999</v>
      </c>
      <c r="S23" s="23">
        <v>983000.27185791451</v>
      </c>
      <c r="T23" s="23">
        <v>5639.1554849999975</v>
      </c>
      <c r="U23" s="23">
        <v>0</v>
      </c>
      <c r="V23" s="23">
        <v>988639.42734291451</v>
      </c>
    </row>
    <row r="24" spans="1:22" x14ac:dyDescent="0.35">
      <c r="A24" s="24" t="s">
        <v>50</v>
      </c>
      <c r="B24" s="25" t="s">
        <v>47</v>
      </c>
      <c r="C24" s="26" t="s">
        <v>32</v>
      </c>
      <c r="D24" s="34">
        <v>1</v>
      </c>
      <c r="E24" s="34">
        <v>1</v>
      </c>
      <c r="F24" s="27">
        <v>1402.5690002531428</v>
      </c>
      <c r="G24" s="27">
        <v>1403.2296778896759</v>
      </c>
      <c r="H24" s="27">
        <v>-0.66067763653313705</v>
      </c>
      <c r="I24" s="27">
        <v>21.13</v>
      </c>
      <c r="J24" s="27">
        <v>0</v>
      </c>
      <c r="K24" s="28">
        <v>0</v>
      </c>
      <c r="L24" s="21">
        <v>354.87099999999998</v>
      </c>
      <c r="M24" s="21">
        <v>0</v>
      </c>
      <c r="N24" s="12">
        <v>0</v>
      </c>
      <c r="O24" s="12">
        <v>0</v>
      </c>
      <c r="P24" s="13">
        <v>1</v>
      </c>
      <c r="Q24" s="22">
        <v>184.8783</v>
      </c>
      <c r="R24" s="22">
        <v>226.0685</v>
      </c>
      <c r="S24" s="23">
        <v>259304.57239950061</v>
      </c>
      <c r="T24" s="23">
        <v>0</v>
      </c>
      <c r="U24" s="23">
        <v>0</v>
      </c>
      <c r="V24" s="23">
        <v>259304.57239950061</v>
      </c>
    </row>
    <row r="25" spans="1:22" x14ac:dyDescent="0.35">
      <c r="A25" s="24" t="s">
        <v>51</v>
      </c>
      <c r="B25" s="25" t="s">
        <v>52</v>
      </c>
      <c r="C25" s="26" t="s">
        <v>32</v>
      </c>
      <c r="D25" s="34">
        <v>1</v>
      </c>
      <c r="E25" s="34">
        <v>1</v>
      </c>
      <c r="F25" s="27">
        <v>1147.8400002071653</v>
      </c>
      <c r="G25" s="27">
        <v>1149.0398162230545</v>
      </c>
      <c r="H25" s="27">
        <v>-1.1998160158891551</v>
      </c>
      <c r="I25" s="27">
        <v>187.11199999999999</v>
      </c>
      <c r="J25" s="27">
        <v>0</v>
      </c>
      <c r="K25" s="28">
        <v>0</v>
      </c>
      <c r="L25" s="21">
        <v>129.76</v>
      </c>
      <c r="M25" s="21">
        <v>0</v>
      </c>
      <c r="N25" s="12">
        <v>0</v>
      </c>
      <c r="O25" s="12">
        <v>0</v>
      </c>
      <c r="P25" s="13">
        <v>1</v>
      </c>
      <c r="Q25" s="22">
        <v>184.8783</v>
      </c>
      <c r="R25" s="22">
        <v>226.0685</v>
      </c>
      <c r="S25" s="23">
        <v>212210.70791030038</v>
      </c>
      <c r="T25" s="23">
        <v>0</v>
      </c>
      <c r="U25" s="23">
        <v>0</v>
      </c>
      <c r="V25" s="23">
        <v>212210.70791030038</v>
      </c>
    </row>
    <row r="26" spans="1:22" x14ac:dyDescent="0.35">
      <c r="A26" s="24" t="s">
        <v>53</v>
      </c>
      <c r="B26" s="25" t="s">
        <v>54</v>
      </c>
      <c r="C26" s="26" t="s">
        <v>32</v>
      </c>
      <c r="D26" s="34">
        <v>1</v>
      </c>
      <c r="E26" s="34">
        <v>2</v>
      </c>
      <c r="F26" s="27">
        <v>3498.5290006314272</v>
      </c>
      <c r="G26" s="27">
        <v>3497.9488073169005</v>
      </c>
      <c r="H26" s="27">
        <v>0.58019331452669576</v>
      </c>
      <c r="I26" s="27">
        <v>428.642</v>
      </c>
      <c r="J26" s="27">
        <v>0</v>
      </c>
      <c r="K26" s="28">
        <v>0</v>
      </c>
      <c r="L26" s="21">
        <v>345.34</v>
      </c>
      <c r="M26" s="21">
        <v>0</v>
      </c>
      <c r="N26" s="12">
        <v>0</v>
      </c>
      <c r="O26" s="12">
        <v>0</v>
      </c>
      <c r="P26" s="13">
        <v>1</v>
      </c>
      <c r="Q26" s="22">
        <v>274.37529999999998</v>
      </c>
      <c r="R26" s="22">
        <v>315.56549999999999</v>
      </c>
      <c r="S26" s="23">
        <v>959909.94410694798</v>
      </c>
      <c r="T26" s="23">
        <v>0</v>
      </c>
      <c r="U26" s="23">
        <v>0</v>
      </c>
      <c r="V26" s="23">
        <v>959909.94410694798</v>
      </c>
    </row>
    <row r="27" spans="1:22" x14ac:dyDescent="0.35">
      <c r="A27" s="24" t="s">
        <v>55</v>
      </c>
      <c r="B27" s="25" t="s">
        <v>56</v>
      </c>
      <c r="C27" s="26" t="s">
        <v>32</v>
      </c>
      <c r="D27" s="34">
        <v>1</v>
      </c>
      <c r="E27" s="34">
        <v>2</v>
      </c>
      <c r="F27" s="27">
        <v>5140.0570009276926</v>
      </c>
      <c r="G27" s="27">
        <v>5140.4925118647852</v>
      </c>
      <c r="H27" s="27">
        <v>-0.43551093709265842</v>
      </c>
      <c r="I27" s="27">
        <v>1853.0319999999999</v>
      </c>
      <c r="J27" s="27">
        <v>33.259999999999991</v>
      </c>
      <c r="K27" s="28">
        <v>31</v>
      </c>
      <c r="L27" s="21">
        <v>122.49299999999999</v>
      </c>
      <c r="M27" s="21">
        <v>0</v>
      </c>
      <c r="N27" s="12">
        <v>5</v>
      </c>
      <c r="O27" s="12">
        <v>6</v>
      </c>
      <c r="P27" s="13">
        <v>1</v>
      </c>
      <c r="Q27" s="22">
        <v>274.37529999999998</v>
      </c>
      <c r="R27" s="22">
        <v>315.56549999999999</v>
      </c>
      <c r="S27" s="23">
        <v>1410304.6816466358</v>
      </c>
      <c r="T27" s="23">
        <v>10495.708529999996</v>
      </c>
      <c r="U27" s="23">
        <v>0</v>
      </c>
      <c r="V27" s="23">
        <v>1420800.3901766357</v>
      </c>
    </row>
    <row r="28" spans="1:22" x14ac:dyDescent="0.35">
      <c r="A28" s="24" t="s">
        <v>58</v>
      </c>
      <c r="B28" s="25" t="s">
        <v>59</v>
      </c>
      <c r="C28" s="26" t="s">
        <v>32</v>
      </c>
      <c r="D28" s="34">
        <v>1</v>
      </c>
      <c r="E28" s="34">
        <v>1</v>
      </c>
      <c r="F28" s="27">
        <v>11308.080002040895</v>
      </c>
      <c r="G28" s="27">
        <v>11308.218712069614</v>
      </c>
      <c r="H28" s="27">
        <v>-0.13871002871928795</v>
      </c>
      <c r="I28" s="27">
        <v>736.08</v>
      </c>
      <c r="J28" s="27">
        <v>0</v>
      </c>
      <c r="K28" s="28">
        <v>0</v>
      </c>
      <c r="L28" s="21">
        <v>526.20000000000005</v>
      </c>
      <c r="M28" s="21">
        <v>0</v>
      </c>
      <c r="N28" s="12">
        <v>0</v>
      </c>
      <c r="O28" s="12">
        <v>0</v>
      </c>
      <c r="P28" s="13">
        <v>1</v>
      </c>
      <c r="Q28" s="22">
        <v>184.8783</v>
      </c>
      <c r="R28" s="22">
        <v>226.0685</v>
      </c>
      <c r="S28" s="23">
        <v>2090618.6070413173</v>
      </c>
      <c r="T28" s="23">
        <v>0</v>
      </c>
      <c r="U28" s="23">
        <v>0</v>
      </c>
      <c r="V28" s="23">
        <v>2090618.6070413173</v>
      </c>
    </row>
    <row r="29" spans="1:22" x14ac:dyDescent="0.35">
      <c r="A29" s="24" t="s">
        <v>64</v>
      </c>
      <c r="B29" s="25" t="s">
        <v>60</v>
      </c>
      <c r="C29" s="26" t="s">
        <v>32</v>
      </c>
      <c r="D29" s="34">
        <v>1</v>
      </c>
      <c r="E29" s="34">
        <v>1</v>
      </c>
      <c r="F29" s="27">
        <v>3291.9850005941462</v>
      </c>
      <c r="G29" s="27">
        <v>3291.8922207093465</v>
      </c>
      <c r="H29" s="27">
        <v>9.2779884799710999E-2</v>
      </c>
      <c r="I29" s="27">
        <v>713.048</v>
      </c>
      <c r="J29" s="27">
        <v>0</v>
      </c>
      <c r="K29" s="28">
        <v>0</v>
      </c>
      <c r="L29" s="21">
        <v>216.08</v>
      </c>
      <c r="M29" s="21">
        <v>0</v>
      </c>
      <c r="N29" s="12">
        <v>0</v>
      </c>
      <c r="O29" s="12">
        <v>0</v>
      </c>
      <c r="P29" s="13">
        <v>1</v>
      </c>
      <c r="Q29" s="22">
        <v>184.8783</v>
      </c>
      <c r="R29" s="22">
        <v>226.0685</v>
      </c>
      <c r="S29" s="23">
        <v>608616.59053534467</v>
      </c>
      <c r="T29" s="23">
        <v>0</v>
      </c>
      <c r="U29" s="23">
        <v>0</v>
      </c>
      <c r="V29" s="23">
        <v>608616.59053534467</v>
      </c>
    </row>
    <row r="30" spans="1:22" x14ac:dyDescent="0.35">
      <c r="A30" s="24" t="s">
        <v>65</v>
      </c>
      <c r="B30" s="25" t="s">
        <v>63</v>
      </c>
      <c r="C30" s="26" t="s">
        <v>32</v>
      </c>
      <c r="D30" s="34">
        <v>1</v>
      </c>
      <c r="E30" s="34">
        <v>1</v>
      </c>
      <c r="F30" s="27">
        <v>1089.4590001966319</v>
      </c>
      <c r="G30" s="27">
        <v>1089.7432046434874</v>
      </c>
      <c r="H30" s="27">
        <v>-0.28420444685548318</v>
      </c>
      <c r="I30" s="27">
        <v>204.09800000000001</v>
      </c>
      <c r="J30" s="27">
        <v>0</v>
      </c>
      <c r="K30" s="28">
        <v>0</v>
      </c>
      <c r="L30" s="21">
        <v>155.93299999999999</v>
      </c>
      <c r="M30" s="21">
        <v>0</v>
      </c>
      <c r="N30" s="12">
        <v>0</v>
      </c>
      <c r="O30" s="12">
        <v>0</v>
      </c>
      <c r="P30" s="13">
        <v>1</v>
      </c>
      <c r="Q30" s="22">
        <v>184.8783</v>
      </c>
      <c r="R30" s="22">
        <v>226.0685</v>
      </c>
      <c r="S30" s="23">
        <v>201417.32787605296</v>
      </c>
      <c r="T30" s="23">
        <v>0</v>
      </c>
      <c r="U30" s="23">
        <v>0</v>
      </c>
      <c r="V30" s="23">
        <v>201417.32787605296</v>
      </c>
    </row>
    <row r="31" spans="1:22" x14ac:dyDescent="0.35">
      <c r="A31" s="24" t="s">
        <v>66</v>
      </c>
      <c r="B31" s="25" t="s">
        <v>67</v>
      </c>
      <c r="C31" s="26" t="s">
        <v>32</v>
      </c>
      <c r="D31" s="34">
        <v>1</v>
      </c>
      <c r="E31" s="34">
        <v>1</v>
      </c>
      <c r="F31" s="27">
        <v>5752.717001038267</v>
      </c>
      <c r="G31" s="27">
        <v>5752.7016012613794</v>
      </c>
      <c r="H31" s="27">
        <v>1.5399776887534244E-2</v>
      </c>
      <c r="I31" s="27">
        <v>3205.4569999999999</v>
      </c>
      <c r="J31" s="27">
        <v>370.48999999999978</v>
      </c>
      <c r="K31" s="28">
        <v>31</v>
      </c>
      <c r="L31" s="21">
        <v>1.486</v>
      </c>
      <c r="M31" s="21">
        <v>0</v>
      </c>
      <c r="N31" s="12">
        <v>5</v>
      </c>
      <c r="O31" s="12">
        <v>6</v>
      </c>
      <c r="P31" s="13">
        <v>1</v>
      </c>
      <c r="Q31" s="22">
        <v>184.8783</v>
      </c>
      <c r="R31" s="22">
        <v>226.0685</v>
      </c>
      <c r="S31" s="23">
        <v>1063552.5395330531</v>
      </c>
      <c r="T31" s="23">
        <v>83756.118564999953</v>
      </c>
      <c r="U31" s="23">
        <v>0</v>
      </c>
      <c r="V31" s="23">
        <v>1147308.658098053</v>
      </c>
    </row>
    <row r="32" spans="1:22" x14ac:dyDescent="0.35">
      <c r="A32" s="24" t="s">
        <v>68</v>
      </c>
      <c r="B32" s="25" t="s">
        <v>69</v>
      </c>
      <c r="C32" s="26" t="s">
        <v>32</v>
      </c>
      <c r="D32" s="34">
        <v>1</v>
      </c>
      <c r="E32" s="34">
        <v>2</v>
      </c>
      <c r="F32" s="27">
        <v>0.5650000001019726</v>
      </c>
      <c r="G32" s="27">
        <v>0.41345690816664998</v>
      </c>
      <c r="H32" s="27">
        <v>0.15154309193532262</v>
      </c>
      <c r="I32" s="27">
        <v>0</v>
      </c>
      <c r="J32" s="27">
        <v>0</v>
      </c>
      <c r="K32" s="28">
        <v>0</v>
      </c>
      <c r="L32" s="21">
        <v>0.219</v>
      </c>
      <c r="M32" s="21">
        <v>0</v>
      </c>
      <c r="N32" s="12">
        <v>0</v>
      </c>
      <c r="O32" s="12">
        <v>0</v>
      </c>
      <c r="P32" s="13">
        <v>1</v>
      </c>
      <c r="Q32" s="22">
        <v>274.37529999999998</v>
      </c>
      <c r="R32" s="22">
        <v>315.56549999999999</v>
      </c>
      <c r="S32" s="23">
        <v>155.02204452797875</v>
      </c>
      <c r="T32" s="23">
        <v>0</v>
      </c>
      <c r="U32" s="23">
        <v>0</v>
      </c>
      <c r="V32" s="23">
        <v>155.02204452797875</v>
      </c>
    </row>
    <row r="33" spans="1:22" x14ac:dyDescent="0.35">
      <c r="A33" s="24" t="s">
        <v>70</v>
      </c>
      <c r="B33" s="25" t="s">
        <v>71</v>
      </c>
      <c r="C33" s="26" t="s">
        <v>32</v>
      </c>
      <c r="D33" s="34">
        <v>1</v>
      </c>
      <c r="E33" s="34">
        <v>1</v>
      </c>
      <c r="F33" s="27">
        <v>1233.3820002226057</v>
      </c>
      <c r="G33" s="27">
        <v>1232.9629548952976</v>
      </c>
      <c r="H33" s="27">
        <v>0.41904532730814026</v>
      </c>
      <c r="I33" s="27">
        <v>388.42399999999998</v>
      </c>
      <c r="J33" s="27">
        <v>2.1600000000000006</v>
      </c>
      <c r="K33" s="28">
        <v>31</v>
      </c>
      <c r="L33" s="21">
        <v>144.137</v>
      </c>
      <c r="M33" s="21">
        <v>0</v>
      </c>
      <c r="N33" s="12">
        <v>5</v>
      </c>
      <c r="O33" s="12">
        <v>6</v>
      </c>
      <c r="P33" s="13">
        <v>1</v>
      </c>
      <c r="Q33" s="22">
        <v>184.8783</v>
      </c>
      <c r="R33" s="22">
        <v>226.0685</v>
      </c>
      <c r="S33" s="23">
        <v>228025.56745175496</v>
      </c>
      <c r="T33" s="23">
        <v>488.30796000000015</v>
      </c>
      <c r="U33" s="23">
        <v>0</v>
      </c>
      <c r="V33" s="23">
        <v>228513.87541175497</v>
      </c>
    </row>
    <row r="34" spans="1:22" x14ac:dyDescent="0.35">
      <c r="A34" s="24" t="s">
        <v>72</v>
      </c>
      <c r="B34" s="25" t="s">
        <v>73</v>
      </c>
      <c r="C34" s="26" t="s">
        <v>32</v>
      </c>
      <c r="D34" s="34">
        <v>1</v>
      </c>
      <c r="E34" s="34">
        <v>1</v>
      </c>
      <c r="F34" s="27">
        <v>413.42400007461589</v>
      </c>
      <c r="G34" s="27">
        <v>404.84322257984479</v>
      </c>
      <c r="H34" s="27">
        <v>8.5807774947710982</v>
      </c>
      <c r="I34" s="27">
        <v>92.772999999999996</v>
      </c>
      <c r="J34" s="27">
        <v>0.09</v>
      </c>
      <c r="K34" s="28">
        <v>1</v>
      </c>
      <c r="L34" s="21">
        <v>1.2E-2</v>
      </c>
      <c r="M34" s="21">
        <v>0</v>
      </c>
      <c r="N34" s="12">
        <v>0</v>
      </c>
      <c r="O34" s="12">
        <v>0</v>
      </c>
      <c r="P34" s="13">
        <v>1</v>
      </c>
      <c r="Q34" s="22">
        <v>184.8783</v>
      </c>
      <c r="R34" s="22">
        <v>226.0685</v>
      </c>
      <c r="S34" s="23">
        <v>76433.126312994864</v>
      </c>
      <c r="T34" s="23">
        <v>20.346164999999999</v>
      </c>
      <c r="U34" s="23">
        <v>0</v>
      </c>
      <c r="V34" s="23">
        <v>76453.472477994859</v>
      </c>
    </row>
    <row r="35" spans="1:22" x14ac:dyDescent="0.35">
      <c r="A35" s="24" t="s">
        <v>74</v>
      </c>
      <c r="B35" s="25" t="s">
        <v>75</v>
      </c>
      <c r="C35" s="26" t="s">
        <v>32</v>
      </c>
      <c r="D35" s="34">
        <v>1</v>
      </c>
      <c r="E35" s="34">
        <v>1</v>
      </c>
      <c r="F35" s="27">
        <v>6639.360001198289</v>
      </c>
      <c r="G35" s="27">
        <v>6639.3943955671075</v>
      </c>
      <c r="H35" s="27">
        <v>-3.4394368818539078E-2</v>
      </c>
      <c r="I35" s="27">
        <v>4509.21</v>
      </c>
      <c r="J35" s="27">
        <v>1189.610000000001</v>
      </c>
      <c r="K35" s="28">
        <v>31</v>
      </c>
      <c r="L35" s="21">
        <v>2.31</v>
      </c>
      <c r="M35" s="21">
        <v>0</v>
      </c>
      <c r="N35" s="12">
        <v>5</v>
      </c>
      <c r="O35" s="12">
        <v>6</v>
      </c>
      <c r="P35" s="13">
        <v>1</v>
      </c>
      <c r="Q35" s="22">
        <v>184.8783</v>
      </c>
      <c r="R35" s="22">
        <v>226.0685</v>
      </c>
      <c r="S35" s="23">
        <v>1227473.5901095376</v>
      </c>
      <c r="T35" s="23">
        <v>268933.34828500025</v>
      </c>
      <c r="U35" s="23">
        <v>0</v>
      </c>
      <c r="V35" s="23">
        <v>1496406.9383945379</v>
      </c>
    </row>
    <row r="36" spans="1:22" x14ac:dyDescent="0.35">
      <c r="A36" s="24" t="s">
        <v>78</v>
      </c>
      <c r="B36" s="25" t="s">
        <v>79</v>
      </c>
      <c r="C36" s="26" t="s">
        <v>32</v>
      </c>
      <c r="D36" s="34">
        <v>1</v>
      </c>
      <c r="E36" s="34">
        <v>1</v>
      </c>
      <c r="F36" s="27">
        <v>7106.8200012826574</v>
      </c>
      <c r="G36" s="27">
        <v>7106.7643618215707</v>
      </c>
      <c r="H36" s="27">
        <v>5.5639461086684605E-2</v>
      </c>
      <c r="I36" s="27">
        <v>5101.3500000000004</v>
      </c>
      <c r="J36" s="27">
        <v>1547.9200000000019</v>
      </c>
      <c r="K36" s="28">
        <v>31</v>
      </c>
      <c r="L36" s="21">
        <v>0.06</v>
      </c>
      <c r="M36" s="21">
        <v>0</v>
      </c>
      <c r="N36" s="12">
        <v>5</v>
      </c>
      <c r="O36" s="12">
        <v>6</v>
      </c>
      <c r="P36" s="13">
        <v>1</v>
      </c>
      <c r="Q36" s="22">
        <v>184.8783</v>
      </c>
      <c r="R36" s="22">
        <v>226.0685</v>
      </c>
      <c r="S36" s="23">
        <v>1313896.8002431355</v>
      </c>
      <c r="T36" s="23">
        <v>349935.9525200004</v>
      </c>
      <c r="U36" s="23">
        <v>0</v>
      </c>
      <c r="V36" s="23">
        <v>1663832.7527631358</v>
      </c>
    </row>
    <row r="37" spans="1:22" x14ac:dyDescent="0.35">
      <c r="A37" s="24" t="s">
        <v>80</v>
      </c>
      <c r="B37" s="25" t="s">
        <v>81</v>
      </c>
      <c r="C37" s="26" t="s">
        <v>32</v>
      </c>
      <c r="D37" s="34">
        <v>1</v>
      </c>
      <c r="E37" s="34">
        <v>2</v>
      </c>
      <c r="F37" s="27">
        <v>1004.2300001812461</v>
      </c>
      <c r="G37" s="27">
        <v>1004.2179204520983</v>
      </c>
      <c r="H37" s="27">
        <v>1.2079729147785656E-2</v>
      </c>
      <c r="I37" s="27">
        <v>500.63299999999998</v>
      </c>
      <c r="J37" s="27">
        <v>63.179999999999978</v>
      </c>
      <c r="K37" s="28">
        <v>31</v>
      </c>
      <c r="L37" s="21">
        <v>211.09800000000001</v>
      </c>
      <c r="M37" s="21">
        <v>0</v>
      </c>
      <c r="N37" s="12">
        <v>5</v>
      </c>
      <c r="O37" s="12">
        <v>6</v>
      </c>
      <c r="P37" s="13">
        <v>1</v>
      </c>
      <c r="Q37" s="22">
        <v>274.37529999999998</v>
      </c>
      <c r="R37" s="22">
        <v>315.56549999999999</v>
      </c>
      <c r="S37" s="23">
        <v>275535.90756872942</v>
      </c>
      <c r="T37" s="23">
        <v>19937.428289999993</v>
      </c>
      <c r="U37" s="23">
        <v>0</v>
      </c>
      <c r="V37" s="23">
        <v>295473.33585872944</v>
      </c>
    </row>
    <row r="38" spans="1:22" x14ac:dyDescent="0.35">
      <c r="A38" s="24" t="s">
        <v>82</v>
      </c>
      <c r="B38" s="25" t="s">
        <v>83</v>
      </c>
      <c r="C38" s="26" t="s">
        <v>32</v>
      </c>
      <c r="D38" s="34">
        <v>1</v>
      </c>
      <c r="E38" s="34">
        <v>2</v>
      </c>
      <c r="F38" s="27">
        <v>804.12000014512967</v>
      </c>
      <c r="G38" s="27">
        <v>804.06170847150577</v>
      </c>
      <c r="H38" s="27">
        <v>5.8291673623898532E-2</v>
      </c>
      <c r="I38" s="27">
        <v>311</v>
      </c>
      <c r="J38" s="27">
        <v>51.45999999999998</v>
      </c>
      <c r="K38" s="28">
        <v>31</v>
      </c>
      <c r="L38" s="21">
        <v>47.89</v>
      </c>
      <c r="M38" s="21">
        <v>0</v>
      </c>
      <c r="N38" s="12">
        <v>5</v>
      </c>
      <c r="O38" s="12">
        <v>6</v>
      </c>
      <c r="P38" s="13">
        <v>1</v>
      </c>
      <c r="Q38" s="22">
        <v>274.37529999999998</v>
      </c>
      <c r="R38" s="22">
        <v>315.56549999999999</v>
      </c>
      <c r="S38" s="23">
        <v>220630.66627581997</v>
      </c>
      <c r="T38" s="23">
        <v>16239.000629999993</v>
      </c>
      <c r="U38" s="23">
        <v>0</v>
      </c>
      <c r="V38" s="23">
        <v>236869.66690581996</v>
      </c>
    </row>
    <row r="39" spans="1:22" x14ac:dyDescent="0.35">
      <c r="A39" s="24" t="s">
        <v>84</v>
      </c>
      <c r="B39" s="25" t="s">
        <v>85</v>
      </c>
      <c r="C39" s="26" t="s">
        <v>32</v>
      </c>
      <c r="D39" s="34">
        <v>1</v>
      </c>
      <c r="E39" s="34">
        <v>2</v>
      </c>
      <c r="F39" s="27">
        <v>1108.7360002001042</v>
      </c>
      <c r="G39" s="27">
        <v>933.29283333034437</v>
      </c>
      <c r="H39" s="27">
        <v>175.44316686975981</v>
      </c>
      <c r="I39" s="27">
        <v>237.39099999999999</v>
      </c>
      <c r="J39" s="27">
        <v>6.65</v>
      </c>
      <c r="K39" s="28">
        <v>31</v>
      </c>
      <c r="L39" s="21">
        <v>55.256999999999998</v>
      </c>
      <c r="M39" s="21">
        <v>0</v>
      </c>
      <c r="N39" s="12">
        <v>4</v>
      </c>
      <c r="O39" s="12">
        <v>5</v>
      </c>
      <c r="P39" s="13">
        <v>1</v>
      </c>
      <c r="Q39" s="22">
        <v>274.37529999999998</v>
      </c>
      <c r="R39" s="22">
        <v>315.56549999999999</v>
      </c>
      <c r="S39" s="23">
        <v>304209.77267570363</v>
      </c>
      <c r="T39" s="23">
        <v>2098.5105750000002</v>
      </c>
      <c r="U39" s="23">
        <v>0</v>
      </c>
      <c r="V39" s="23">
        <v>306308.28325070365</v>
      </c>
    </row>
    <row r="40" spans="1:22" x14ac:dyDescent="0.35">
      <c r="A40" s="24" t="s">
        <v>86</v>
      </c>
      <c r="B40" s="25" t="s">
        <v>87</v>
      </c>
      <c r="C40" s="26" t="s">
        <v>32</v>
      </c>
      <c r="D40" s="34">
        <v>1</v>
      </c>
      <c r="E40" s="34">
        <v>2</v>
      </c>
      <c r="F40" s="27">
        <v>1186.8490002142089</v>
      </c>
      <c r="G40" s="27">
        <v>1096.7891994534939</v>
      </c>
      <c r="H40" s="27">
        <v>90.059800760715007</v>
      </c>
      <c r="I40" s="27">
        <v>895.23500000000001</v>
      </c>
      <c r="J40" s="27">
        <v>301.86000000000064</v>
      </c>
      <c r="K40" s="28">
        <v>31</v>
      </c>
      <c r="L40" s="21">
        <v>2.4E-2</v>
      </c>
      <c r="M40" s="21">
        <v>0</v>
      </c>
      <c r="N40" s="12">
        <v>5</v>
      </c>
      <c r="O40" s="12">
        <v>6</v>
      </c>
      <c r="P40" s="13">
        <v>1</v>
      </c>
      <c r="Q40" s="22">
        <v>274.37529999999998</v>
      </c>
      <c r="R40" s="22">
        <v>315.56549999999999</v>
      </c>
      <c r="S40" s="23">
        <v>325642.05048847361</v>
      </c>
      <c r="T40" s="23">
        <v>95256.601830000203</v>
      </c>
      <c r="U40" s="23">
        <v>0</v>
      </c>
      <c r="V40" s="23">
        <v>420898.65231847379</v>
      </c>
    </row>
    <row r="41" spans="1:22" x14ac:dyDescent="0.35">
      <c r="A41" s="24" t="s">
        <v>88</v>
      </c>
      <c r="B41" s="25" t="s">
        <v>89</v>
      </c>
      <c r="C41" s="26" t="s">
        <v>32</v>
      </c>
      <c r="D41" s="34">
        <v>1</v>
      </c>
      <c r="E41" s="34">
        <v>2</v>
      </c>
      <c r="F41" s="27">
        <v>5739.3540010358574</v>
      </c>
      <c r="G41" s="27">
        <v>5280.120355226898</v>
      </c>
      <c r="H41" s="27">
        <v>459.23364580895941</v>
      </c>
      <c r="I41" s="27">
        <v>2994.4169999999999</v>
      </c>
      <c r="J41" s="27">
        <v>268.29000000000002</v>
      </c>
      <c r="K41" s="28">
        <v>31</v>
      </c>
      <c r="L41" s="21">
        <v>5.67</v>
      </c>
      <c r="M41" s="21">
        <v>0</v>
      </c>
      <c r="N41" s="12">
        <v>4</v>
      </c>
      <c r="O41" s="12">
        <v>5</v>
      </c>
      <c r="P41" s="13">
        <v>1</v>
      </c>
      <c r="Q41" s="22">
        <v>274.37529999999998</v>
      </c>
      <c r="R41" s="22">
        <v>315.56549999999999</v>
      </c>
      <c r="S41" s="23">
        <v>1574736.9758404135</v>
      </c>
      <c r="T41" s="23">
        <v>84663.067995000005</v>
      </c>
      <c r="U41" s="23">
        <v>0</v>
      </c>
      <c r="V41" s="23">
        <v>1659400.0438354134</v>
      </c>
    </row>
    <row r="42" spans="1:22" x14ac:dyDescent="0.35">
      <c r="A42" s="24" t="s">
        <v>90</v>
      </c>
      <c r="B42" s="25" t="s">
        <v>91</v>
      </c>
      <c r="C42" s="26" t="s">
        <v>32</v>
      </c>
      <c r="D42" s="34">
        <v>1</v>
      </c>
      <c r="E42" s="34">
        <v>2</v>
      </c>
      <c r="F42" s="27">
        <v>1360.2450002455005</v>
      </c>
      <c r="G42" s="27">
        <v>1192.2374494408823</v>
      </c>
      <c r="H42" s="27">
        <v>168.00755080461818</v>
      </c>
      <c r="I42" s="27">
        <v>203.90600000000001</v>
      </c>
      <c r="J42" s="27">
        <v>21.240000000000023</v>
      </c>
      <c r="K42" s="28">
        <v>31</v>
      </c>
      <c r="L42" s="21">
        <v>116.541</v>
      </c>
      <c r="M42" s="21">
        <v>0</v>
      </c>
      <c r="N42" s="12">
        <v>4</v>
      </c>
      <c r="O42" s="12">
        <v>5</v>
      </c>
      <c r="P42" s="13">
        <v>1</v>
      </c>
      <c r="Q42" s="22">
        <v>274.37529999999998</v>
      </c>
      <c r="R42" s="22">
        <v>315.56549999999999</v>
      </c>
      <c r="S42" s="23">
        <v>373217.63001585926</v>
      </c>
      <c r="T42" s="23">
        <v>6702.6112200000071</v>
      </c>
      <c r="U42" s="23">
        <v>0</v>
      </c>
      <c r="V42" s="23">
        <v>379920.24123585928</v>
      </c>
    </row>
    <row r="43" spans="1:22" x14ac:dyDescent="0.35">
      <c r="A43" s="24" t="s">
        <v>92</v>
      </c>
      <c r="B43" s="25" t="s">
        <v>93</v>
      </c>
      <c r="C43" s="26" t="s">
        <v>32</v>
      </c>
      <c r="D43" s="34">
        <v>1</v>
      </c>
      <c r="E43" s="34">
        <v>2</v>
      </c>
      <c r="F43" s="27">
        <v>5277.8640009525661</v>
      </c>
      <c r="G43" s="27">
        <v>4769.828393693384</v>
      </c>
      <c r="H43" s="27">
        <v>508.03560725918214</v>
      </c>
      <c r="I43" s="27">
        <v>3466.0529999999999</v>
      </c>
      <c r="J43" s="27">
        <v>827.0799999999997</v>
      </c>
      <c r="K43" s="28">
        <v>31</v>
      </c>
      <c r="L43" s="21">
        <v>213.49299999999999</v>
      </c>
      <c r="M43" s="21">
        <v>0</v>
      </c>
      <c r="N43" s="12">
        <v>5</v>
      </c>
      <c r="O43" s="12">
        <v>6</v>
      </c>
      <c r="P43" s="13">
        <v>1</v>
      </c>
      <c r="Q43" s="22">
        <v>274.37529999999998</v>
      </c>
      <c r="R43" s="22">
        <v>315.56549999999999</v>
      </c>
      <c r="S43" s="23">
        <v>1448115.5186205604</v>
      </c>
      <c r="T43" s="23">
        <v>260997.9137399999</v>
      </c>
      <c r="U43" s="23">
        <v>0</v>
      </c>
      <c r="V43" s="23">
        <v>1709113.4323605604</v>
      </c>
    </row>
    <row r="44" spans="1:22" x14ac:dyDescent="0.35">
      <c r="A44" s="24" t="s">
        <v>94</v>
      </c>
      <c r="B44" s="25" t="s">
        <v>95</v>
      </c>
      <c r="C44" s="26" t="s">
        <v>32</v>
      </c>
      <c r="D44" s="34">
        <v>1</v>
      </c>
      <c r="E44" s="34">
        <v>2</v>
      </c>
      <c r="F44" s="27">
        <v>1100.7900001986734</v>
      </c>
      <c r="G44" s="27">
        <v>1100.8290179937055</v>
      </c>
      <c r="H44" s="27">
        <v>-3.9017795032123104E-2</v>
      </c>
      <c r="I44" s="27">
        <v>105.78</v>
      </c>
      <c r="J44" s="27">
        <v>6.6700000000000008</v>
      </c>
      <c r="K44" s="28">
        <v>31</v>
      </c>
      <c r="L44" s="21">
        <v>109.73</v>
      </c>
      <c r="M44" s="21">
        <v>0</v>
      </c>
      <c r="N44" s="12">
        <v>2</v>
      </c>
      <c r="O44" s="12">
        <v>3</v>
      </c>
      <c r="P44" s="13">
        <v>1</v>
      </c>
      <c r="Q44" s="22">
        <v>274.37529999999998</v>
      </c>
      <c r="R44" s="22">
        <v>315.56549999999999</v>
      </c>
      <c r="S44" s="23">
        <v>302029.58654151106</v>
      </c>
      <c r="T44" s="23">
        <v>2104.8218850000003</v>
      </c>
      <c r="U44" s="23">
        <v>0</v>
      </c>
      <c r="V44" s="23">
        <v>304134.40842651104</v>
      </c>
    </row>
    <row r="45" spans="1:22" x14ac:dyDescent="0.35">
      <c r="A45" s="24" t="s">
        <v>96</v>
      </c>
      <c r="B45" s="25" t="s">
        <v>97</v>
      </c>
      <c r="C45" s="26" t="s">
        <v>32</v>
      </c>
      <c r="D45" s="34">
        <v>1</v>
      </c>
      <c r="E45" s="34">
        <v>2</v>
      </c>
      <c r="F45" s="27">
        <v>3632.9050006556763</v>
      </c>
      <c r="G45" s="27">
        <v>3268.9195212493373</v>
      </c>
      <c r="H45" s="27">
        <v>363.98547940633898</v>
      </c>
      <c r="I45" s="27">
        <v>2828.1239999999998</v>
      </c>
      <c r="J45" s="27">
        <v>1011.51</v>
      </c>
      <c r="K45" s="28">
        <v>31</v>
      </c>
      <c r="L45" s="21">
        <v>38.335999999999999</v>
      </c>
      <c r="M45" s="21">
        <v>0</v>
      </c>
      <c r="N45" s="12">
        <v>4</v>
      </c>
      <c r="O45" s="12">
        <v>5</v>
      </c>
      <c r="P45" s="13">
        <v>1</v>
      </c>
      <c r="Q45" s="22">
        <v>274.37529999999998</v>
      </c>
      <c r="R45" s="22">
        <v>315.56549999999999</v>
      </c>
      <c r="S45" s="23">
        <v>996779.39942640136</v>
      </c>
      <c r="T45" s="23">
        <v>319197.65890499996</v>
      </c>
      <c r="U45" s="23">
        <v>0</v>
      </c>
      <c r="V45" s="23">
        <v>1315977.0583314013</v>
      </c>
    </row>
    <row r="46" spans="1:22" x14ac:dyDescent="0.35">
      <c r="A46" s="24" t="s">
        <v>98</v>
      </c>
      <c r="B46" s="25" t="s">
        <v>99</v>
      </c>
      <c r="C46" s="26" t="s">
        <v>32</v>
      </c>
      <c r="D46" s="34">
        <v>1</v>
      </c>
      <c r="E46" s="34">
        <v>2</v>
      </c>
      <c r="F46" s="27">
        <v>2094.0930003779458</v>
      </c>
      <c r="G46" s="27">
        <v>2094.1850809208427</v>
      </c>
      <c r="H46" s="27">
        <v>-9.2080542896837869E-2</v>
      </c>
      <c r="I46" s="27">
        <v>394.6</v>
      </c>
      <c r="J46" s="27">
        <v>13.009999999999998</v>
      </c>
      <c r="K46" s="28">
        <v>31</v>
      </c>
      <c r="L46" s="21">
        <v>5.41</v>
      </c>
      <c r="M46" s="21">
        <v>0</v>
      </c>
      <c r="N46" s="12">
        <v>4</v>
      </c>
      <c r="O46" s="12">
        <v>5</v>
      </c>
      <c r="P46" s="13">
        <v>1</v>
      </c>
      <c r="Q46" s="22">
        <v>274.37529999999998</v>
      </c>
      <c r="R46" s="22">
        <v>315.56549999999999</v>
      </c>
      <c r="S46" s="23">
        <v>574567.39520659891</v>
      </c>
      <c r="T46" s="23">
        <v>4105.5071549999993</v>
      </c>
      <c r="U46" s="23">
        <v>0</v>
      </c>
      <c r="V46" s="23">
        <v>578672.90236159891</v>
      </c>
    </row>
    <row r="47" spans="1:22" x14ac:dyDescent="0.35">
      <c r="A47" s="24" t="s">
        <v>100</v>
      </c>
      <c r="B47" s="25" t="s">
        <v>101</v>
      </c>
      <c r="C47" s="26" t="s">
        <v>32</v>
      </c>
      <c r="D47" s="34">
        <v>1</v>
      </c>
      <c r="E47" s="34">
        <v>2</v>
      </c>
      <c r="F47" s="27">
        <v>2771.0860005001296</v>
      </c>
      <c r="G47" s="27">
        <v>2511.6559665709437</v>
      </c>
      <c r="H47" s="27">
        <v>259.43003392918581</v>
      </c>
      <c r="I47" s="27">
        <v>1507.8820000000001</v>
      </c>
      <c r="J47" s="27">
        <v>129.64000000000019</v>
      </c>
      <c r="K47" s="28">
        <v>31</v>
      </c>
      <c r="L47" s="21">
        <v>150.49799999999999</v>
      </c>
      <c r="M47" s="21">
        <v>0</v>
      </c>
      <c r="N47" s="12">
        <v>4</v>
      </c>
      <c r="O47" s="12">
        <v>5</v>
      </c>
      <c r="P47" s="13">
        <v>1</v>
      </c>
      <c r="Q47" s="22">
        <v>274.37529999999998</v>
      </c>
      <c r="R47" s="22">
        <v>315.56549999999999</v>
      </c>
      <c r="S47" s="23">
        <v>760317.55271302315</v>
      </c>
      <c r="T47" s="23">
        <v>40909.911420000055</v>
      </c>
      <c r="U47" s="23">
        <v>0</v>
      </c>
      <c r="V47" s="23">
        <v>801227.46413302317</v>
      </c>
    </row>
    <row r="48" spans="1:22" x14ac:dyDescent="0.35">
      <c r="A48" s="24" t="s">
        <v>102</v>
      </c>
      <c r="B48" s="25" t="s">
        <v>103</v>
      </c>
      <c r="C48" s="26" t="s">
        <v>32</v>
      </c>
      <c r="D48" s="34">
        <v>1</v>
      </c>
      <c r="E48" s="34">
        <v>2</v>
      </c>
      <c r="F48" s="27">
        <v>3691.338000666221</v>
      </c>
      <c r="G48" s="27">
        <v>3286.3277798202703</v>
      </c>
      <c r="H48" s="27">
        <v>405.0102208459507</v>
      </c>
      <c r="I48" s="27">
        <v>1185.375</v>
      </c>
      <c r="J48" s="27">
        <v>12.779999999999998</v>
      </c>
      <c r="K48" s="28">
        <v>31</v>
      </c>
      <c r="L48" s="21">
        <v>13.313000000000001</v>
      </c>
      <c r="M48" s="21">
        <v>0</v>
      </c>
      <c r="N48" s="12">
        <v>4</v>
      </c>
      <c r="O48" s="12">
        <v>5</v>
      </c>
      <c r="P48" s="13">
        <v>1</v>
      </c>
      <c r="Q48" s="22">
        <v>274.37529999999998</v>
      </c>
      <c r="R48" s="22">
        <v>315.56549999999999</v>
      </c>
      <c r="S48" s="23">
        <v>1012811.9713341945</v>
      </c>
      <c r="T48" s="23">
        <v>4032.9270899999992</v>
      </c>
      <c r="U48" s="23">
        <v>0</v>
      </c>
      <c r="V48" s="23">
        <v>1016844.8984241945</v>
      </c>
    </row>
    <row r="49" spans="1:22" x14ac:dyDescent="0.35">
      <c r="A49" s="24" t="s">
        <v>104</v>
      </c>
      <c r="B49" s="25" t="s">
        <v>105</v>
      </c>
      <c r="C49" s="26" t="s">
        <v>32</v>
      </c>
      <c r="D49" s="34">
        <v>1</v>
      </c>
      <c r="E49" s="34">
        <v>2</v>
      </c>
      <c r="F49" s="27">
        <v>2739.8380004944916</v>
      </c>
      <c r="G49" s="27">
        <v>2350.5369776697526</v>
      </c>
      <c r="H49" s="27">
        <v>389.30102282473899</v>
      </c>
      <c r="I49" s="27">
        <v>1151.45</v>
      </c>
      <c r="J49" s="27">
        <v>279.47999999999996</v>
      </c>
      <c r="K49" s="28">
        <v>31</v>
      </c>
      <c r="L49" s="21">
        <v>59.261000000000003</v>
      </c>
      <c r="M49" s="21">
        <v>0</v>
      </c>
      <c r="N49" s="12">
        <v>1</v>
      </c>
      <c r="O49" s="12">
        <v>2</v>
      </c>
      <c r="P49" s="13">
        <v>1</v>
      </c>
      <c r="Q49" s="22">
        <v>274.37529999999998</v>
      </c>
      <c r="R49" s="22">
        <v>315.56549999999999</v>
      </c>
      <c r="S49" s="23">
        <v>751743.87333707616</v>
      </c>
      <c r="T49" s="23">
        <v>88194.245939999979</v>
      </c>
      <c r="U49" s="23">
        <v>0</v>
      </c>
      <c r="V49" s="23">
        <v>839938.1192770761</v>
      </c>
    </row>
    <row r="50" spans="1:22" x14ac:dyDescent="0.35">
      <c r="A50" s="24" t="s">
        <v>106</v>
      </c>
      <c r="B50" s="25" t="s">
        <v>107</v>
      </c>
      <c r="C50" s="26" t="s">
        <v>32</v>
      </c>
      <c r="D50" s="34">
        <v>1</v>
      </c>
      <c r="E50" s="34">
        <v>2</v>
      </c>
      <c r="F50" s="27">
        <v>1416.6770002556873</v>
      </c>
      <c r="G50" s="27">
        <v>1293.5171645705382</v>
      </c>
      <c r="H50" s="27">
        <v>123.15983568514912</v>
      </c>
      <c r="I50" s="27">
        <v>574.39300000000003</v>
      </c>
      <c r="J50" s="27">
        <v>118.84999999999992</v>
      </c>
      <c r="K50" s="28">
        <v>31</v>
      </c>
      <c r="L50" s="21">
        <v>24.655999999999999</v>
      </c>
      <c r="M50" s="21">
        <v>0</v>
      </c>
      <c r="N50" s="12">
        <v>3</v>
      </c>
      <c r="O50" s="12">
        <v>4</v>
      </c>
      <c r="P50" s="13">
        <v>1</v>
      </c>
      <c r="Q50" s="22">
        <v>274.37529999999998</v>
      </c>
      <c r="R50" s="22">
        <v>315.56549999999999</v>
      </c>
      <c r="S50" s="23">
        <v>388701.17694825423</v>
      </c>
      <c r="T50" s="23">
        <v>37504.959674999976</v>
      </c>
      <c r="U50" s="23">
        <v>0</v>
      </c>
      <c r="V50" s="23">
        <v>426206.13662325422</v>
      </c>
    </row>
    <row r="51" spans="1:22" x14ac:dyDescent="0.35">
      <c r="A51" s="24" t="s">
        <v>108</v>
      </c>
      <c r="B51" s="25" t="s">
        <v>109</v>
      </c>
      <c r="C51" s="26" t="s">
        <v>32</v>
      </c>
      <c r="D51" s="34">
        <v>1</v>
      </c>
      <c r="E51" s="34">
        <v>2</v>
      </c>
      <c r="F51" s="27">
        <v>1804.8630003257449</v>
      </c>
      <c r="G51" s="27">
        <v>1634.3348621836597</v>
      </c>
      <c r="H51" s="27">
        <v>170.52813814208525</v>
      </c>
      <c r="I51" s="27">
        <v>1666.4459999999999</v>
      </c>
      <c r="J51" s="27">
        <v>764.04999999999939</v>
      </c>
      <c r="K51" s="28">
        <v>31</v>
      </c>
      <c r="L51" s="21">
        <v>2.1000000000000001E-2</v>
      </c>
      <c r="M51" s="21">
        <v>0</v>
      </c>
      <c r="N51" s="12">
        <v>4</v>
      </c>
      <c r="O51" s="12">
        <v>5</v>
      </c>
      <c r="P51" s="13">
        <v>1</v>
      </c>
      <c r="Q51" s="22">
        <v>274.37529999999998</v>
      </c>
      <c r="R51" s="22">
        <v>315.56549999999999</v>
      </c>
      <c r="S51" s="23">
        <v>495209.82717327634</v>
      </c>
      <c r="T51" s="23">
        <v>241107.8202749998</v>
      </c>
      <c r="U51" s="23">
        <v>0</v>
      </c>
      <c r="V51" s="23">
        <v>736317.64744827617</v>
      </c>
    </row>
    <row r="52" spans="1:22" x14ac:dyDescent="0.35">
      <c r="A52" s="24" t="s">
        <v>114</v>
      </c>
      <c r="B52" s="25" t="s">
        <v>115</v>
      </c>
      <c r="C52" s="26" t="s">
        <v>32</v>
      </c>
      <c r="D52" s="34">
        <v>1</v>
      </c>
      <c r="E52" s="34">
        <v>2</v>
      </c>
      <c r="F52" s="27">
        <v>1141.3300002059902</v>
      </c>
      <c r="G52" s="27">
        <v>1141.3219539372769</v>
      </c>
      <c r="H52" s="27">
        <v>8.0462687133149302E-3</v>
      </c>
      <c r="I52" s="27">
        <v>268.26</v>
      </c>
      <c r="J52" s="27">
        <v>47.760000000000041</v>
      </c>
      <c r="K52" s="28">
        <v>31</v>
      </c>
      <c r="L52" s="21">
        <v>290.04000000000002</v>
      </c>
      <c r="M52" s="21">
        <v>0</v>
      </c>
      <c r="N52" s="12">
        <v>4</v>
      </c>
      <c r="O52" s="12">
        <v>5</v>
      </c>
      <c r="P52" s="13">
        <v>1</v>
      </c>
      <c r="Q52" s="22">
        <v>274.37529999999998</v>
      </c>
      <c r="R52" s="22">
        <v>315.56549999999999</v>
      </c>
      <c r="S52" s="23">
        <v>313152.76120551862</v>
      </c>
      <c r="T52" s="23">
        <v>15071.408280000012</v>
      </c>
      <c r="U52" s="23">
        <v>0</v>
      </c>
      <c r="V52" s="23">
        <v>328224.16948551865</v>
      </c>
    </row>
    <row r="53" spans="1:22" x14ac:dyDescent="0.35">
      <c r="A53" s="24" t="s">
        <v>116</v>
      </c>
      <c r="B53" s="25" t="s">
        <v>117</v>
      </c>
      <c r="C53" s="26" t="s">
        <v>32</v>
      </c>
      <c r="D53" s="34">
        <v>1</v>
      </c>
      <c r="E53" s="34">
        <v>2</v>
      </c>
      <c r="F53" s="27">
        <v>3289.2560005936498</v>
      </c>
      <c r="G53" s="27">
        <v>2950.7213619871654</v>
      </c>
      <c r="H53" s="27">
        <v>338.53463860648435</v>
      </c>
      <c r="I53" s="27">
        <v>2626.8919999999998</v>
      </c>
      <c r="J53" s="27">
        <v>982.30999999999926</v>
      </c>
      <c r="K53" s="28">
        <v>31</v>
      </c>
      <c r="L53" s="21">
        <v>27.827999999999999</v>
      </c>
      <c r="M53" s="21">
        <v>0</v>
      </c>
      <c r="N53" s="12">
        <v>4</v>
      </c>
      <c r="O53" s="12">
        <v>5</v>
      </c>
      <c r="P53" s="13">
        <v>1</v>
      </c>
      <c r="Q53" s="22">
        <v>274.37529999999998</v>
      </c>
      <c r="R53" s="22">
        <v>315.56549999999999</v>
      </c>
      <c r="S53" s="23">
        <v>902490.60193968273</v>
      </c>
      <c r="T53" s="23">
        <v>309983.14630499977</v>
      </c>
      <c r="U53" s="23">
        <v>0</v>
      </c>
      <c r="V53" s="23">
        <v>1212473.7482446826</v>
      </c>
    </row>
    <row r="54" spans="1:22" x14ac:dyDescent="0.35">
      <c r="A54" s="24" t="s">
        <v>118</v>
      </c>
      <c r="B54" s="25" t="s">
        <v>119</v>
      </c>
      <c r="C54" s="26" t="s">
        <v>32</v>
      </c>
      <c r="D54" s="34">
        <v>1</v>
      </c>
      <c r="E54" s="34">
        <v>2</v>
      </c>
      <c r="F54" s="27">
        <v>1245.300000224755</v>
      </c>
      <c r="G54" s="27">
        <v>1195.0799656845284</v>
      </c>
      <c r="H54" s="27">
        <v>50.220034540226607</v>
      </c>
      <c r="I54" s="27">
        <v>506.35500000000002</v>
      </c>
      <c r="J54" s="27">
        <v>24.859999999999985</v>
      </c>
      <c r="K54" s="28">
        <v>31</v>
      </c>
      <c r="L54" s="21">
        <v>27.888999999999999</v>
      </c>
      <c r="M54" s="21">
        <v>0</v>
      </c>
      <c r="N54" s="12">
        <v>2</v>
      </c>
      <c r="O54" s="12">
        <v>3</v>
      </c>
      <c r="P54" s="13">
        <v>1</v>
      </c>
      <c r="Q54" s="22">
        <v>274.37529999999998</v>
      </c>
      <c r="R54" s="22">
        <v>315.56549999999999</v>
      </c>
      <c r="S54" s="23">
        <v>341679.56115166721</v>
      </c>
      <c r="T54" s="23">
        <v>7844.9583299999949</v>
      </c>
      <c r="U54" s="23">
        <v>0</v>
      </c>
      <c r="V54" s="23">
        <v>349524.5194816672</v>
      </c>
    </row>
    <row r="55" spans="1:22" x14ac:dyDescent="0.35">
      <c r="A55" s="24" t="s">
        <v>120</v>
      </c>
      <c r="B55" s="25" t="s">
        <v>121</v>
      </c>
      <c r="C55" s="26" t="s">
        <v>32</v>
      </c>
      <c r="D55" s="34">
        <v>1</v>
      </c>
      <c r="E55" s="34">
        <v>2</v>
      </c>
      <c r="F55" s="27">
        <v>3396.9000006130814</v>
      </c>
      <c r="G55" s="27">
        <v>3396.8413658989812</v>
      </c>
      <c r="H55" s="27">
        <v>5.863471410020793E-2</v>
      </c>
      <c r="I55" s="27">
        <v>448.1</v>
      </c>
      <c r="J55" s="27">
        <v>40.07</v>
      </c>
      <c r="K55" s="28">
        <v>31</v>
      </c>
      <c r="L55" s="21">
        <v>175.09</v>
      </c>
      <c r="M55" s="21">
        <v>0</v>
      </c>
      <c r="N55" s="12">
        <v>3</v>
      </c>
      <c r="O55" s="12">
        <v>4</v>
      </c>
      <c r="P55" s="13">
        <v>1</v>
      </c>
      <c r="Q55" s="22">
        <v>274.37529999999998</v>
      </c>
      <c r="R55" s="22">
        <v>315.56549999999999</v>
      </c>
      <c r="S55" s="23">
        <v>932025.45673821436</v>
      </c>
      <c r="T55" s="23">
        <v>12644.709584999999</v>
      </c>
      <c r="U55" s="23">
        <v>0</v>
      </c>
      <c r="V55" s="23">
        <v>944670.1663232143</v>
      </c>
    </row>
    <row r="56" spans="1:22" x14ac:dyDescent="0.35">
      <c r="A56" s="24" t="s">
        <v>122</v>
      </c>
      <c r="B56" s="25" t="s">
        <v>123</v>
      </c>
      <c r="C56" s="26" t="s">
        <v>32</v>
      </c>
      <c r="D56" s="34">
        <v>1</v>
      </c>
      <c r="E56" s="34">
        <v>2</v>
      </c>
      <c r="F56" s="27">
        <v>1179.9080002129513</v>
      </c>
      <c r="G56" s="27">
        <v>1118.6507334728055</v>
      </c>
      <c r="H56" s="27">
        <v>61.257266740145724</v>
      </c>
      <c r="I56" s="27">
        <v>386.16300000000001</v>
      </c>
      <c r="J56" s="27">
        <v>42.540000000000006</v>
      </c>
      <c r="K56" s="28">
        <v>31</v>
      </c>
      <c r="L56" s="21">
        <v>96.135000000000005</v>
      </c>
      <c r="M56" s="21">
        <v>0</v>
      </c>
      <c r="N56" s="12">
        <v>2</v>
      </c>
      <c r="O56" s="12">
        <v>3</v>
      </c>
      <c r="P56" s="13">
        <v>1</v>
      </c>
      <c r="Q56" s="22">
        <v>274.37529999999998</v>
      </c>
      <c r="R56" s="22">
        <v>315.56549999999999</v>
      </c>
      <c r="S56" s="23">
        <v>323737.61153082852</v>
      </c>
      <c r="T56" s="23">
        <v>13424.156370000001</v>
      </c>
      <c r="U56" s="23">
        <v>0</v>
      </c>
      <c r="V56" s="23">
        <v>337161.7679008285</v>
      </c>
    </row>
    <row r="57" spans="1:22" x14ac:dyDescent="0.35">
      <c r="A57" s="24" t="s">
        <v>124</v>
      </c>
      <c r="B57" s="25" t="s">
        <v>125</v>
      </c>
      <c r="C57" s="26" t="s">
        <v>32</v>
      </c>
      <c r="D57" s="34">
        <v>1</v>
      </c>
      <c r="E57" s="34">
        <v>2</v>
      </c>
      <c r="F57" s="27">
        <v>1416.7310002556919</v>
      </c>
      <c r="G57" s="27">
        <v>1314.9824690528567</v>
      </c>
      <c r="H57" s="27">
        <v>101.74853120283524</v>
      </c>
      <c r="I57" s="27">
        <v>581.06500000000005</v>
      </c>
      <c r="J57" s="27">
        <v>89.57999999999997</v>
      </c>
      <c r="K57" s="28">
        <v>31</v>
      </c>
      <c r="L57" s="21">
        <v>45.746000000000002</v>
      </c>
      <c r="M57" s="21">
        <v>0</v>
      </c>
      <c r="N57" s="12">
        <v>1</v>
      </c>
      <c r="O57" s="12">
        <v>2</v>
      </c>
      <c r="P57" s="13">
        <v>1</v>
      </c>
      <c r="Q57" s="22">
        <v>274.37529999999998</v>
      </c>
      <c r="R57" s="22">
        <v>315.56549999999999</v>
      </c>
      <c r="S57" s="23">
        <v>388715.99321445555</v>
      </c>
      <c r="T57" s="23">
        <v>28268.357489999988</v>
      </c>
      <c r="U57" s="23">
        <v>0</v>
      </c>
      <c r="V57" s="23">
        <v>416984.35070445552</v>
      </c>
    </row>
    <row r="58" spans="1:22" x14ac:dyDescent="0.35">
      <c r="A58" s="24" t="s">
        <v>126</v>
      </c>
      <c r="B58" s="25" t="s">
        <v>127</v>
      </c>
      <c r="C58" s="26" t="s">
        <v>32</v>
      </c>
      <c r="D58" s="34">
        <v>1</v>
      </c>
      <c r="E58" s="34">
        <v>2</v>
      </c>
      <c r="F58" s="27">
        <v>2593.4100004680654</v>
      </c>
      <c r="G58" s="27">
        <v>2593.5462754447012</v>
      </c>
      <c r="H58" s="27">
        <v>-0.13627497663583199</v>
      </c>
      <c r="I58" s="27">
        <v>667.66</v>
      </c>
      <c r="J58" s="27">
        <v>89.839999999999975</v>
      </c>
      <c r="K58" s="28">
        <v>31</v>
      </c>
      <c r="L58" s="21">
        <v>24.47</v>
      </c>
      <c r="M58" s="21">
        <v>0</v>
      </c>
      <c r="N58" s="12">
        <v>4</v>
      </c>
      <c r="O58" s="12">
        <v>5</v>
      </c>
      <c r="P58" s="13">
        <v>1</v>
      </c>
      <c r="Q58" s="22">
        <v>274.37529999999998</v>
      </c>
      <c r="R58" s="22">
        <v>315.56549999999999</v>
      </c>
      <c r="S58" s="23">
        <v>711567.64690142556</v>
      </c>
      <c r="T58" s="23">
        <v>28350.404519999989</v>
      </c>
      <c r="U58" s="23">
        <v>0</v>
      </c>
      <c r="V58" s="23">
        <v>739918.05142142554</v>
      </c>
    </row>
    <row r="59" spans="1:22" x14ac:dyDescent="0.35">
      <c r="A59" s="24" t="s">
        <v>128</v>
      </c>
      <c r="B59" s="25" t="s">
        <v>129</v>
      </c>
      <c r="C59" s="26" t="s">
        <v>32</v>
      </c>
      <c r="D59" s="34">
        <v>1</v>
      </c>
      <c r="E59" s="34">
        <v>2</v>
      </c>
      <c r="F59" s="27">
        <v>917.20000016553854</v>
      </c>
      <c r="G59" s="27">
        <v>908.13225773128624</v>
      </c>
      <c r="H59" s="27">
        <v>9.0677424342522954</v>
      </c>
      <c r="I59" s="27">
        <v>541.14</v>
      </c>
      <c r="J59" s="27">
        <v>191.04000000000002</v>
      </c>
      <c r="K59" s="28">
        <v>31</v>
      </c>
      <c r="L59" s="21">
        <v>17.43</v>
      </c>
      <c r="M59" s="21">
        <v>0</v>
      </c>
      <c r="N59" s="12">
        <v>3</v>
      </c>
      <c r="O59" s="12">
        <v>4</v>
      </c>
      <c r="P59" s="13">
        <v>1</v>
      </c>
      <c r="Q59" s="22">
        <v>274.37529999999998</v>
      </c>
      <c r="R59" s="22">
        <v>315.56549999999999</v>
      </c>
      <c r="S59" s="23">
        <v>251657.02520541966</v>
      </c>
      <c r="T59" s="23">
        <v>60285.633120000006</v>
      </c>
      <c r="U59" s="23">
        <v>0</v>
      </c>
      <c r="V59" s="23">
        <v>311942.65832541964</v>
      </c>
    </row>
    <row r="60" spans="1:22" x14ac:dyDescent="0.35">
      <c r="A60" s="24" t="s">
        <v>130</v>
      </c>
      <c r="B60" s="25" t="s">
        <v>131</v>
      </c>
      <c r="C60" s="26" t="s">
        <v>32</v>
      </c>
      <c r="D60" s="34">
        <v>1</v>
      </c>
      <c r="E60" s="34">
        <v>2</v>
      </c>
      <c r="F60" s="27">
        <v>1477.3410002666308</v>
      </c>
      <c r="G60" s="27">
        <v>1348.5413880990498</v>
      </c>
      <c r="H60" s="27">
        <v>128.79961216758102</v>
      </c>
      <c r="I60" s="27">
        <v>596.36300000000006</v>
      </c>
      <c r="J60" s="27">
        <v>75.59999999999998</v>
      </c>
      <c r="K60" s="28">
        <v>31</v>
      </c>
      <c r="L60" s="21">
        <v>18.731000000000002</v>
      </c>
      <c r="M60" s="21">
        <v>0</v>
      </c>
      <c r="N60" s="12">
        <v>3</v>
      </c>
      <c r="O60" s="12">
        <v>4</v>
      </c>
      <c r="P60" s="13">
        <v>1</v>
      </c>
      <c r="Q60" s="22">
        <v>274.37529999999998</v>
      </c>
      <c r="R60" s="22">
        <v>315.56549999999999</v>
      </c>
      <c r="S60" s="23">
        <v>405345.88015045685</v>
      </c>
      <c r="T60" s="23">
        <v>23856.751799999991</v>
      </c>
      <c r="U60" s="23">
        <v>0</v>
      </c>
      <c r="V60" s="23">
        <v>429202.63195045682</v>
      </c>
    </row>
    <row r="61" spans="1:22" x14ac:dyDescent="0.35">
      <c r="A61" s="24" t="s">
        <v>132</v>
      </c>
      <c r="B61" s="25" t="s">
        <v>133</v>
      </c>
      <c r="C61" s="26" t="s">
        <v>32</v>
      </c>
      <c r="D61" s="34">
        <v>1</v>
      </c>
      <c r="E61" s="34">
        <v>2</v>
      </c>
      <c r="F61" s="27">
        <v>1260.1800002274406</v>
      </c>
      <c r="G61" s="27">
        <v>1260.0874508081472</v>
      </c>
      <c r="H61" s="27">
        <v>9.2549419293391111E-2</v>
      </c>
      <c r="I61" s="27">
        <v>95.96</v>
      </c>
      <c r="J61" s="27">
        <v>0.03</v>
      </c>
      <c r="K61" s="28">
        <v>1</v>
      </c>
      <c r="L61" s="21">
        <v>115.25</v>
      </c>
      <c r="M61" s="21">
        <v>0</v>
      </c>
      <c r="N61" s="12">
        <v>1</v>
      </c>
      <c r="O61" s="12">
        <v>1</v>
      </c>
      <c r="P61" s="13">
        <v>1</v>
      </c>
      <c r="Q61" s="22">
        <v>274.37529999999998</v>
      </c>
      <c r="R61" s="22">
        <v>315.56549999999999</v>
      </c>
      <c r="S61" s="23">
        <v>345762.26561640407</v>
      </c>
      <c r="T61" s="23">
        <v>9.4669650000000001</v>
      </c>
      <c r="U61" s="23">
        <v>0</v>
      </c>
      <c r="V61" s="23">
        <v>345771.7325814041</v>
      </c>
    </row>
    <row r="62" spans="1:22" x14ac:dyDescent="0.35">
      <c r="A62" s="24" t="s">
        <v>134</v>
      </c>
      <c r="B62" s="25" t="s">
        <v>135</v>
      </c>
      <c r="C62" s="26" t="s">
        <v>32</v>
      </c>
      <c r="D62" s="34">
        <v>1</v>
      </c>
      <c r="E62" s="34">
        <v>2</v>
      </c>
      <c r="F62" s="27">
        <v>2302.4100004155448</v>
      </c>
      <c r="G62" s="27">
        <v>2302.4123162962715</v>
      </c>
      <c r="H62" s="27">
        <v>-2.3158807266554504E-3</v>
      </c>
      <c r="I62" s="27">
        <v>2400.38</v>
      </c>
      <c r="J62" s="27">
        <v>1249.0999999999995</v>
      </c>
      <c r="K62" s="28">
        <v>31</v>
      </c>
      <c r="L62" s="21">
        <v>0</v>
      </c>
      <c r="M62" s="21">
        <v>0</v>
      </c>
      <c r="N62" s="12">
        <v>3</v>
      </c>
      <c r="O62" s="12">
        <v>4</v>
      </c>
      <c r="P62" s="13">
        <v>1</v>
      </c>
      <c r="Q62" s="22">
        <v>274.37529999999998</v>
      </c>
      <c r="R62" s="22">
        <v>315.56549999999999</v>
      </c>
      <c r="S62" s="23">
        <v>631724.43458701519</v>
      </c>
      <c r="T62" s="23">
        <v>394172.86604999984</v>
      </c>
      <c r="U62" s="23">
        <v>0</v>
      </c>
      <c r="V62" s="23">
        <v>1025897.300637015</v>
      </c>
    </row>
    <row r="63" spans="1:22" x14ac:dyDescent="0.35">
      <c r="A63" s="24" t="s">
        <v>136</v>
      </c>
      <c r="B63" s="25" t="s">
        <v>137</v>
      </c>
      <c r="C63" s="26" t="s">
        <v>32</v>
      </c>
      <c r="D63" s="34">
        <v>1</v>
      </c>
      <c r="E63" s="34">
        <v>2</v>
      </c>
      <c r="F63" s="27">
        <v>6764.9630012209564</v>
      </c>
      <c r="G63" s="27">
        <v>6334.4699257942029</v>
      </c>
      <c r="H63" s="27">
        <v>430.49307542675342</v>
      </c>
      <c r="I63" s="27">
        <v>3636.8620000000001</v>
      </c>
      <c r="J63" s="27">
        <v>392.21999999999991</v>
      </c>
      <c r="K63" s="28">
        <v>30</v>
      </c>
      <c r="L63" s="21">
        <v>6.7610000000000001</v>
      </c>
      <c r="M63" s="21">
        <v>0</v>
      </c>
      <c r="N63" s="12">
        <v>3</v>
      </c>
      <c r="O63" s="12">
        <v>4</v>
      </c>
      <c r="P63" s="13">
        <v>1</v>
      </c>
      <c r="Q63" s="22">
        <v>274.37529999999998</v>
      </c>
      <c r="R63" s="22">
        <v>315.56549999999999</v>
      </c>
      <c r="S63" s="23">
        <v>1856138.7529489002</v>
      </c>
      <c r="T63" s="23">
        <v>123771.10040999997</v>
      </c>
      <c r="U63" s="23">
        <v>0</v>
      </c>
      <c r="V63" s="23">
        <v>1979909.8533589002</v>
      </c>
    </row>
    <row r="64" spans="1:22" x14ac:dyDescent="0.35">
      <c r="A64" s="24" t="s">
        <v>136</v>
      </c>
      <c r="B64" s="25" t="s">
        <v>138</v>
      </c>
      <c r="C64" s="26" t="s">
        <v>32</v>
      </c>
      <c r="D64" s="34">
        <v>1</v>
      </c>
      <c r="E64" s="34">
        <v>2</v>
      </c>
      <c r="F64" s="27">
        <v>7315.8060013203731</v>
      </c>
      <c r="G64" s="27">
        <v>6851.1101736051924</v>
      </c>
      <c r="H64" s="27">
        <v>464.69582771518071</v>
      </c>
      <c r="I64" s="27">
        <v>3892.1770000000001</v>
      </c>
      <c r="J64" s="27">
        <v>391.2799999999998</v>
      </c>
      <c r="K64" s="28">
        <v>30</v>
      </c>
      <c r="L64" s="21">
        <v>8.1839999999999993</v>
      </c>
      <c r="M64" s="21">
        <v>0</v>
      </c>
      <c r="N64" s="12">
        <v>3</v>
      </c>
      <c r="O64" s="12">
        <v>4</v>
      </c>
      <c r="P64" s="13">
        <v>1</v>
      </c>
      <c r="Q64" s="22">
        <v>274.37529999999998</v>
      </c>
      <c r="R64" s="22">
        <v>315.56549999999999</v>
      </c>
      <c r="S64" s="23">
        <v>2007276.4663540777</v>
      </c>
      <c r="T64" s="23">
        <v>123474.46883999993</v>
      </c>
      <c r="U64" s="23">
        <v>0</v>
      </c>
      <c r="V64" s="23">
        <v>2130750.9351940774</v>
      </c>
    </row>
    <row r="65" spans="1:22" x14ac:dyDescent="0.35">
      <c r="A65" s="24" t="s">
        <v>139</v>
      </c>
      <c r="B65" s="25" t="s">
        <v>140</v>
      </c>
      <c r="C65" s="26" t="s">
        <v>32</v>
      </c>
      <c r="D65" s="34">
        <v>1</v>
      </c>
      <c r="E65" s="34">
        <v>2</v>
      </c>
      <c r="F65" s="27">
        <v>1428.9390002579021</v>
      </c>
      <c r="G65" s="27">
        <v>1355.3289723414523</v>
      </c>
      <c r="H65" s="27">
        <v>73.610027916449781</v>
      </c>
      <c r="I65" s="27">
        <v>1513.8489999999999</v>
      </c>
      <c r="J65" s="27">
        <v>799.26999999999862</v>
      </c>
      <c r="K65" s="28">
        <v>31</v>
      </c>
      <c r="L65" s="21">
        <v>3.0000000000000001E-3</v>
      </c>
      <c r="M65" s="21">
        <v>0</v>
      </c>
      <c r="N65" s="12">
        <v>3</v>
      </c>
      <c r="O65" s="12">
        <v>4</v>
      </c>
      <c r="P65" s="13">
        <v>1</v>
      </c>
      <c r="Q65" s="22">
        <v>274.37529999999998</v>
      </c>
      <c r="R65" s="22">
        <v>315.56549999999999</v>
      </c>
      <c r="S65" s="23">
        <v>392065.56687746191</v>
      </c>
      <c r="T65" s="23">
        <v>252222.03718499956</v>
      </c>
      <c r="U65" s="23">
        <v>0</v>
      </c>
      <c r="V65" s="23">
        <v>644287.60406246153</v>
      </c>
    </row>
    <row r="66" spans="1:22" x14ac:dyDescent="0.35">
      <c r="A66" s="24" t="s">
        <v>143</v>
      </c>
      <c r="B66" s="25" t="s">
        <v>144</v>
      </c>
      <c r="C66" s="26" t="s">
        <v>32</v>
      </c>
      <c r="D66" s="34">
        <v>1</v>
      </c>
      <c r="E66" s="34">
        <v>2</v>
      </c>
      <c r="F66" s="27">
        <v>1024.9700001849894</v>
      </c>
      <c r="G66" s="27">
        <v>1025.0458122009934</v>
      </c>
      <c r="H66" s="27">
        <v>-7.5812016003965255E-2</v>
      </c>
      <c r="I66" s="27">
        <v>34.56</v>
      </c>
      <c r="J66" s="27">
        <v>0</v>
      </c>
      <c r="K66" s="28">
        <v>0</v>
      </c>
      <c r="L66" s="21">
        <v>48.85</v>
      </c>
      <c r="M66" s="21">
        <v>0</v>
      </c>
      <c r="N66" s="12">
        <v>0</v>
      </c>
      <c r="O66" s="12">
        <v>0</v>
      </c>
      <c r="P66" s="13">
        <v>1</v>
      </c>
      <c r="Q66" s="22">
        <v>274.37529999999998</v>
      </c>
      <c r="R66" s="22">
        <v>315.56549999999999</v>
      </c>
      <c r="S66" s="23">
        <v>281226.45129175653</v>
      </c>
      <c r="T66" s="23">
        <v>0</v>
      </c>
      <c r="U66" s="23">
        <v>0</v>
      </c>
      <c r="V66" s="23">
        <v>281226.45129175653</v>
      </c>
    </row>
    <row r="67" spans="1:22" x14ac:dyDescent="0.35">
      <c r="A67" s="24" t="s">
        <v>145</v>
      </c>
      <c r="B67" s="25" t="s">
        <v>146</v>
      </c>
      <c r="C67" s="26" t="s">
        <v>32</v>
      </c>
      <c r="D67" s="34">
        <v>1</v>
      </c>
      <c r="E67" s="34">
        <v>2</v>
      </c>
      <c r="F67" s="27">
        <v>1457.520000263057</v>
      </c>
      <c r="G67" s="27">
        <v>1457.582033942417</v>
      </c>
      <c r="H67" s="27">
        <v>-6.2033679359956295E-2</v>
      </c>
      <c r="I67" s="27">
        <v>171.74</v>
      </c>
      <c r="J67" s="27">
        <v>0</v>
      </c>
      <c r="K67" s="28">
        <v>0</v>
      </c>
      <c r="L67" s="21">
        <v>1.21</v>
      </c>
      <c r="M67" s="21">
        <v>0</v>
      </c>
      <c r="N67" s="12">
        <v>0</v>
      </c>
      <c r="O67" s="12">
        <v>0</v>
      </c>
      <c r="P67" s="13">
        <v>1</v>
      </c>
      <c r="Q67" s="22">
        <v>274.37529999999998</v>
      </c>
      <c r="R67" s="22">
        <v>315.56549999999999</v>
      </c>
      <c r="S67" s="23">
        <v>399907.48732817633</v>
      </c>
      <c r="T67" s="23">
        <v>0</v>
      </c>
      <c r="U67" s="23">
        <v>0</v>
      </c>
      <c r="V67" s="23">
        <v>399907.48732817633</v>
      </c>
    </row>
    <row r="68" spans="1:22" x14ac:dyDescent="0.35">
      <c r="A68" s="24" t="s">
        <v>147</v>
      </c>
      <c r="B68" s="25" t="s">
        <v>148</v>
      </c>
      <c r="C68" s="26" t="s">
        <v>32</v>
      </c>
      <c r="D68" s="34">
        <v>1</v>
      </c>
      <c r="E68" s="34">
        <v>2</v>
      </c>
      <c r="F68" s="27">
        <v>6946.5730012537342</v>
      </c>
      <c r="G68" s="27">
        <v>6323.5908408980677</v>
      </c>
      <c r="H68" s="27">
        <v>622.98216035566657</v>
      </c>
      <c r="I68" s="27">
        <v>3692.9229999999998</v>
      </c>
      <c r="J68" s="27">
        <v>285.46000000000015</v>
      </c>
      <c r="K68" s="28">
        <v>31</v>
      </c>
      <c r="L68" s="21">
        <v>8.3559999999999999</v>
      </c>
      <c r="M68" s="21">
        <v>0</v>
      </c>
      <c r="N68" s="12">
        <v>2</v>
      </c>
      <c r="O68" s="12">
        <v>3</v>
      </c>
      <c r="P68" s="13">
        <v>1</v>
      </c>
      <c r="Q68" s="22">
        <v>274.37529999999998</v>
      </c>
      <c r="R68" s="22">
        <v>315.56549999999999</v>
      </c>
      <c r="S68" s="23">
        <v>1905968.0511908936</v>
      </c>
      <c r="T68" s="23">
        <v>90081.327630000043</v>
      </c>
      <c r="U68" s="23">
        <v>0</v>
      </c>
      <c r="V68" s="23">
        <v>1996049.3788208936</v>
      </c>
    </row>
    <row r="69" spans="1:22" x14ac:dyDescent="0.35">
      <c r="A69" s="24" t="s">
        <v>149</v>
      </c>
      <c r="B69" s="25" t="s">
        <v>150</v>
      </c>
      <c r="C69" s="26" t="s">
        <v>32</v>
      </c>
      <c r="D69" s="34">
        <v>1</v>
      </c>
      <c r="E69" s="34">
        <v>2</v>
      </c>
      <c r="F69" s="27">
        <v>1882.9650003398424</v>
      </c>
      <c r="G69" s="27">
        <v>1661.5110402100304</v>
      </c>
      <c r="H69" s="27">
        <v>221.453960129812</v>
      </c>
      <c r="I69" s="27">
        <v>252.94300000000001</v>
      </c>
      <c r="J69" s="27">
        <v>7.1099999999999772</v>
      </c>
      <c r="K69" s="28">
        <v>31</v>
      </c>
      <c r="L69" s="21">
        <v>377.75299999999999</v>
      </c>
      <c r="M69" s="21">
        <v>0</v>
      </c>
      <c r="N69" s="12">
        <v>2</v>
      </c>
      <c r="O69" s="12">
        <v>3</v>
      </c>
      <c r="P69" s="13">
        <v>1</v>
      </c>
      <c r="Q69" s="22">
        <v>274.37529999999998</v>
      </c>
      <c r="R69" s="22">
        <v>315.56549999999999</v>
      </c>
      <c r="S69" s="23">
        <v>516639.08685774432</v>
      </c>
      <c r="T69" s="23">
        <v>2243.6707049999927</v>
      </c>
      <c r="U69" s="23">
        <v>0</v>
      </c>
      <c r="V69" s="23">
        <v>518882.75756274431</v>
      </c>
    </row>
    <row r="70" spans="1:22" x14ac:dyDescent="0.35">
      <c r="A70" s="24" t="s">
        <v>151</v>
      </c>
      <c r="B70" s="25" t="s">
        <v>152</v>
      </c>
      <c r="C70" s="26" t="s">
        <v>32</v>
      </c>
      <c r="D70" s="34">
        <v>1</v>
      </c>
      <c r="E70" s="34">
        <v>2</v>
      </c>
      <c r="F70" s="27">
        <v>1351.2300002438735</v>
      </c>
      <c r="G70" s="27">
        <v>1351.2116306309595</v>
      </c>
      <c r="H70" s="27">
        <v>1.8369612914057143E-2</v>
      </c>
      <c r="I70" s="27">
        <v>54.67</v>
      </c>
      <c r="J70" s="27">
        <v>5.2699999999999969</v>
      </c>
      <c r="K70" s="28">
        <v>31</v>
      </c>
      <c r="L70" s="21">
        <v>156.05000000000001</v>
      </c>
      <c r="M70" s="21">
        <v>0</v>
      </c>
      <c r="N70" s="12">
        <v>2</v>
      </c>
      <c r="O70" s="12">
        <v>3</v>
      </c>
      <c r="P70" s="13">
        <v>1</v>
      </c>
      <c r="Q70" s="22">
        <v>274.37529999999998</v>
      </c>
      <c r="R70" s="22">
        <v>315.56549999999999</v>
      </c>
      <c r="S70" s="23">
        <v>370744.13668591285</v>
      </c>
      <c r="T70" s="23">
        <v>1663.0301849999989</v>
      </c>
      <c r="U70" s="23">
        <v>0</v>
      </c>
      <c r="V70" s="23">
        <v>372407.16687091283</v>
      </c>
    </row>
    <row r="71" spans="1:22" x14ac:dyDescent="0.35">
      <c r="A71" s="24" t="s">
        <v>153</v>
      </c>
      <c r="B71" s="25" t="s">
        <v>154</v>
      </c>
      <c r="C71" s="26" t="s">
        <v>32</v>
      </c>
      <c r="D71" s="34">
        <v>1</v>
      </c>
      <c r="E71" s="34">
        <v>2</v>
      </c>
      <c r="F71" s="27">
        <v>7056.9260012736495</v>
      </c>
      <c r="G71" s="27">
        <v>7057.1926012695067</v>
      </c>
      <c r="H71" s="27">
        <v>-0.26659999585717742</v>
      </c>
      <c r="I71" s="27">
        <v>2693.5419999999999</v>
      </c>
      <c r="J71" s="27">
        <v>0.1</v>
      </c>
      <c r="K71" s="28">
        <v>1</v>
      </c>
      <c r="L71" s="21">
        <v>18.074000000000002</v>
      </c>
      <c r="M71" s="21">
        <v>0</v>
      </c>
      <c r="N71" s="12">
        <v>0</v>
      </c>
      <c r="O71" s="12">
        <v>0</v>
      </c>
      <c r="P71" s="13">
        <v>1</v>
      </c>
      <c r="Q71" s="22">
        <v>274.37529999999998</v>
      </c>
      <c r="R71" s="22">
        <v>315.56549999999999</v>
      </c>
      <c r="S71" s="23">
        <v>1936246.1886772579</v>
      </c>
      <c r="T71" s="23">
        <v>31.556550000000001</v>
      </c>
      <c r="U71" s="23">
        <v>0</v>
      </c>
      <c r="V71" s="23">
        <v>1936277.745227258</v>
      </c>
    </row>
    <row r="72" spans="1:22" x14ac:dyDescent="0.35">
      <c r="A72" s="24" t="s">
        <v>155</v>
      </c>
      <c r="B72" s="25" t="s">
        <v>156</v>
      </c>
      <c r="C72" s="26" t="s">
        <v>32</v>
      </c>
      <c r="D72" s="34">
        <v>1</v>
      </c>
      <c r="E72" s="34">
        <v>2</v>
      </c>
      <c r="F72" s="27">
        <v>3760.9810006787884</v>
      </c>
      <c r="G72" s="27">
        <v>3547.158793074319</v>
      </c>
      <c r="H72" s="27">
        <v>213.82220760446944</v>
      </c>
      <c r="I72" s="27">
        <v>417.93599999999998</v>
      </c>
      <c r="J72" s="27">
        <v>11.939999999999998</v>
      </c>
      <c r="K72" s="28">
        <v>31</v>
      </c>
      <c r="L72" s="21">
        <v>373.67899999999997</v>
      </c>
      <c r="M72" s="21">
        <v>0</v>
      </c>
      <c r="N72" s="12">
        <v>2</v>
      </c>
      <c r="O72" s="12">
        <v>3</v>
      </c>
      <c r="P72" s="13">
        <v>1</v>
      </c>
      <c r="Q72" s="22">
        <v>274.37529999999998</v>
      </c>
      <c r="R72" s="22">
        <v>315.56549999999999</v>
      </c>
      <c r="S72" s="23">
        <v>1031920.2903555427</v>
      </c>
      <c r="T72" s="23">
        <v>3767.852069999999</v>
      </c>
      <c r="U72" s="23">
        <v>0</v>
      </c>
      <c r="V72" s="23">
        <v>1035688.1424255427</v>
      </c>
    </row>
    <row r="73" spans="1:22" x14ac:dyDescent="0.35">
      <c r="A73" s="24" t="s">
        <v>157</v>
      </c>
      <c r="B73" s="25" t="s">
        <v>158</v>
      </c>
      <c r="C73" s="26" t="s">
        <v>32</v>
      </c>
      <c r="D73" s="34">
        <v>1</v>
      </c>
      <c r="E73" s="34">
        <v>2</v>
      </c>
      <c r="F73" s="27">
        <v>2184.8470003943285</v>
      </c>
      <c r="G73" s="27">
        <v>1974.9113766003511</v>
      </c>
      <c r="H73" s="27">
        <v>209.93562379397736</v>
      </c>
      <c r="I73" s="27">
        <v>1173.3150000000001</v>
      </c>
      <c r="J73" s="27">
        <v>124.53999999999991</v>
      </c>
      <c r="K73" s="28">
        <v>31</v>
      </c>
      <c r="L73" s="21">
        <v>41.161000000000001</v>
      </c>
      <c r="M73" s="21">
        <v>0</v>
      </c>
      <c r="N73" s="12">
        <v>3</v>
      </c>
      <c r="O73" s="12">
        <v>4</v>
      </c>
      <c r="P73" s="13">
        <v>1</v>
      </c>
      <c r="Q73" s="22">
        <v>274.37529999999998</v>
      </c>
      <c r="R73" s="22">
        <v>315.56549999999999</v>
      </c>
      <c r="S73" s="23">
        <v>599468.05118729395</v>
      </c>
      <c r="T73" s="23">
        <v>39300.527369999967</v>
      </c>
      <c r="U73" s="23">
        <v>0</v>
      </c>
      <c r="V73" s="23">
        <v>638768.57855729386</v>
      </c>
    </row>
    <row r="74" spans="1:22" x14ac:dyDescent="0.35">
      <c r="A74" s="24" t="s">
        <v>159</v>
      </c>
      <c r="B74" s="25" t="s">
        <v>160</v>
      </c>
      <c r="C74" s="26" t="s">
        <v>32</v>
      </c>
      <c r="D74" s="34">
        <v>1</v>
      </c>
      <c r="E74" s="34">
        <v>2</v>
      </c>
      <c r="F74" s="27">
        <v>5730.5200010342596</v>
      </c>
      <c r="G74" s="27">
        <v>4935.5212496411687</v>
      </c>
      <c r="H74" s="27">
        <v>794.99875139309097</v>
      </c>
      <c r="I74" s="27">
        <v>0</v>
      </c>
      <c r="J74" s="27">
        <v>0</v>
      </c>
      <c r="K74" s="28">
        <v>0</v>
      </c>
      <c r="L74" s="21">
        <v>13846.64</v>
      </c>
      <c r="M74" s="21">
        <v>10981.38</v>
      </c>
      <c r="N74" s="12">
        <v>0</v>
      </c>
      <c r="O74" s="12">
        <v>0</v>
      </c>
      <c r="P74" s="13">
        <v>1</v>
      </c>
      <c r="Q74" s="22">
        <v>274.37529999999998</v>
      </c>
      <c r="R74" s="22">
        <v>315.56549999999999</v>
      </c>
      <c r="S74" s="23">
        <v>1572313.1444397753</v>
      </c>
      <c r="T74" s="23">
        <v>0</v>
      </c>
      <c r="U74" s="23">
        <v>3465344.6703899996</v>
      </c>
      <c r="V74" s="23">
        <v>5037657.8148297751</v>
      </c>
    </row>
    <row r="75" spans="1:22" x14ac:dyDescent="0.35">
      <c r="A75" s="24" t="s">
        <v>161</v>
      </c>
      <c r="B75" s="25" t="s">
        <v>162</v>
      </c>
      <c r="C75" s="26" t="s">
        <v>32</v>
      </c>
      <c r="D75" s="34">
        <v>1</v>
      </c>
      <c r="E75" s="34">
        <v>2</v>
      </c>
      <c r="F75" s="27">
        <v>2013.0140003633173</v>
      </c>
      <c r="G75" s="27">
        <v>1934.8835796784672</v>
      </c>
      <c r="H75" s="27">
        <v>78.130420684850151</v>
      </c>
      <c r="I75" s="27">
        <v>947.83799999999997</v>
      </c>
      <c r="J75" s="27">
        <v>33.979999999999983</v>
      </c>
      <c r="K75" s="28">
        <v>31</v>
      </c>
      <c r="L75" s="21">
        <v>1.417</v>
      </c>
      <c r="M75" s="21">
        <v>0</v>
      </c>
      <c r="N75" s="12">
        <v>3</v>
      </c>
      <c r="O75" s="12">
        <v>4</v>
      </c>
      <c r="P75" s="13">
        <v>1</v>
      </c>
      <c r="Q75" s="22">
        <v>274.37529999999998</v>
      </c>
      <c r="R75" s="22">
        <v>315.56549999999999</v>
      </c>
      <c r="S75" s="23">
        <v>552321.32025388523</v>
      </c>
      <c r="T75" s="23">
        <v>10722.915689999994</v>
      </c>
      <c r="U75" s="23">
        <v>0</v>
      </c>
      <c r="V75" s="23">
        <v>563044.23594388529</v>
      </c>
    </row>
    <row r="76" spans="1:22" x14ac:dyDescent="0.35">
      <c r="A76" s="24" t="s">
        <v>163</v>
      </c>
      <c r="B76" s="25" t="s">
        <v>164</v>
      </c>
      <c r="C76" s="26" t="s">
        <v>32</v>
      </c>
      <c r="D76" s="34">
        <v>1</v>
      </c>
      <c r="E76" s="34">
        <v>2</v>
      </c>
      <c r="F76" s="27">
        <v>2589.6000004673779</v>
      </c>
      <c r="G76" s="27">
        <v>2577.7229350217399</v>
      </c>
      <c r="H76" s="27">
        <v>11.877065445637982</v>
      </c>
      <c r="I76" s="27">
        <v>266.95</v>
      </c>
      <c r="J76" s="27">
        <v>1.29</v>
      </c>
      <c r="K76" s="28">
        <v>1</v>
      </c>
      <c r="L76" s="21">
        <v>142.68</v>
      </c>
      <c r="M76" s="21">
        <v>0</v>
      </c>
      <c r="N76" s="12">
        <v>0</v>
      </c>
      <c r="O76" s="12">
        <v>0</v>
      </c>
      <c r="P76" s="13">
        <v>1</v>
      </c>
      <c r="Q76" s="22">
        <v>274.37529999999998</v>
      </c>
      <c r="R76" s="22">
        <v>315.56549999999999</v>
      </c>
      <c r="S76" s="23">
        <v>710522.27700823685</v>
      </c>
      <c r="T76" s="23">
        <v>407.07949500000001</v>
      </c>
      <c r="U76" s="23">
        <v>0</v>
      </c>
      <c r="V76" s="23">
        <v>710929.35650323681</v>
      </c>
    </row>
    <row r="77" spans="1:22" x14ac:dyDescent="0.35">
      <c r="A77" s="24" t="s">
        <v>165</v>
      </c>
      <c r="B77" s="25" t="s">
        <v>166</v>
      </c>
      <c r="C77" s="26" t="s">
        <v>32</v>
      </c>
      <c r="D77" s="34">
        <v>1</v>
      </c>
      <c r="E77" s="34">
        <v>2</v>
      </c>
      <c r="F77" s="27">
        <v>6131.575001106643</v>
      </c>
      <c r="G77" s="27">
        <v>5652.9120537382405</v>
      </c>
      <c r="H77" s="27">
        <v>478.66294736840246</v>
      </c>
      <c r="I77" s="27">
        <v>2240.8249999999998</v>
      </c>
      <c r="J77" s="27">
        <v>178.53999999999985</v>
      </c>
      <c r="K77" s="28">
        <v>31</v>
      </c>
      <c r="L77" s="21">
        <v>66.968999999999994</v>
      </c>
      <c r="M77" s="21">
        <v>0</v>
      </c>
      <c r="N77" s="12">
        <v>2</v>
      </c>
      <c r="O77" s="12">
        <v>3</v>
      </c>
      <c r="P77" s="13">
        <v>1</v>
      </c>
      <c r="Q77" s="22">
        <v>274.37529999999998</v>
      </c>
      <c r="R77" s="22">
        <v>315.56549999999999</v>
      </c>
      <c r="S77" s="23">
        <v>1682352.7304011353</v>
      </c>
      <c r="T77" s="23">
        <v>56341.064369999949</v>
      </c>
      <c r="U77" s="23">
        <v>0</v>
      </c>
      <c r="V77" s="23">
        <v>1738693.7947711353</v>
      </c>
    </row>
    <row r="78" spans="1:22" x14ac:dyDescent="0.35">
      <c r="A78" s="24" t="s">
        <v>167</v>
      </c>
      <c r="B78" s="25" t="s">
        <v>168</v>
      </c>
      <c r="C78" s="26" t="s">
        <v>32</v>
      </c>
      <c r="D78" s="34">
        <v>1</v>
      </c>
      <c r="E78" s="34">
        <v>2</v>
      </c>
      <c r="F78" s="27">
        <v>13138.582002371295</v>
      </c>
      <c r="G78" s="27">
        <v>11621.937754826646</v>
      </c>
      <c r="H78" s="27">
        <v>1516.6442475446493</v>
      </c>
      <c r="I78" s="27">
        <v>9768.3050000000003</v>
      </c>
      <c r="J78" s="27">
        <v>3199.1400000000035</v>
      </c>
      <c r="K78" s="28">
        <v>31</v>
      </c>
      <c r="L78" s="21">
        <v>7.9000000000000001E-2</v>
      </c>
      <c r="M78" s="21">
        <v>0</v>
      </c>
      <c r="N78" s="12">
        <v>3</v>
      </c>
      <c r="O78" s="12">
        <v>4</v>
      </c>
      <c r="P78" s="13">
        <v>1</v>
      </c>
      <c r="Q78" s="22">
        <v>274.37529999999998</v>
      </c>
      <c r="R78" s="22">
        <v>315.56549999999999</v>
      </c>
      <c r="S78" s="23">
        <v>3604902.3784752246</v>
      </c>
      <c r="T78" s="23">
        <v>1009538.213670001</v>
      </c>
      <c r="U78" s="23">
        <v>0</v>
      </c>
      <c r="V78" s="23">
        <v>4614440.592145226</v>
      </c>
    </row>
    <row r="79" spans="1:22" x14ac:dyDescent="0.35">
      <c r="A79" s="24" t="s">
        <v>169</v>
      </c>
      <c r="B79" s="25" t="s">
        <v>170</v>
      </c>
      <c r="C79" s="26" t="s">
        <v>32</v>
      </c>
      <c r="D79" s="34">
        <v>1</v>
      </c>
      <c r="E79" s="34">
        <v>2</v>
      </c>
      <c r="F79" s="27">
        <v>2600.8200004694027</v>
      </c>
      <c r="G79" s="27">
        <v>2600.7989987087913</v>
      </c>
      <c r="H79" s="27">
        <v>2.1001760611397913E-2</v>
      </c>
      <c r="I79" s="27">
        <v>209.34</v>
      </c>
      <c r="J79" s="27">
        <v>8.2899999999999991</v>
      </c>
      <c r="K79" s="28">
        <v>31</v>
      </c>
      <c r="L79" s="21">
        <v>48.87</v>
      </c>
      <c r="M79" s="21">
        <v>0</v>
      </c>
      <c r="N79" s="12">
        <v>0</v>
      </c>
      <c r="O79" s="12">
        <v>1</v>
      </c>
      <c r="P79" s="13">
        <v>1</v>
      </c>
      <c r="Q79" s="22">
        <v>274.37529999999998</v>
      </c>
      <c r="R79" s="22">
        <v>315.56549999999999</v>
      </c>
      <c r="S79" s="23">
        <v>713600.76787479245</v>
      </c>
      <c r="T79" s="23">
        <v>2616.0379949999997</v>
      </c>
      <c r="U79" s="23">
        <v>0</v>
      </c>
      <c r="V79" s="23">
        <v>716216.80586979247</v>
      </c>
    </row>
    <row r="80" spans="1:22" x14ac:dyDescent="0.35">
      <c r="A80" s="24" t="s">
        <v>171</v>
      </c>
      <c r="B80" s="25" t="s">
        <v>172</v>
      </c>
      <c r="C80" s="26" t="s">
        <v>32</v>
      </c>
      <c r="D80" s="34">
        <v>1</v>
      </c>
      <c r="E80" s="34">
        <v>2</v>
      </c>
      <c r="F80" s="27">
        <v>1782.1125457441781</v>
      </c>
      <c r="G80" s="27">
        <v>1781.7925457441781</v>
      </c>
      <c r="H80" s="27">
        <v>0.31999999999993634</v>
      </c>
      <c r="I80" s="27">
        <v>329.30399999999997</v>
      </c>
      <c r="J80" s="27">
        <v>1.4400000000000004</v>
      </c>
      <c r="K80" s="28">
        <v>1</v>
      </c>
      <c r="L80" s="21">
        <v>37.493000000000002</v>
      </c>
      <c r="M80" s="21">
        <v>0</v>
      </c>
      <c r="N80" s="12">
        <v>1</v>
      </c>
      <c r="O80" s="12">
        <v>1</v>
      </c>
      <c r="P80" s="13">
        <v>1</v>
      </c>
      <c r="Q80" s="22">
        <v>274.37529999999998</v>
      </c>
      <c r="R80" s="22">
        <v>315.56549999999999</v>
      </c>
      <c r="S80" s="23">
        <v>488967.66437232256</v>
      </c>
      <c r="T80" s="23">
        <v>454.41432000000009</v>
      </c>
      <c r="U80" s="23">
        <v>0</v>
      </c>
      <c r="V80" s="23">
        <v>489422.07869232254</v>
      </c>
    </row>
    <row r="81" spans="1:22" x14ac:dyDescent="0.35">
      <c r="A81" s="24" t="s">
        <v>173</v>
      </c>
      <c r="B81" s="25" t="s">
        <v>174</v>
      </c>
      <c r="C81" s="26" t="s">
        <v>32</v>
      </c>
      <c r="D81" s="34">
        <v>1</v>
      </c>
      <c r="E81" s="34">
        <v>2</v>
      </c>
      <c r="F81" s="27">
        <v>1847.4090003334286</v>
      </c>
      <c r="G81" s="27">
        <v>1686.7232979226092</v>
      </c>
      <c r="H81" s="27">
        <v>160.68570241081943</v>
      </c>
      <c r="I81" s="27">
        <v>568.97799999999995</v>
      </c>
      <c r="J81" s="27">
        <v>21.739999999999991</v>
      </c>
      <c r="K81" s="28">
        <v>31</v>
      </c>
      <c r="L81" s="21">
        <v>290.23399999999998</v>
      </c>
      <c r="M81" s="21">
        <v>0</v>
      </c>
      <c r="N81" s="12">
        <v>2</v>
      </c>
      <c r="O81" s="12">
        <v>3</v>
      </c>
      <c r="P81" s="13">
        <v>1</v>
      </c>
      <c r="Q81" s="22">
        <v>274.37529999999998</v>
      </c>
      <c r="R81" s="22">
        <v>315.56549999999999</v>
      </c>
      <c r="S81" s="23">
        <v>506883.39868918451</v>
      </c>
      <c r="T81" s="23">
        <v>6860.3939699999974</v>
      </c>
      <c r="U81" s="23">
        <v>0</v>
      </c>
      <c r="V81" s="23">
        <v>513743.79265918449</v>
      </c>
    </row>
    <row r="82" spans="1:22" x14ac:dyDescent="0.35">
      <c r="A82" s="24" t="s">
        <v>175</v>
      </c>
      <c r="B82" s="25" t="s">
        <v>176</v>
      </c>
      <c r="C82" s="26" t="s">
        <v>32</v>
      </c>
      <c r="D82" s="34">
        <v>1</v>
      </c>
      <c r="E82" s="34">
        <v>2</v>
      </c>
      <c r="F82" s="27">
        <v>2213.9950003995878</v>
      </c>
      <c r="G82" s="27">
        <v>1858.9367138596056</v>
      </c>
      <c r="H82" s="27">
        <v>355.05828653998219</v>
      </c>
      <c r="I82" s="27">
        <v>1296.3440000000001</v>
      </c>
      <c r="J82" s="27">
        <v>493.35999999999973</v>
      </c>
      <c r="K82" s="28">
        <v>31</v>
      </c>
      <c r="L82" s="21">
        <v>89.655000000000001</v>
      </c>
      <c r="M82" s="21">
        <v>0</v>
      </c>
      <c r="N82" s="12">
        <v>2</v>
      </c>
      <c r="O82" s="12">
        <v>3</v>
      </c>
      <c r="P82" s="13">
        <v>1</v>
      </c>
      <c r="Q82" s="22">
        <v>274.37529999999998</v>
      </c>
      <c r="R82" s="22">
        <v>315.56549999999999</v>
      </c>
      <c r="S82" s="23">
        <v>607465.54243313696</v>
      </c>
      <c r="T82" s="23">
        <v>155687.3950799999</v>
      </c>
      <c r="U82" s="23">
        <v>0</v>
      </c>
      <c r="V82" s="23">
        <v>763152.93751313689</v>
      </c>
    </row>
    <row r="83" spans="1:22" x14ac:dyDescent="0.35">
      <c r="A83" s="24" t="s">
        <v>177</v>
      </c>
      <c r="B83" s="25" t="s">
        <v>178</v>
      </c>
      <c r="C83" s="26" t="s">
        <v>32</v>
      </c>
      <c r="D83" s="34">
        <v>1</v>
      </c>
      <c r="E83" s="34">
        <v>2</v>
      </c>
      <c r="F83" s="27">
        <v>381.14000006878916</v>
      </c>
      <c r="G83" s="27">
        <v>381.14697353054368</v>
      </c>
      <c r="H83" s="27">
        <v>-6.9734617545123001E-3</v>
      </c>
      <c r="I83" s="27">
        <v>121.76</v>
      </c>
      <c r="J83" s="27">
        <v>10.159999999999988</v>
      </c>
      <c r="K83" s="28">
        <v>31</v>
      </c>
      <c r="L83" s="21">
        <v>7.15</v>
      </c>
      <c r="M83" s="21">
        <v>0</v>
      </c>
      <c r="N83" s="12">
        <v>2</v>
      </c>
      <c r="O83" s="12">
        <v>3</v>
      </c>
      <c r="P83" s="13">
        <v>1</v>
      </c>
      <c r="Q83" s="22">
        <v>274.37529999999998</v>
      </c>
      <c r="R83" s="22">
        <v>315.56549999999999</v>
      </c>
      <c r="S83" s="23">
        <v>104575.40186087404</v>
      </c>
      <c r="T83" s="23">
        <v>3206.145479999996</v>
      </c>
      <c r="U83" s="23">
        <v>0</v>
      </c>
      <c r="V83" s="23">
        <v>107781.54734087404</v>
      </c>
    </row>
    <row r="84" spans="1:22" x14ac:dyDescent="0.35">
      <c r="A84" s="24" t="s">
        <v>179</v>
      </c>
      <c r="B84" s="25" t="s">
        <v>180</v>
      </c>
      <c r="C84" s="26" t="s">
        <v>32</v>
      </c>
      <c r="D84" s="34">
        <v>1</v>
      </c>
      <c r="E84" s="34">
        <v>2</v>
      </c>
      <c r="F84" s="27">
        <v>2268.387000409406</v>
      </c>
      <c r="G84" s="27">
        <v>2147.0300419958926</v>
      </c>
      <c r="H84" s="27">
        <v>121.35695841351344</v>
      </c>
      <c r="I84" s="27">
        <v>1326.3689999999999</v>
      </c>
      <c r="J84" s="27">
        <v>416.37999999999988</v>
      </c>
      <c r="K84" s="28">
        <v>31</v>
      </c>
      <c r="L84" s="21">
        <v>28.245000000000001</v>
      </c>
      <c r="M84" s="21">
        <v>0</v>
      </c>
      <c r="N84" s="12">
        <v>2</v>
      </c>
      <c r="O84" s="12">
        <v>3</v>
      </c>
      <c r="P84" s="13">
        <v>1</v>
      </c>
      <c r="Q84" s="22">
        <v>274.37529999999998</v>
      </c>
      <c r="R84" s="22">
        <v>315.56549999999999</v>
      </c>
      <c r="S84" s="23">
        <v>622389.36375343089</v>
      </c>
      <c r="T84" s="23">
        <v>131395.16288999995</v>
      </c>
      <c r="U84" s="23">
        <v>0</v>
      </c>
      <c r="V84" s="23">
        <v>753784.52664343081</v>
      </c>
    </row>
    <row r="85" spans="1:22" x14ac:dyDescent="0.35">
      <c r="A85" s="24" t="s">
        <v>181</v>
      </c>
      <c r="B85" s="25" t="s">
        <v>182</v>
      </c>
      <c r="C85" s="26" t="s">
        <v>32</v>
      </c>
      <c r="D85" s="34">
        <v>1</v>
      </c>
      <c r="E85" s="34">
        <v>2</v>
      </c>
      <c r="F85" s="27">
        <v>2338.0470004219787</v>
      </c>
      <c r="G85" s="27">
        <v>2112.7045049324738</v>
      </c>
      <c r="H85" s="27">
        <v>225.34249548950493</v>
      </c>
      <c r="I85" s="27">
        <v>610.11199999999997</v>
      </c>
      <c r="J85" s="27">
        <v>7.8800000000000008</v>
      </c>
      <c r="K85" s="28">
        <v>31</v>
      </c>
      <c r="L85" s="21">
        <v>30.006</v>
      </c>
      <c r="M85" s="21">
        <v>0</v>
      </c>
      <c r="N85" s="12">
        <v>2</v>
      </c>
      <c r="O85" s="12">
        <v>3</v>
      </c>
      <c r="P85" s="13">
        <v>1</v>
      </c>
      <c r="Q85" s="22">
        <v>274.37529999999998</v>
      </c>
      <c r="R85" s="22">
        <v>315.56549999999999</v>
      </c>
      <c r="S85" s="23">
        <v>641502.34715488052</v>
      </c>
      <c r="T85" s="23">
        <v>2486.6561400000001</v>
      </c>
      <c r="U85" s="23">
        <v>0</v>
      </c>
      <c r="V85" s="23">
        <v>643989.0032948805</v>
      </c>
    </row>
    <row r="86" spans="1:22" x14ac:dyDescent="0.35">
      <c r="A86" s="24" t="s">
        <v>183</v>
      </c>
      <c r="B86" s="25" t="s">
        <v>184</v>
      </c>
      <c r="C86" s="26" t="s">
        <v>32</v>
      </c>
      <c r="D86" s="34">
        <v>1</v>
      </c>
      <c r="E86" s="34">
        <v>2</v>
      </c>
      <c r="F86" s="27">
        <v>1156.8200002087858</v>
      </c>
      <c r="G86" s="27">
        <v>1156.714610080898</v>
      </c>
      <c r="H86" s="27">
        <v>0.1053901278878584</v>
      </c>
      <c r="I86" s="27">
        <v>20.29</v>
      </c>
      <c r="J86" s="27">
        <v>0</v>
      </c>
      <c r="K86" s="28">
        <v>0</v>
      </c>
      <c r="L86" s="21">
        <v>50.03</v>
      </c>
      <c r="M86" s="21">
        <v>0</v>
      </c>
      <c r="N86" s="12">
        <v>0</v>
      </c>
      <c r="O86" s="12">
        <v>0</v>
      </c>
      <c r="P86" s="13">
        <v>1</v>
      </c>
      <c r="Q86" s="22">
        <v>274.37529999999998</v>
      </c>
      <c r="R86" s="22">
        <v>315.56549999999999</v>
      </c>
      <c r="S86" s="23">
        <v>317402.83460328565</v>
      </c>
      <c r="T86" s="23">
        <v>0</v>
      </c>
      <c r="U86" s="23">
        <v>0</v>
      </c>
      <c r="V86" s="23">
        <v>317402.83460328565</v>
      </c>
    </row>
    <row r="87" spans="1:22" x14ac:dyDescent="0.35">
      <c r="A87" s="24" t="s">
        <v>185</v>
      </c>
      <c r="B87" s="25" t="s">
        <v>186</v>
      </c>
      <c r="C87" s="26" t="s">
        <v>32</v>
      </c>
      <c r="D87" s="34">
        <v>1</v>
      </c>
      <c r="E87" s="34">
        <v>2</v>
      </c>
      <c r="F87" s="27">
        <v>1682.3600003036368</v>
      </c>
      <c r="G87" s="27">
        <v>1682.2786361598176</v>
      </c>
      <c r="H87" s="27">
        <v>8.1364143819200763E-2</v>
      </c>
      <c r="I87" s="27">
        <v>157.88</v>
      </c>
      <c r="J87" s="27">
        <v>4.76</v>
      </c>
      <c r="K87" s="28">
        <v>31</v>
      </c>
      <c r="L87" s="21">
        <v>95.23</v>
      </c>
      <c r="M87" s="21">
        <v>0</v>
      </c>
      <c r="N87" s="12">
        <v>0</v>
      </c>
      <c r="O87" s="12">
        <v>1</v>
      </c>
      <c r="P87" s="13">
        <v>1</v>
      </c>
      <c r="Q87" s="22">
        <v>274.37529999999998</v>
      </c>
      <c r="R87" s="22">
        <v>315.56549999999999</v>
      </c>
      <c r="S87" s="23">
        <v>461598.02979131037</v>
      </c>
      <c r="T87" s="23">
        <v>1502.09178</v>
      </c>
      <c r="U87" s="23">
        <v>0</v>
      </c>
      <c r="V87" s="23">
        <v>463100.12157131039</v>
      </c>
    </row>
    <row r="88" spans="1:22" x14ac:dyDescent="0.35">
      <c r="A88" s="24" t="s">
        <v>187</v>
      </c>
      <c r="B88" s="25" t="s">
        <v>188</v>
      </c>
      <c r="C88" s="26" t="s">
        <v>32</v>
      </c>
      <c r="D88" s="34">
        <v>1</v>
      </c>
      <c r="E88" s="34">
        <v>2</v>
      </c>
      <c r="F88" s="27">
        <v>5617.0030010137698</v>
      </c>
      <c r="G88" s="27">
        <v>5497.2024593855631</v>
      </c>
      <c r="H88" s="27">
        <v>119.8005416282067</v>
      </c>
      <c r="I88" s="27">
        <v>1361.309</v>
      </c>
      <c r="J88" s="27">
        <v>0</v>
      </c>
      <c r="K88" s="28">
        <v>0</v>
      </c>
      <c r="L88" s="21">
        <v>39.600999999999999</v>
      </c>
      <c r="M88" s="21">
        <v>0</v>
      </c>
      <c r="N88" s="12">
        <v>1</v>
      </c>
      <c r="O88" s="12">
        <v>1</v>
      </c>
      <c r="P88" s="13">
        <v>1</v>
      </c>
      <c r="Q88" s="22">
        <v>274.37529999999998</v>
      </c>
      <c r="R88" s="22">
        <v>315.56549999999999</v>
      </c>
      <c r="S88" s="23">
        <v>1541166.8835040533</v>
      </c>
      <c r="T88" s="23">
        <v>0</v>
      </c>
      <c r="U88" s="23">
        <v>0</v>
      </c>
      <c r="V88" s="23">
        <v>1541166.8835040533</v>
      </c>
    </row>
    <row r="89" spans="1:22" x14ac:dyDescent="0.35">
      <c r="A89" s="24" t="s">
        <v>189</v>
      </c>
      <c r="B89" s="25" t="s">
        <v>190</v>
      </c>
      <c r="C89" s="26" t="s">
        <v>32</v>
      </c>
      <c r="D89" s="34">
        <v>1</v>
      </c>
      <c r="E89" s="34">
        <v>2</v>
      </c>
      <c r="F89" s="27">
        <v>1051.5500001897865</v>
      </c>
      <c r="G89" s="27">
        <v>1037.5873384153817</v>
      </c>
      <c r="H89" s="27">
        <v>13.962661774404751</v>
      </c>
      <c r="I89" s="27">
        <v>390.85</v>
      </c>
      <c r="J89" s="27">
        <v>0</v>
      </c>
      <c r="K89" s="28">
        <v>0</v>
      </c>
      <c r="L89" s="21">
        <v>0.04</v>
      </c>
      <c r="M89" s="21">
        <v>0</v>
      </c>
      <c r="N89" s="12">
        <v>0</v>
      </c>
      <c r="O89" s="12">
        <v>0</v>
      </c>
      <c r="P89" s="13">
        <v>1</v>
      </c>
      <c r="Q89" s="22">
        <v>274.37529999999998</v>
      </c>
      <c r="R89" s="22">
        <v>315.56549999999999</v>
      </c>
      <c r="S89" s="23">
        <v>288519.34676707268</v>
      </c>
      <c r="T89" s="23">
        <v>0</v>
      </c>
      <c r="U89" s="23">
        <v>0</v>
      </c>
      <c r="V89" s="23">
        <v>288519.34676707268</v>
      </c>
    </row>
    <row r="90" spans="1:22" x14ac:dyDescent="0.35">
      <c r="A90" s="24" t="s">
        <v>191</v>
      </c>
      <c r="B90" s="25" t="s">
        <v>192</v>
      </c>
      <c r="C90" s="26" t="s">
        <v>32</v>
      </c>
      <c r="D90" s="34">
        <v>1</v>
      </c>
      <c r="E90" s="34">
        <v>2</v>
      </c>
      <c r="F90" s="27">
        <v>1267.9820002288504</v>
      </c>
      <c r="G90" s="27">
        <v>1136.0934467860861</v>
      </c>
      <c r="H90" s="27">
        <v>131.88855344276431</v>
      </c>
      <c r="I90" s="27">
        <v>313.86599999999999</v>
      </c>
      <c r="J90" s="27">
        <v>0</v>
      </c>
      <c r="K90" s="28">
        <v>0</v>
      </c>
      <c r="L90" s="21">
        <v>206.83500000000001</v>
      </c>
      <c r="M90" s="21">
        <v>0</v>
      </c>
      <c r="N90" s="12">
        <v>0</v>
      </c>
      <c r="O90" s="12">
        <v>0</v>
      </c>
      <c r="P90" s="13">
        <v>1</v>
      </c>
      <c r="Q90" s="22">
        <v>274.37529999999998</v>
      </c>
      <c r="R90" s="22">
        <v>315.56549999999999</v>
      </c>
      <c r="S90" s="23">
        <v>347902.94170739088</v>
      </c>
      <c r="T90" s="23">
        <v>0</v>
      </c>
      <c r="U90" s="23">
        <v>0</v>
      </c>
      <c r="V90" s="23">
        <v>347902.94170739088</v>
      </c>
    </row>
    <row r="91" spans="1:22" x14ac:dyDescent="0.35">
      <c r="A91" s="24" t="s">
        <v>193</v>
      </c>
      <c r="B91" s="25" t="s">
        <v>194</v>
      </c>
      <c r="C91" s="26" t="s">
        <v>32</v>
      </c>
      <c r="D91" s="34">
        <v>1</v>
      </c>
      <c r="E91" s="34">
        <v>2</v>
      </c>
      <c r="F91" s="27">
        <v>3858.6460006964148</v>
      </c>
      <c r="G91" s="27">
        <v>3486.0705348926963</v>
      </c>
      <c r="H91" s="27">
        <v>372.57546580371854</v>
      </c>
      <c r="I91" s="27">
        <v>2321.6550000000002</v>
      </c>
      <c r="J91" s="27">
        <v>393.10000000000014</v>
      </c>
      <c r="K91" s="28">
        <v>31</v>
      </c>
      <c r="L91" s="21">
        <v>88.236000000000004</v>
      </c>
      <c r="M91" s="21">
        <v>0</v>
      </c>
      <c r="N91" s="12">
        <v>1</v>
      </c>
      <c r="O91" s="12">
        <v>2</v>
      </c>
      <c r="P91" s="13">
        <v>1</v>
      </c>
      <c r="Q91" s="22">
        <v>274.37529999999998</v>
      </c>
      <c r="R91" s="22">
        <v>315.56549999999999</v>
      </c>
      <c r="S91" s="23">
        <v>1058717.1540348791</v>
      </c>
      <c r="T91" s="23">
        <v>124048.79805000004</v>
      </c>
      <c r="U91" s="23">
        <v>0</v>
      </c>
      <c r="V91" s="23">
        <v>1182765.9520848792</v>
      </c>
    </row>
    <row r="92" spans="1:22" x14ac:dyDescent="0.35">
      <c r="A92" s="24" t="s">
        <v>195</v>
      </c>
      <c r="B92" s="25" t="s">
        <v>196</v>
      </c>
      <c r="C92" s="26" t="s">
        <v>32</v>
      </c>
      <c r="D92" s="34">
        <v>1</v>
      </c>
      <c r="E92" s="34">
        <v>2</v>
      </c>
      <c r="F92" s="27">
        <v>3201.8790005778869</v>
      </c>
      <c r="G92" s="27">
        <v>2910.5643597814797</v>
      </c>
      <c r="H92" s="27">
        <v>291.31464079640728</v>
      </c>
      <c r="I92" s="27">
        <v>533.47699999999998</v>
      </c>
      <c r="J92" s="27">
        <v>0</v>
      </c>
      <c r="K92" s="28">
        <v>0</v>
      </c>
      <c r="L92" s="21">
        <v>402.315</v>
      </c>
      <c r="M92" s="21">
        <v>0</v>
      </c>
      <c r="N92" s="12">
        <v>0</v>
      </c>
      <c r="O92" s="12">
        <v>0</v>
      </c>
      <c r="P92" s="13">
        <v>1</v>
      </c>
      <c r="Q92" s="22">
        <v>274.37529999999998</v>
      </c>
      <c r="R92" s="22">
        <v>315.56549999999999</v>
      </c>
      <c r="S92" s="23">
        <v>878516.51134725788</v>
      </c>
      <c r="T92" s="23">
        <v>0</v>
      </c>
      <c r="U92" s="23">
        <v>0</v>
      </c>
      <c r="V92" s="23">
        <v>878516.51134725788</v>
      </c>
    </row>
    <row r="93" spans="1:22" x14ac:dyDescent="0.35">
      <c r="A93" s="24" t="s">
        <v>197</v>
      </c>
      <c r="B93" s="25" t="s">
        <v>198</v>
      </c>
      <c r="C93" s="26" t="s">
        <v>32</v>
      </c>
      <c r="D93" s="34">
        <v>1</v>
      </c>
      <c r="E93" s="34">
        <v>2</v>
      </c>
      <c r="F93" s="27">
        <v>2775.4000005009116</v>
      </c>
      <c r="G93" s="27">
        <v>2775.4242466100932</v>
      </c>
      <c r="H93" s="27">
        <v>-2.424610918160397E-2</v>
      </c>
      <c r="I93" s="27">
        <v>297.11</v>
      </c>
      <c r="J93" s="27">
        <v>0</v>
      </c>
      <c r="K93" s="28">
        <v>0</v>
      </c>
      <c r="L93" s="21">
        <v>11.9</v>
      </c>
      <c r="M93" s="21">
        <v>0</v>
      </c>
      <c r="N93" s="12">
        <v>0</v>
      </c>
      <c r="O93" s="12">
        <v>0</v>
      </c>
      <c r="P93" s="13">
        <v>1</v>
      </c>
      <c r="Q93" s="22">
        <v>274.37529999999998</v>
      </c>
      <c r="R93" s="22">
        <v>315.56549999999999</v>
      </c>
      <c r="S93" s="23">
        <v>761501.20775743772</v>
      </c>
      <c r="T93" s="23">
        <v>0</v>
      </c>
      <c r="U93" s="23">
        <v>0</v>
      </c>
      <c r="V93" s="23">
        <v>761501.20775743772</v>
      </c>
    </row>
    <row r="94" spans="1:22" x14ac:dyDescent="0.35">
      <c r="A94" s="24" t="s">
        <v>199</v>
      </c>
      <c r="B94" s="25" t="s">
        <v>200</v>
      </c>
      <c r="C94" s="26" t="s">
        <v>32</v>
      </c>
      <c r="D94" s="34">
        <v>1</v>
      </c>
      <c r="E94" s="34">
        <v>2</v>
      </c>
      <c r="F94" s="27">
        <v>4463.9500008056657</v>
      </c>
      <c r="G94" s="27">
        <v>4463.9564185059307</v>
      </c>
      <c r="H94" s="27">
        <v>-6.417700265046733E-3</v>
      </c>
      <c r="I94" s="27">
        <v>510.35</v>
      </c>
      <c r="J94" s="27">
        <v>0</v>
      </c>
      <c r="K94" s="28">
        <v>0</v>
      </c>
      <c r="L94" s="21">
        <v>298.51</v>
      </c>
      <c r="M94" s="21">
        <v>0</v>
      </c>
      <c r="N94" s="12">
        <v>0</v>
      </c>
      <c r="O94" s="12">
        <v>0</v>
      </c>
      <c r="P94" s="13">
        <v>1</v>
      </c>
      <c r="Q94" s="22">
        <v>274.37529999999998</v>
      </c>
      <c r="R94" s="22">
        <v>315.56549999999999</v>
      </c>
      <c r="S94" s="23">
        <v>1224797.6206560547</v>
      </c>
      <c r="T94" s="23">
        <v>0</v>
      </c>
      <c r="U94" s="23">
        <v>0</v>
      </c>
      <c r="V94" s="23">
        <v>1224797.6206560547</v>
      </c>
    </row>
    <row r="95" spans="1:22" x14ac:dyDescent="0.35">
      <c r="A95" s="24" t="s">
        <v>201</v>
      </c>
      <c r="B95" s="25" t="s">
        <v>202</v>
      </c>
      <c r="C95" s="26" t="s">
        <v>32</v>
      </c>
      <c r="D95" s="34">
        <v>1</v>
      </c>
      <c r="E95" s="34">
        <v>2</v>
      </c>
      <c r="F95" s="27">
        <v>4672.402000843289</v>
      </c>
      <c r="G95" s="27">
        <v>4470.1410447572571</v>
      </c>
      <c r="H95" s="27">
        <v>202.26095608603191</v>
      </c>
      <c r="I95" s="27">
        <v>2202.5050000000001</v>
      </c>
      <c r="J95" s="27">
        <v>41.019999999999975</v>
      </c>
      <c r="K95" s="28">
        <v>31</v>
      </c>
      <c r="L95" s="21">
        <v>5.7889999999999997</v>
      </c>
      <c r="M95" s="21">
        <v>0</v>
      </c>
      <c r="N95" s="12">
        <v>2</v>
      </c>
      <c r="O95" s="12">
        <v>3</v>
      </c>
      <c r="P95" s="13">
        <v>1</v>
      </c>
      <c r="Q95" s="22">
        <v>274.37529999999998</v>
      </c>
      <c r="R95" s="22">
        <v>315.56549999999999</v>
      </c>
      <c r="S95" s="23">
        <v>1281991.7007019776</v>
      </c>
      <c r="T95" s="23">
        <v>12944.496809999991</v>
      </c>
      <c r="U95" s="23">
        <v>0</v>
      </c>
      <c r="V95" s="23">
        <v>1294936.1975119775</v>
      </c>
    </row>
    <row r="96" spans="1:22" x14ac:dyDescent="0.35">
      <c r="A96" s="24" t="s">
        <v>203</v>
      </c>
      <c r="B96" s="25" t="s">
        <v>204</v>
      </c>
      <c r="C96" s="26" t="s">
        <v>32</v>
      </c>
      <c r="D96" s="34">
        <v>1</v>
      </c>
      <c r="E96" s="34">
        <v>2</v>
      </c>
      <c r="F96" s="27">
        <v>4411.7380007962402</v>
      </c>
      <c r="G96" s="27">
        <v>3947.1266696120319</v>
      </c>
      <c r="H96" s="27">
        <v>464.61133118420821</v>
      </c>
      <c r="I96" s="27">
        <v>843.66399999999999</v>
      </c>
      <c r="J96" s="27">
        <v>1.25</v>
      </c>
      <c r="K96" s="28">
        <v>1</v>
      </c>
      <c r="L96" s="21">
        <v>52.651000000000003</v>
      </c>
      <c r="M96" s="21">
        <v>0</v>
      </c>
      <c r="N96" s="12">
        <v>1</v>
      </c>
      <c r="O96" s="12">
        <v>1</v>
      </c>
      <c r="P96" s="13">
        <v>1</v>
      </c>
      <c r="Q96" s="22">
        <v>274.37529999999998</v>
      </c>
      <c r="R96" s="22">
        <v>315.56549999999999</v>
      </c>
      <c r="S96" s="23">
        <v>1210471.9374898686</v>
      </c>
      <c r="T96" s="23">
        <v>394.45687499999997</v>
      </c>
      <c r="U96" s="23">
        <v>0</v>
      </c>
      <c r="V96" s="23">
        <v>1210866.3943648685</v>
      </c>
    </row>
    <row r="97" spans="1:22" x14ac:dyDescent="0.35">
      <c r="A97" s="24" t="s">
        <v>205</v>
      </c>
      <c r="B97" s="25" t="s">
        <v>206</v>
      </c>
      <c r="C97" s="26" t="s">
        <v>32</v>
      </c>
      <c r="D97" s="34">
        <v>1</v>
      </c>
      <c r="E97" s="34">
        <v>2</v>
      </c>
      <c r="F97" s="27">
        <v>1387.5800002504341</v>
      </c>
      <c r="G97" s="27">
        <v>1387.5441564361038</v>
      </c>
      <c r="H97" s="27">
        <v>3.5843814330291934E-2</v>
      </c>
      <c r="I97" s="27">
        <v>583.66</v>
      </c>
      <c r="J97" s="27">
        <v>130.13</v>
      </c>
      <c r="K97" s="28">
        <v>31</v>
      </c>
      <c r="L97" s="21">
        <v>44.3</v>
      </c>
      <c r="M97" s="21">
        <v>0</v>
      </c>
      <c r="N97" s="12">
        <v>2</v>
      </c>
      <c r="O97" s="12">
        <v>3</v>
      </c>
      <c r="P97" s="13">
        <v>1</v>
      </c>
      <c r="Q97" s="22">
        <v>274.37529999999998</v>
      </c>
      <c r="R97" s="22">
        <v>315.56549999999999</v>
      </c>
      <c r="S97" s="23">
        <v>380717.67884271289</v>
      </c>
      <c r="T97" s="23">
        <v>41064.538515</v>
      </c>
      <c r="U97" s="23">
        <v>0</v>
      </c>
      <c r="V97" s="23">
        <v>421782.21735771291</v>
      </c>
    </row>
    <row r="98" spans="1:22" x14ac:dyDescent="0.35">
      <c r="A98" s="24" t="s">
        <v>207</v>
      </c>
      <c r="B98" s="25" t="s">
        <v>208</v>
      </c>
      <c r="C98" s="26" t="s">
        <v>32</v>
      </c>
      <c r="D98" s="34">
        <v>1</v>
      </c>
      <c r="E98" s="34">
        <v>2</v>
      </c>
      <c r="F98" s="27">
        <v>2031.7790003667042</v>
      </c>
      <c r="G98" s="27">
        <v>1771.7489883499634</v>
      </c>
      <c r="H98" s="27">
        <v>260.03001201674078</v>
      </c>
      <c r="I98" s="27">
        <v>694.928</v>
      </c>
      <c r="J98" s="27">
        <v>29.45</v>
      </c>
      <c r="K98" s="28">
        <v>31</v>
      </c>
      <c r="L98" s="21">
        <v>12.625999999999999</v>
      </c>
      <c r="M98" s="21">
        <v>0</v>
      </c>
      <c r="N98" s="12">
        <v>1</v>
      </c>
      <c r="O98" s="12">
        <v>2</v>
      </c>
      <c r="P98" s="13">
        <v>1</v>
      </c>
      <c r="Q98" s="22">
        <v>274.37529999999998</v>
      </c>
      <c r="R98" s="22">
        <v>315.56549999999999</v>
      </c>
      <c r="S98" s="23">
        <v>557469.97275931458</v>
      </c>
      <c r="T98" s="23">
        <v>9293.4039749999993</v>
      </c>
      <c r="U98" s="23">
        <v>0</v>
      </c>
      <c r="V98" s="23">
        <v>566763.3767343146</v>
      </c>
    </row>
    <row r="99" spans="1:22" x14ac:dyDescent="0.35">
      <c r="A99" s="24" t="s">
        <v>212</v>
      </c>
      <c r="B99" s="25" t="s">
        <v>213</v>
      </c>
      <c r="C99" s="26" t="s">
        <v>32</v>
      </c>
      <c r="D99" s="34">
        <v>1</v>
      </c>
      <c r="E99" s="34">
        <v>2</v>
      </c>
      <c r="F99" s="27">
        <v>943.38900017026879</v>
      </c>
      <c r="G99" s="27">
        <v>808.60112077575218</v>
      </c>
      <c r="H99" s="27">
        <v>134.78787939451661</v>
      </c>
      <c r="I99" s="27">
        <v>451.34300000000002</v>
      </c>
      <c r="J99" s="27">
        <v>37.050000000000026</v>
      </c>
      <c r="K99" s="28">
        <v>21</v>
      </c>
      <c r="L99" s="21">
        <v>8.7140000000000004</v>
      </c>
      <c r="M99" s="21">
        <v>0</v>
      </c>
      <c r="N99" s="12">
        <v>0</v>
      </c>
      <c r="O99" s="12">
        <v>1</v>
      </c>
      <c r="P99" s="13">
        <v>1</v>
      </c>
      <c r="Q99" s="22">
        <v>274.37529999999998</v>
      </c>
      <c r="R99" s="22">
        <v>315.56549999999999</v>
      </c>
      <c r="S99" s="23">
        <v>258842.63993841753</v>
      </c>
      <c r="T99" s="23">
        <v>11691.701775000007</v>
      </c>
      <c r="U99" s="23">
        <v>0</v>
      </c>
      <c r="V99" s="23">
        <v>270534.34171341755</v>
      </c>
    </row>
    <row r="100" spans="1:22" x14ac:dyDescent="0.35">
      <c r="A100" s="24" t="s">
        <v>214</v>
      </c>
      <c r="B100" s="25" t="s">
        <v>215</v>
      </c>
      <c r="C100" s="26" t="s">
        <v>32</v>
      </c>
      <c r="D100" s="34">
        <v>1</v>
      </c>
      <c r="E100" s="34">
        <v>2</v>
      </c>
      <c r="F100" s="27">
        <v>1057.5290001908691</v>
      </c>
      <c r="G100" s="27">
        <v>675.57136057313244</v>
      </c>
      <c r="H100" s="27">
        <v>381.95763961773662</v>
      </c>
      <c r="I100" s="27">
        <v>233.328</v>
      </c>
      <c r="J100" s="27">
        <v>0</v>
      </c>
      <c r="K100" s="28">
        <v>0</v>
      </c>
      <c r="L100" s="21">
        <v>18.253</v>
      </c>
      <c r="M100" s="21">
        <v>0</v>
      </c>
      <c r="N100" s="12">
        <v>0</v>
      </c>
      <c r="O100" s="12">
        <v>0</v>
      </c>
      <c r="P100" s="13">
        <v>1</v>
      </c>
      <c r="Q100" s="22">
        <v>274.37529999999998</v>
      </c>
      <c r="R100" s="22">
        <v>315.56549999999999</v>
      </c>
      <c r="S100" s="23">
        <v>290159.83668606973</v>
      </c>
      <c r="T100" s="23">
        <v>0</v>
      </c>
      <c r="U100" s="23">
        <v>0</v>
      </c>
      <c r="V100" s="23">
        <v>290159.83668606973</v>
      </c>
    </row>
    <row r="101" spans="1:22" x14ac:dyDescent="0.35">
      <c r="A101" s="24" t="s">
        <v>216</v>
      </c>
      <c r="B101" s="25" t="s">
        <v>217</v>
      </c>
      <c r="C101" s="26" t="s">
        <v>32</v>
      </c>
      <c r="D101" s="34">
        <v>1</v>
      </c>
      <c r="E101" s="34">
        <v>2</v>
      </c>
      <c r="F101" s="27">
        <v>242.50000004376705</v>
      </c>
      <c r="G101" s="27">
        <v>242.50970401091385</v>
      </c>
      <c r="H101" s="27">
        <v>-9.7039671468053257E-3</v>
      </c>
      <c r="I101" s="27">
        <v>1.7470000000000001</v>
      </c>
      <c r="J101" s="27">
        <v>0</v>
      </c>
      <c r="K101" s="28">
        <v>0</v>
      </c>
      <c r="L101" s="21">
        <v>75.710999999999999</v>
      </c>
      <c r="M101" s="21">
        <v>0</v>
      </c>
      <c r="N101" s="12">
        <v>0</v>
      </c>
      <c r="O101" s="12">
        <v>0</v>
      </c>
      <c r="P101" s="13">
        <v>1</v>
      </c>
      <c r="Q101" s="22">
        <v>274.37529999999998</v>
      </c>
      <c r="R101" s="22">
        <v>315.56549999999999</v>
      </c>
      <c r="S101" s="23">
        <v>66536.010262008596</v>
      </c>
      <c r="T101" s="23">
        <v>0</v>
      </c>
      <c r="U101" s="23">
        <v>0</v>
      </c>
      <c r="V101" s="23">
        <v>66536.010262008596</v>
      </c>
    </row>
    <row r="102" spans="1:22" x14ac:dyDescent="0.35">
      <c r="A102" s="24" t="s">
        <v>218</v>
      </c>
      <c r="B102" s="25" t="s">
        <v>219</v>
      </c>
      <c r="C102" s="26" t="s">
        <v>32</v>
      </c>
      <c r="D102" s="34">
        <v>1</v>
      </c>
      <c r="E102" s="34">
        <v>2</v>
      </c>
      <c r="F102" s="27">
        <v>425.48000007679173</v>
      </c>
      <c r="G102" s="27">
        <v>425.47299956024324</v>
      </c>
      <c r="H102" s="27">
        <v>7.0005165484872123E-3</v>
      </c>
      <c r="I102" s="27">
        <v>30.26</v>
      </c>
      <c r="J102" s="27">
        <v>0</v>
      </c>
      <c r="K102" s="28">
        <v>0</v>
      </c>
      <c r="L102" s="21">
        <v>40.313000000000002</v>
      </c>
      <c r="M102" s="21">
        <v>0</v>
      </c>
      <c r="N102" s="12">
        <v>0</v>
      </c>
      <c r="O102" s="12">
        <v>0</v>
      </c>
      <c r="P102" s="13">
        <v>1</v>
      </c>
      <c r="Q102" s="22">
        <v>274.37529999999998</v>
      </c>
      <c r="R102" s="22">
        <v>315.56549999999999</v>
      </c>
      <c r="S102" s="23">
        <v>116741.20266506975</v>
      </c>
      <c r="T102" s="23">
        <v>0</v>
      </c>
      <c r="U102" s="23">
        <v>0</v>
      </c>
      <c r="V102" s="23">
        <v>116741.20266506975</v>
      </c>
    </row>
    <row r="103" spans="1:22" x14ac:dyDescent="0.35">
      <c r="A103" s="24" t="s">
        <v>220</v>
      </c>
      <c r="B103" s="25" t="s">
        <v>221</v>
      </c>
      <c r="C103" s="26" t="s">
        <v>32</v>
      </c>
      <c r="D103" s="34">
        <v>1</v>
      </c>
      <c r="E103" s="34">
        <v>2</v>
      </c>
      <c r="F103" s="27">
        <v>504.57800009106757</v>
      </c>
      <c r="G103" s="27">
        <v>434.62934733901716</v>
      </c>
      <c r="H103" s="27">
        <v>69.948652752050407</v>
      </c>
      <c r="I103" s="27">
        <v>373.30599999999998</v>
      </c>
      <c r="J103" s="27">
        <v>137.63999999999999</v>
      </c>
      <c r="K103" s="28">
        <v>7</v>
      </c>
      <c r="L103" s="21">
        <v>2.9769999999999999</v>
      </c>
      <c r="M103" s="21">
        <v>0</v>
      </c>
      <c r="N103" s="12">
        <v>0</v>
      </c>
      <c r="O103" s="12">
        <v>0</v>
      </c>
      <c r="P103" s="13">
        <v>1</v>
      </c>
      <c r="Q103" s="22">
        <v>274.37529999999998</v>
      </c>
      <c r="R103" s="22">
        <v>315.56549999999999</v>
      </c>
      <c r="S103" s="23">
        <v>138443.74014838669</v>
      </c>
      <c r="T103" s="23">
        <v>43434.435419999994</v>
      </c>
      <c r="U103" s="23">
        <v>0</v>
      </c>
      <c r="V103" s="23">
        <v>181878.17556838668</v>
      </c>
    </row>
    <row r="104" spans="1:22" x14ac:dyDescent="0.35">
      <c r="A104" s="24" t="s">
        <v>222</v>
      </c>
      <c r="B104" s="25" t="s">
        <v>223</v>
      </c>
      <c r="C104" s="26" t="s">
        <v>32</v>
      </c>
      <c r="D104" s="34">
        <v>1</v>
      </c>
      <c r="E104" s="34">
        <v>2</v>
      </c>
      <c r="F104" s="27">
        <v>821.34900014823927</v>
      </c>
      <c r="G104" s="27">
        <v>821.34076175863697</v>
      </c>
      <c r="H104" s="27">
        <v>8.2383896022975023E-3</v>
      </c>
      <c r="I104" s="27">
        <v>546.45699999999999</v>
      </c>
      <c r="J104" s="27">
        <v>273.42</v>
      </c>
      <c r="K104" s="28">
        <v>7</v>
      </c>
      <c r="L104" s="21">
        <v>18.378</v>
      </c>
      <c r="M104" s="21">
        <v>0</v>
      </c>
      <c r="N104" s="12">
        <v>0</v>
      </c>
      <c r="O104" s="12">
        <v>0</v>
      </c>
      <c r="P104" s="13">
        <v>1</v>
      </c>
      <c r="Q104" s="22">
        <v>274.37529999999998</v>
      </c>
      <c r="R104" s="22">
        <v>315.56549999999999</v>
      </c>
      <c r="S104" s="23">
        <v>225357.87832037319</v>
      </c>
      <c r="T104" s="23">
        <v>86281.919009999998</v>
      </c>
      <c r="U104" s="23">
        <v>0</v>
      </c>
      <c r="V104" s="23">
        <v>311639.7973303732</v>
      </c>
    </row>
    <row r="105" spans="1:22" x14ac:dyDescent="0.35">
      <c r="A105" s="24" t="s">
        <v>224</v>
      </c>
      <c r="B105" s="25" t="s">
        <v>225</v>
      </c>
      <c r="C105" s="26" t="s">
        <v>32</v>
      </c>
      <c r="D105" s="34">
        <v>1</v>
      </c>
      <c r="E105" s="34">
        <v>2</v>
      </c>
      <c r="F105" s="27">
        <v>435.23419056159702</v>
      </c>
      <c r="G105" s="27">
        <v>435.03419056159703</v>
      </c>
      <c r="H105" s="27">
        <v>0.19999999999998863</v>
      </c>
      <c r="I105" s="27">
        <v>102.14400000000001</v>
      </c>
      <c r="J105" s="27">
        <v>0</v>
      </c>
      <c r="K105" s="28">
        <v>0</v>
      </c>
      <c r="L105" s="21">
        <v>20.613</v>
      </c>
      <c r="M105" s="21">
        <v>0</v>
      </c>
      <c r="N105" s="12">
        <v>0</v>
      </c>
      <c r="O105" s="12">
        <v>0</v>
      </c>
      <c r="P105" s="13">
        <v>1</v>
      </c>
      <c r="Q105" s="22">
        <v>274.37529999999998</v>
      </c>
      <c r="R105" s="22">
        <v>315.56549999999999</v>
      </c>
      <c r="S105" s="23">
        <v>119417.51160559534</v>
      </c>
      <c r="T105" s="23">
        <v>0</v>
      </c>
      <c r="U105" s="23">
        <v>0</v>
      </c>
      <c r="V105" s="23">
        <v>119417.51160559534</v>
      </c>
    </row>
    <row r="106" spans="1:22" x14ac:dyDescent="0.35">
      <c r="A106" s="29"/>
      <c r="B106" s="30"/>
      <c r="C106" s="29"/>
      <c r="D106" s="31"/>
      <c r="E106" s="31"/>
      <c r="F106" s="32"/>
      <c r="G106" s="32"/>
      <c r="H106" s="32"/>
      <c r="I106" s="3"/>
      <c r="J106" s="3"/>
      <c r="K106" s="33"/>
      <c r="L106" s="3"/>
      <c r="M106" s="3"/>
      <c r="N106" s="12"/>
      <c r="O106" s="12"/>
      <c r="P106" s="13"/>
      <c r="Q106" s="22"/>
      <c r="R106" s="22"/>
      <c r="S106" s="23"/>
      <c r="T106" s="23"/>
      <c r="U106" s="23"/>
      <c r="V106" s="23"/>
    </row>
    <row r="107" spans="1:22" x14ac:dyDescent="0.35">
      <c r="E107" s="9" t="s">
        <v>16</v>
      </c>
      <c r="F107" s="9">
        <f>SUM(F5:F105)</f>
        <v>625241.49583547318</v>
      </c>
      <c r="G107" s="9">
        <f>SUM(G5:G105)</f>
        <v>607239.98153781798</v>
      </c>
      <c r="H107" s="9">
        <f>SUM(H5:H105)</f>
        <v>18001.514297655005</v>
      </c>
      <c r="I107" s="9">
        <f>SUM(I5:I105)</f>
        <v>164681.63400000008</v>
      </c>
      <c r="J107" s="9">
        <f>SUM(J5:J105)</f>
        <v>19001.040000000008</v>
      </c>
      <c r="K107" s="9"/>
      <c r="L107" s="9"/>
      <c r="M107" s="9"/>
      <c r="N107" s="9"/>
      <c r="O107" s="9"/>
      <c r="P107" s="9"/>
      <c r="Q107" s="9"/>
      <c r="R107" s="9"/>
      <c r="S107" s="10">
        <f>SUM(S5:S105)</f>
        <v>108785353.59349692</v>
      </c>
      <c r="T107" s="10">
        <f>SUM(T5:T105)</f>
        <v>5599271.4337570034</v>
      </c>
      <c r="U107" s="10">
        <f>SUM(U5:U105)</f>
        <v>3465344.6703899996</v>
      </c>
      <c r="V107" s="10">
        <f>SUM(V5:V105)</f>
        <v>117849969.69764394</v>
      </c>
    </row>
  </sheetData>
  <autoFilter ref="A4:V12" xr:uid="{DFEE18E3-4675-4220-A046-B2750FD38228}"/>
  <mergeCells count="1">
    <mergeCell ref="F3:G3"/>
  </mergeCells>
  <conditionalFormatting sqref="B4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 stopIfTrue="1"/>
    <cfRule type="duplicateValues" dxfId="8" priority="10" stopIfTrue="1"/>
    <cfRule type="duplicateValues" dxfId="7" priority="11" stopIfTrue="1"/>
    <cfRule type="duplicateValues" dxfId="6" priority="12" stopIfTrue="1"/>
  </conditionalFormatting>
  <conditionalFormatting sqref="B4:B105">
    <cfRule type="duplicateValues" dxfId="5" priority="97"/>
  </conditionalFormatting>
  <conditionalFormatting sqref="B106">
    <cfRule type="duplicateValues" dxfId="4" priority="13"/>
  </conditionalFormatting>
  <conditionalFormatting sqref="B3:D3">
    <cfRule type="duplicateValues" dxfId="3" priority="91" stopIfTrue="1"/>
    <cfRule type="duplicateValues" dxfId="2" priority="92" stopIfTrue="1"/>
    <cfRule type="duplicateValues" dxfId="1" priority="93" stopIfTrue="1"/>
  </conditionalFormatting>
  <conditionalFormatting sqref="P3">
    <cfRule type="duplicateValues" dxfId="0" priority="90" stopIfTrue="1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4B6F753C52164FB1D554AAB843CFC0" ma:contentTypeVersion="15" ma:contentTypeDescription="Crear nuevo documento." ma:contentTypeScope="" ma:versionID="73e726b7846ac98b2e82bbba4db4db7a">
  <xsd:schema xmlns:xsd="http://www.w3.org/2001/XMLSchema" xmlns:xs="http://www.w3.org/2001/XMLSchema" xmlns:p="http://schemas.microsoft.com/office/2006/metadata/properties" xmlns:ns3="da22d1dd-5ebb-4fec-87c6-eff43ee1d269" xmlns:ns4="ad235908-71e9-4a93-8573-0051611839c1" targetNamespace="http://schemas.microsoft.com/office/2006/metadata/properties" ma:root="true" ma:fieldsID="7f109be08c2c768c3ec122504123a354" ns3:_="" ns4:_="">
    <xsd:import namespace="da22d1dd-5ebb-4fec-87c6-eff43ee1d269"/>
    <xsd:import namespace="ad235908-71e9-4a93-8573-0051611839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Details" minOccurs="0"/>
                <xsd:element ref="ns4:SharingHintHash" minOccurs="0"/>
                <xsd:element ref="ns4:SharedWithUser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2d1dd-5ebb-4fec-87c6-eff43ee1d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35908-71e9-4a93-8573-0051611839c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22d1dd-5ebb-4fec-87c6-eff43ee1d2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09E06C-B2D8-463D-8E02-849A5FDF5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22d1dd-5ebb-4fec-87c6-eff43ee1d269"/>
    <ds:schemaRef ds:uri="ad235908-71e9-4a93-8573-005161183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59F37D-256A-4CB2-9D2F-25C138ACEF84}">
  <ds:schemaRefs>
    <ds:schemaRef ds:uri="http://schemas.microsoft.com/office/2006/metadata/properties"/>
    <ds:schemaRef ds:uri="http://schemas.microsoft.com/office/infopath/2007/PartnerControls"/>
    <ds:schemaRef ds:uri="da22d1dd-5ebb-4fec-87c6-eff43ee1d269"/>
  </ds:schemaRefs>
</ds:datastoreItem>
</file>

<file path=customXml/itemProps3.xml><?xml version="1.0" encoding="utf-8"?>
<ds:datastoreItem xmlns:ds="http://schemas.openxmlformats.org/officeDocument/2006/customXml" ds:itemID="{17B3643B-6A6B-4CE6-967F-EC49B0DB911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RUBIELA PEREZ BALLESTEROS</dc:creator>
  <cp:lastModifiedBy>Customer Experience</cp:lastModifiedBy>
  <dcterms:created xsi:type="dcterms:W3CDTF">2023-01-06T20:57:23Z</dcterms:created>
  <dcterms:modified xsi:type="dcterms:W3CDTF">2026-01-09T03:36:35Z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0x010100234B6F753C52164FB1D554AAB843CFC0</vt:lpwstr>
  </property>
  <property fmtid="{D5CDD505-2E9C-101B-9397-08002B2CF9AE}" pid="3" name="MSIP_Label_35806b45-7a55-4b27-ac89-7de30449748f_Enabled">
    <vt:lpwstr>true</vt:lpwstr>
  </property>
  <property fmtid="{D5CDD505-2E9C-101B-9397-08002B2CF9AE}" pid="4" name="MSIP_Label_35806b45-7a55-4b27-ac89-7de30449748f_SetDate">
    <vt:lpwstr>2023-03-06T20:29:20Z</vt:lpwstr>
  </property>
  <property fmtid="{D5CDD505-2E9C-101B-9397-08002B2CF9AE}" pid="5" name="MSIP_Label_35806b45-7a55-4b27-ac89-7de30449748f_Method">
    <vt:lpwstr>Privileged</vt:lpwstr>
  </property>
  <property fmtid="{D5CDD505-2E9C-101B-9397-08002B2CF9AE}" pid="6" name="MSIP_Label_35806b45-7a55-4b27-ac89-7de30449748f_Name">
    <vt:lpwstr>35806b45-7a55-4b27-ac89-7de30449748f</vt:lpwstr>
  </property>
  <property fmtid="{D5CDD505-2E9C-101B-9397-08002B2CF9AE}" pid="7" name="MSIP_Label_35806b45-7a55-4b27-ac89-7de30449748f_SiteId">
    <vt:lpwstr>bf1ce8b5-5d39-4bc5-ad6e-07b3e4d7d67a</vt:lpwstr>
  </property>
  <property fmtid="{D5CDD505-2E9C-101B-9397-08002B2CF9AE}" pid="8" name="MSIP_Label_35806b45-7a55-4b27-ac89-7de30449748f_ActionId">
    <vt:lpwstr>40d7200a-80dd-466e-b6b8-223dde771d42</vt:lpwstr>
  </property>
  <property fmtid="{D5CDD505-2E9C-101B-9397-08002B2CF9AE}" pid="9" name="MSIP_Label_35806b45-7a55-4b27-ac89-7de30449748f_ContentBits">
    <vt:lpwstr>1</vt:lpwstr>
  </property>
</Properties>
</file>