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mco-my.sharepoint.com/personal/oscar_ortega_cens_com_co1/Documents/PC (25-10-2023)/Tecnologo D - Transacciones/LIQUIDACIONES/PRELIQUIDACION/Bot_Pre/"/>
    </mc:Choice>
  </mc:AlternateContent>
  <xr:revisionPtr revIDLastSave="0" documentId="8_{2CF3FD10-EA8B-4C49-B665-360842D8B608}" xr6:coauthVersionLast="47" xr6:coauthVersionMax="47" xr10:uidLastSave="{00000000-0000-0000-0000-000000000000}"/>
  <bookViews>
    <workbookView xWindow="-110" yWindow="-110" windowWidth="19420" windowHeight="10300" xr2:uid="{F5011326-B5EA-4D50-8FC1-A373733483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" l="1"/>
  <c r="O23" i="1"/>
  <c r="M23" i="1"/>
  <c r="Q23" i="1" s="1"/>
  <c r="P22" i="1"/>
  <c r="O22" i="1"/>
  <c r="Q22" i="1" s="1"/>
  <c r="M22" i="1"/>
  <c r="P21" i="1"/>
  <c r="O21" i="1"/>
  <c r="M21" i="1"/>
  <c r="Q21" i="1" s="1"/>
  <c r="P20" i="1"/>
  <c r="O20" i="1"/>
  <c r="Q20" i="1" s="1"/>
  <c r="M20" i="1"/>
  <c r="P19" i="1"/>
  <c r="O19" i="1"/>
  <c r="M19" i="1"/>
  <c r="Q19" i="1" s="1"/>
  <c r="P18" i="1"/>
  <c r="O18" i="1"/>
  <c r="Q18" i="1" s="1"/>
  <c r="M18" i="1"/>
  <c r="P17" i="1"/>
  <c r="O17" i="1"/>
  <c r="M17" i="1"/>
  <c r="Q17" i="1" s="1"/>
  <c r="P16" i="1"/>
  <c r="O16" i="1"/>
  <c r="Q16" i="1" s="1"/>
  <c r="M16" i="1"/>
  <c r="P15" i="1"/>
  <c r="O15" i="1"/>
  <c r="M15" i="1"/>
  <c r="Q15" i="1" s="1"/>
  <c r="P14" i="1"/>
  <c r="O14" i="1"/>
  <c r="Q14" i="1" s="1"/>
  <c r="M14" i="1"/>
  <c r="P13" i="1"/>
  <c r="O13" i="1"/>
  <c r="M13" i="1"/>
  <c r="Q13" i="1" s="1"/>
  <c r="P12" i="1"/>
  <c r="O12" i="1"/>
  <c r="Q12" i="1" s="1"/>
  <c r="M12" i="1"/>
  <c r="P11" i="1"/>
  <c r="O11" i="1"/>
  <c r="M11" i="1"/>
  <c r="Q11" i="1" s="1"/>
  <c r="P10" i="1"/>
  <c r="O10" i="1"/>
  <c r="Q10" i="1" s="1"/>
  <c r="M10" i="1"/>
  <c r="P9" i="1"/>
  <c r="O9" i="1"/>
  <c r="M9" i="1"/>
  <c r="Q9" i="1" s="1"/>
  <c r="P8" i="1"/>
  <c r="O8" i="1"/>
  <c r="Q8" i="1" s="1"/>
  <c r="M8" i="1"/>
  <c r="P7" i="1"/>
  <c r="O7" i="1"/>
  <c r="M7" i="1"/>
  <c r="Q7" i="1" s="1"/>
  <c r="P6" i="1"/>
  <c r="O6" i="1"/>
  <c r="Q6" i="1" s="1"/>
  <c r="M6" i="1"/>
  <c r="P5" i="1"/>
  <c r="O5" i="1"/>
  <c r="M5" i="1"/>
  <c r="Q5" i="1" s="1"/>
  <c r="P4" i="1"/>
  <c r="O4" i="1"/>
  <c r="Q4" i="1" s="1"/>
  <c r="M4" i="1"/>
  <c r="P3" i="1"/>
  <c r="O3" i="1"/>
  <c r="M3" i="1"/>
  <c r="Q3" i="1" s="1"/>
  <c r="P2" i="1"/>
  <c r="O2" i="1"/>
  <c r="Q2" i="1" s="1"/>
  <c r="M2" i="1"/>
  <c r="Q24" i="1" l="1"/>
</calcChain>
</file>

<file path=xl/sharedStrings.xml><?xml version="1.0" encoding="utf-8"?>
<sst xmlns="http://schemas.openxmlformats.org/spreadsheetml/2006/main" count="106" uniqueCount="62">
  <si>
    <t>Código de cliente</t>
  </si>
  <si>
    <t>Código SIC</t>
  </si>
  <si>
    <t>Nombre</t>
  </si>
  <si>
    <t>Comercializador</t>
  </si>
  <si>
    <t>NT_PRO</t>
  </si>
  <si>
    <t>Días</t>
  </si>
  <si>
    <t>Activa</t>
  </si>
  <si>
    <t>R_Capacitiva</t>
  </si>
  <si>
    <t>AENC</t>
  </si>
  <si>
    <t>R_Inductiva</t>
  </si>
  <si>
    <t>Tarifa Activa</t>
  </si>
  <si>
    <t>Tarifa Reactiva</t>
  </si>
  <si>
    <t>Valor Activa</t>
  </si>
  <si>
    <t>Factor M</t>
  </si>
  <si>
    <t>Valor R_Inductiva</t>
  </si>
  <si>
    <t>Valor R_Capacitiva</t>
  </si>
  <si>
    <t>Total</t>
  </si>
  <si>
    <t>FRT82704</t>
  </si>
  <si>
    <t>DROGUERIAS Y FARMACIAS CRUZ VE</t>
  </si>
  <si>
    <t>BIA ENERGY</t>
  </si>
  <si>
    <t>1_100</t>
  </si>
  <si>
    <t>FRT82670</t>
  </si>
  <si>
    <t>FRT57688</t>
  </si>
  <si>
    <t>Ncs S. A. S. Cll 10 1-73 (1691</t>
  </si>
  <si>
    <t>FRT57689</t>
  </si>
  <si>
    <t>Ncs S. A. S. Cll 10 4-24</t>
  </si>
  <si>
    <t>FRT82955</t>
  </si>
  <si>
    <t>FRT71035</t>
  </si>
  <si>
    <t>INVERSIONES SUB CUCUTA SAS SUB</t>
  </si>
  <si>
    <t>FRT82699</t>
  </si>
  <si>
    <t>FRT80404</t>
  </si>
  <si>
    <t>AQUALIA VILLA DEL ROSARIO SAS</t>
  </si>
  <si>
    <t>2_100</t>
  </si>
  <si>
    <t>FRT82553</t>
  </si>
  <si>
    <t>FRT74710</t>
  </si>
  <si>
    <t>DISTRAVES SAS PDV AGUACHICA -</t>
  </si>
  <si>
    <t>FRT76480</t>
  </si>
  <si>
    <t>DISTRAVES SAS PDV LA CEIBA - A</t>
  </si>
  <si>
    <t>1_50</t>
  </si>
  <si>
    <t>FRT75100</t>
  </si>
  <si>
    <t>DISTRAVES SAS CEDI CUCUTA - Cl</t>
  </si>
  <si>
    <t>FRT26970</t>
  </si>
  <si>
    <t>ALMACENES MAXIMO SAS</t>
  </si>
  <si>
    <t>1_0</t>
  </si>
  <si>
    <t>FRT32991</t>
  </si>
  <si>
    <t>FRISBY SA</t>
  </si>
  <si>
    <t>FRT74486</t>
  </si>
  <si>
    <t>Safela Group Cll 10 0e-51 sub</t>
  </si>
  <si>
    <t>FRT57819</t>
  </si>
  <si>
    <t>Ncs S. A. S. Cll 10 0e-51 sub</t>
  </si>
  <si>
    <t>FRT56499</t>
  </si>
  <si>
    <t>KFC VENTURA CUCUTA</t>
  </si>
  <si>
    <t>FRT24040</t>
  </si>
  <si>
    <t>INVERSIONES EN RECREACION, DEP</t>
  </si>
  <si>
    <t>FRT32213</t>
  </si>
  <si>
    <t>ACEITES Y GRASAS DEL CATATUMBO</t>
  </si>
  <si>
    <t>2_0</t>
  </si>
  <si>
    <t>FRT38183</t>
  </si>
  <si>
    <t>SALPLA S.A.S.</t>
  </si>
  <si>
    <t>FRT71028</t>
  </si>
  <si>
    <t>FRT82703</t>
  </si>
  <si>
    <t>VALOR A FACTURAR POR SDL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</si>
</sst>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6" fontId="2" fillId="2" borderId="1" xfId="1" applyNumberFormat="1" applyFont="1" applyFill="1" applyBorder="1" applyAlignment="1">
      <alignment horizontal="center" vertical="center" wrapText="1"/>
    </xf>
    <xf numFmtId="164" fontId="2" fillId="2" borderId="1" xfId="2" applyFont="1" applyFill="1" applyBorder="1" applyAlignment="1">
      <alignment horizontal="center" vertical="center" wrapText="1"/>
    </xf>
    <xf numFmtId="165" fontId="2" fillId="3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/>
    </xf>
    <xf numFmtId="165" fontId="0" fillId="0" borderId="1" xfId="1" quotePrefix="1" applyFont="1" applyBorder="1" applyAlignment="1">
      <alignment horizontal="right"/>
    </xf>
    <xf numFmtId="165" fontId="0" fillId="0" borderId="1" xfId="1" applyFont="1" applyBorder="1" applyAlignment="1">
      <alignment horizontal="right"/>
    </xf>
    <xf numFmtId="166" fontId="0" fillId="0" borderId="1" xfId="1" applyNumberFormat="1" applyFont="1" applyBorder="1" applyAlignment="1">
      <alignment horizontal="right"/>
    </xf>
    <xf numFmtId="164" fontId="0" fillId="0" borderId="1" xfId="2" applyFont="1" applyBorder="1" applyAlignment="1">
      <alignment horizontal="right"/>
    </xf>
    <xf numFmtId="165" fontId="0" fillId="0" borderId="1" xfId="0" quotePrefix="1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2" fillId="4" borderId="0" xfId="0" applyFont="1" applyFill="1"/>
    <xf numFmtId="165" fontId="2" fillId="4" borderId="0" xfId="0" applyNumberFormat="1" applyFont="1" applyFill="1"/>
  </cellXfs>
  <cellStyles count="3">
    <cellStyle name="Millares" xfId="1" builtinId="3"/>
    <cellStyle name="Moneda" xfId="2" builtinId="4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80A5-4C7B-4CFA-BF0E-70057289B117}">
  <dimension ref="A1:Q24"/>
  <sheetViews>
    <sheetView tabSelected="1" topLeftCell="C5" workbookViewId="0">
      <selection sqref="A1:Q23"/>
    </sheetView>
  </sheetViews>
  <sheetFormatPr baseColWidth="10" defaultRowHeight="14.5" x14ac:dyDescent="0.35"/>
  <cols>
    <col min="1" max="1" width="9.08984375" bestFit="1" customWidth="1"/>
    <col min="2" max="2" width="9.90625" bestFit="1" customWidth="1"/>
    <col min="3" max="3" width="30.6328125" bestFit="1" customWidth="1"/>
    <col min="4" max="4" width="10.81640625" bestFit="1" customWidth="1"/>
    <col min="5" max="5" width="7.36328125" bestFit="1" customWidth="1"/>
    <col min="6" max="6" width="4.54296875" bestFit="1" customWidth="1"/>
    <col min="7" max="7" width="10.1796875" bestFit="1" customWidth="1"/>
    <col min="8" max="8" width="10.81640625" bestFit="1" customWidth="1"/>
    <col min="9" max="9" width="7.6328125" bestFit="1" customWidth="1"/>
    <col min="10" max="10" width="10.7265625" bestFit="1" customWidth="1"/>
    <col min="11" max="11" width="6.08984375" bestFit="1" customWidth="1"/>
    <col min="12" max="12" width="9" bestFit="1" customWidth="1"/>
    <col min="13" max="13" width="6" bestFit="1" customWidth="1"/>
    <col min="14" max="14" width="8.26953125" bestFit="1" customWidth="1"/>
    <col min="15" max="15" width="12.7265625" bestFit="1" customWidth="1"/>
    <col min="16" max="16" width="24.90625" bestFit="1" customWidth="1"/>
    <col min="17" max="17" width="12.7265625" bestFit="1" customWidth="1"/>
  </cols>
  <sheetData>
    <row r="1" spans="1:1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</row>
    <row r="2" spans="1:17" x14ac:dyDescent="0.35">
      <c r="A2" s="5">
        <v>15679</v>
      </c>
      <c r="B2" s="5" t="s">
        <v>17</v>
      </c>
      <c r="C2" s="5" t="s">
        <v>18</v>
      </c>
      <c r="D2" s="5" t="s">
        <v>19</v>
      </c>
      <c r="E2" s="5" t="s">
        <v>20</v>
      </c>
      <c r="F2" s="5">
        <v>31</v>
      </c>
      <c r="G2" s="6">
        <v>3795.5830000000001</v>
      </c>
      <c r="H2" s="7">
        <v>0</v>
      </c>
      <c r="I2" s="8">
        <v>3817</v>
      </c>
      <c r="J2" s="7">
        <v>0</v>
      </c>
      <c r="K2" s="9">
        <v>0</v>
      </c>
      <c r="L2" s="9">
        <v>300.50452752665302</v>
      </c>
      <c r="M2" s="10">
        <f t="shared" ref="M2:M23" si="0">+K2*G2</f>
        <v>0</v>
      </c>
      <c r="N2" s="5">
        <v>1</v>
      </c>
      <c r="O2" s="11">
        <f t="shared" ref="O2:O23" si="1">+N2*L2*J2</f>
        <v>0</v>
      </c>
      <c r="P2" s="11">
        <f t="shared" ref="P2:P23" si="2">+N2*L2*H2</f>
        <v>0</v>
      </c>
      <c r="Q2" s="11">
        <f t="shared" ref="Q2:Q23" si="3">+M2+O2+P2</f>
        <v>0</v>
      </c>
    </row>
    <row r="3" spans="1:17" x14ac:dyDescent="0.35">
      <c r="A3" s="5">
        <v>16899</v>
      </c>
      <c r="B3" s="5" t="s">
        <v>21</v>
      </c>
      <c r="C3" s="5" t="s">
        <v>18</v>
      </c>
      <c r="D3" s="5" t="s">
        <v>19</v>
      </c>
      <c r="E3" s="5" t="s">
        <v>20</v>
      </c>
      <c r="F3" s="5">
        <v>31</v>
      </c>
      <c r="G3" s="6">
        <v>2997.2649999999999</v>
      </c>
      <c r="H3" s="7">
        <v>0</v>
      </c>
      <c r="I3" s="8">
        <v>3003</v>
      </c>
      <c r="J3" s="7">
        <v>6.0054999999999996</v>
      </c>
      <c r="K3" s="9">
        <v>0</v>
      </c>
      <c r="L3" s="9">
        <v>300.50452752665302</v>
      </c>
      <c r="M3" s="10">
        <f t="shared" si="0"/>
        <v>0</v>
      </c>
      <c r="N3" s="5">
        <v>1</v>
      </c>
      <c r="O3" s="11">
        <f t="shared" si="1"/>
        <v>1804.6799400613147</v>
      </c>
      <c r="P3" s="11">
        <f t="shared" si="2"/>
        <v>0</v>
      </c>
      <c r="Q3" s="11">
        <f t="shared" si="3"/>
        <v>1804.6799400613147</v>
      </c>
    </row>
    <row r="4" spans="1:17" x14ac:dyDescent="0.35">
      <c r="A4" s="5">
        <v>16917</v>
      </c>
      <c r="B4" s="5" t="s">
        <v>22</v>
      </c>
      <c r="C4" s="5" t="s">
        <v>23</v>
      </c>
      <c r="D4" s="5" t="s">
        <v>19</v>
      </c>
      <c r="E4" s="5" t="s">
        <v>20</v>
      </c>
      <c r="F4" s="5">
        <v>31</v>
      </c>
      <c r="G4" s="6">
        <v>5422.058</v>
      </c>
      <c r="H4" s="7">
        <v>0</v>
      </c>
      <c r="I4" s="8">
        <v>5351</v>
      </c>
      <c r="J4" s="7">
        <v>2.5505</v>
      </c>
      <c r="K4" s="9">
        <v>0</v>
      </c>
      <c r="L4" s="9">
        <v>300.50452752665302</v>
      </c>
      <c r="M4" s="10">
        <f t="shared" si="0"/>
        <v>0</v>
      </c>
      <c r="N4" s="5">
        <v>6</v>
      </c>
      <c r="O4" s="11">
        <f t="shared" si="1"/>
        <v>4598.6207847403712</v>
      </c>
      <c r="P4" s="11">
        <f t="shared" si="2"/>
        <v>0</v>
      </c>
      <c r="Q4" s="11">
        <f t="shared" si="3"/>
        <v>4598.6207847403712</v>
      </c>
    </row>
    <row r="5" spans="1:17" x14ac:dyDescent="0.35">
      <c r="A5" s="5">
        <v>17040</v>
      </c>
      <c r="B5" s="5" t="s">
        <v>24</v>
      </c>
      <c r="C5" s="5" t="s">
        <v>25</v>
      </c>
      <c r="D5" s="5" t="s">
        <v>19</v>
      </c>
      <c r="E5" s="5" t="s">
        <v>20</v>
      </c>
      <c r="F5" s="5">
        <v>31</v>
      </c>
      <c r="G5" s="6">
        <v>6107.9709999999995</v>
      </c>
      <c r="H5" s="7">
        <v>0</v>
      </c>
      <c r="I5" s="8">
        <v>5977</v>
      </c>
      <c r="J5" s="7">
        <v>118.089</v>
      </c>
      <c r="K5" s="9">
        <v>0</v>
      </c>
      <c r="L5" s="9">
        <v>300.50452752665302</v>
      </c>
      <c r="M5" s="10">
        <f t="shared" si="0"/>
        <v>0</v>
      </c>
      <c r="N5" s="5">
        <v>6</v>
      </c>
      <c r="O5" s="11">
        <f t="shared" si="1"/>
        <v>212917.67490656959</v>
      </c>
      <c r="P5" s="11">
        <f t="shared" si="2"/>
        <v>0</v>
      </c>
      <c r="Q5" s="11">
        <f t="shared" si="3"/>
        <v>212917.67490656959</v>
      </c>
    </row>
    <row r="6" spans="1:17" x14ac:dyDescent="0.35">
      <c r="A6" s="5">
        <v>19018</v>
      </c>
      <c r="B6" s="5" t="s">
        <v>26</v>
      </c>
      <c r="C6" s="5" t="s">
        <v>18</v>
      </c>
      <c r="D6" s="5" t="s">
        <v>19</v>
      </c>
      <c r="E6" s="5" t="s">
        <v>20</v>
      </c>
      <c r="F6" s="5">
        <v>31</v>
      </c>
      <c r="G6" s="6">
        <v>4608.8879999999999</v>
      </c>
      <c r="H6" s="7">
        <v>0</v>
      </c>
      <c r="I6" s="8">
        <v>4523</v>
      </c>
      <c r="J6" s="7">
        <v>0</v>
      </c>
      <c r="K6" s="9">
        <v>0</v>
      </c>
      <c r="L6" s="9">
        <v>300.50452752665302</v>
      </c>
      <c r="M6" s="10">
        <f t="shared" si="0"/>
        <v>0</v>
      </c>
      <c r="N6" s="5">
        <v>1</v>
      </c>
      <c r="O6" s="11">
        <f t="shared" si="1"/>
        <v>0</v>
      </c>
      <c r="P6" s="11">
        <f t="shared" si="2"/>
        <v>0</v>
      </c>
      <c r="Q6" s="11">
        <f t="shared" si="3"/>
        <v>0</v>
      </c>
    </row>
    <row r="7" spans="1:17" x14ac:dyDescent="0.35">
      <c r="A7" s="5">
        <v>51796</v>
      </c>
      <c r="B7" s="5" t="s">
        <v>27</v>
      </c>
      <c r="C7" s="5" t="s">
        <v>28</v>
      </c>
      <c r="D7" s="5" t="s">
        <v>19</v>
      </c>
      <c r="E7" s="5" t="s">
        <v>20</v>
      </c>
      <c r="F7" s="5">
        <v>31</v>
      </c>
      <c r="G7" s="6">
        <v>0</v>
      </c>
      <c r="H7" s="7">
        <v>0</v>
      </c>
      <c r="I7" s="8">
        <v>0</v>
      </c>
      <c r="J7" s="7">
        <v>0</v>
      </c>
      <c r="K7" s="9">
        <v>0</v>
      </c>
      <c r="L7" s="9">
        <v>300.50452752665302</v>
      </c>
      <c r="M7" s="10">
        <f t="shared" si="0"/>
        <v>0</v>
      </c>
      <c r="N7" s="5">
        <v>1</v>
      </c>
      <c r="O7" s="11">
        <f t="shared" si="1"/>
        <v>0</v>
      </c>
      <c r="P7" s="11">
        <f t="shared" si="2"/>
        <v>0</v>
      </c>
      <c r="Q7" s="11">
        <f t="shared" si="3"/>
        <v>0</v>
      </c>
    </row>
    <row r="8" spans="1:17" x14ac:dyDescent="0.35">
      <c r="A8" s="5">
        <v>100620</v>
      </c>
      <c r="B8" s="5" t="s">
        <v>29</v>
      </c>
      <c r="C8" s="5" t="s">
        <v>18</v>
      </c>
      <c r="D8" s="5" t="s">
        <v>19</v>
      </c>
      <c r="E8" s="5" t="s">
        <v>20</v>
      </c>
      <c r="F8" s="5">
        <v>31</v>
      </c>
      <c r="G8" s="6">
        <v>2432.6509999999998</v>
      </c>
      <c r="H8" s="7">
        <v>0</v>
      </c>
      <c r="I8" s="8">
        <v>2453</v>
      </c>
      <c r="J8" s="7">
        <v>15.0875</v>
      </c>
      <c r="K8" s="9">
        <v>0</v>
      </c>
      <c r="L8" s="9">
        <v>300.50452752665302</v>
      </c>
      <c r="M8" s="10">
        <f t="shared" si="0"/>
        <v>0</v>
      </c>
      <c r="N8" s="5">
        <v>1</v>
      </c>
      <c r="O8" s="11">
        <f t="shared" si="1"/>
        <v>4533.8620590583778</v>
      </c>
      <c r="P8" s="11">
        <f t="shared" si="2"/>
        <v>0</v>
      </c>
      <c r="Q8" s="11">
        <f t="shared" si="3"/>
        <v>4533.8620590583778</v>
      </c>
    </row>
    <row r="9" spans="1:17" x14ac:dyDescent="0.35">
      <c r="A9" s="5">
        <v>155357</v>
      </c>
      <c r="B9" s="5" t="s">
        <v>30</v>
      </c>
      <c r="C9" s="5" t="s">
        <v>31</v>
      </c>
      <c r="D9" s="5" t="s">
        <v>19</v>
      </c>
      <c r="E9" s="5" t="s">
        <v>32</v>
      </c>
      <c r="F9" s="5">
        <v>31</v>
      </c>
      <c r="G9" s="6">
        <v>48452.909999999902</v>
      </c>
      <c r="H9" s="7">
        <v>0</v>
      </c>
      <c r="I9" s="8">
        <v>48444</v>
      </c>
      <c r="J9" s="7">
        <v>8.0850000000000009</v>
      </c>
      <c r="K9" s="9">
        <v>0</v>
      </c>
      <c r="L9" s="9">
        <v>200.57127885840001</v>
      </c>
      <c r="M9" s="10">
        <f t="shared" si="0"/>
        <v>0</v>
      </c>
      <c r="N9" s="5">
        <v>1</v>
      </c>
      <c r="O9" s="11">
        <f t="shared" si="1"/>
        <v>1621.6187895701642</v>
      </c>
      <c r="P9" s="11">
        <f t="shared" si="2"/>
        <v>0</v>
      </c>
      <c r="Q9" s="11">
        <f t="shared" si="3"/>
        <v>1621.6187895701642</v>
      </c>
    </row>
    <row r="10" spans="1:17" x14ac:dyDescent="0.35">
      <c r="A10" s="5">
        <v>191611</v>
      </c>
      <c r="B10" s="5" t="s">
        <v>33</v>
      </c>
      <c r="C10" s="5" t="s">
        <v>18</v>
      </c>
      <c r="D10" s="5" t="s">
        <v>19</v>
      </c>
      <c r="E10" s="5" t="s">
        <v>20</v>
      </c>
      <c r="F10" s="5">
        <v>31</v>
      </c>
      <c r="G10" s="6">
        <v>1768.086</v>
      </c>
      <c r="H10" s="7">
        <v>0</v>
      </c>
      <c r="I10" s="8">
        <v>1728</v>
      </c>
      <c r="J10" s="7">
        <v>50.419999999999902</v>
      </c>
      <c r="K10" s="9">
        <v>0</v>
      </c>
      <c r="L10" s="9">
        <v>300.50452752665302</v>
      </c>
      <c r="M10" s="10">
        <f t="shared" si="0"/>
        <v>0</v>
      </c>
      <c r="N10" s="5">
        <v>1</v>
      </c>
      <c r="O10" s="11">
        <f t="shared" si="1"/>
        <v>15151.438277893816</v>
      </c>
      <c r="P10" s="11">
        <f t="shared" si="2"/>
        <v>0</v>
      </c>
      <c r="Q10" s="11">
        <f t="shared" si="3"/>
        <v>15151.438277893816</v>
      </c>
    </row>
    <row r="11" spans="1:17" x14ac:dyDescent="0.35">
      <c r="A11" s="5">
        <v>268080</v>
      </c>
      <c r="B11" s="5" t="s">
        <v>34</v>
      </c>
      <c r="C11" s="5" t="s">
        <v>35</v>
      </c>
      <c r="D11" s="5" t="s">
        <v>19</v>
      </c>
      <c r="E11" s="5" t="s">
        <v>20</v>
      </c>
      <c r="F11" s="5">
        <v>31</v>
      </c>
      <c r="G11" s="6">
        <v>2945.76</v>
      </c>
      <c r="H11" s="7">
        <v>0</v>
      </c>
      <c r="I11" s="8">
        <v>2950</v>
      </c>
      <c r="J11" s="7">
        <v>33.417000000000002</v>
      </c>
      <c r="K11" s="9">
        <v>0</v>
      </c>
      <c r="L11" s="9">
        <v>300.50452752665302</v>
      </c>
      <c r="M11" s="10">
        <f t="shared" si="0"/>
        <v>0</v>
      </c>
      <c r="N11" s="5">
        <v>1</v>
      </c>
      <c r="O11" s="11">
        <f t="shared" si="1"/>
        <v>10041.959796358164</v>
      </c>
      <c r="P11" s="11">
        <f t="shared" si="2"/>
        <v>0</v>
      </c>
      <c r="Q11" s="11">
        <f t="shared" si="3"/>
        <v>10041.959796358164</v>
      </c>
    </row>
    <row r="12" spans="1:17" x14ac:dyDescent="0.35">
      <c r="A12" s="5">
        <v>288029</v>
      </c>
      <c r="B12" s="5" t="s">
        <v>36</v>
      </c>
      <c r="C12" s="5" t="s">
        <v>37</v>
      </c>
      <c r="D12" s="5" t="s">
        <v>19</v>
      </c>
      <c r="E12" s="5" t="s">
        <v>38</v>
      </c>
      <c r="F12" s="5">
        <v>31</v>
      </c>
      <c r="G12" s="6">
        <v>4072.37</v>
      </c>
      <c r="H12" s="7">
        <v>0</v>
      </c>
      <c r="I12" s="8">
        <v>4067</v>
      </c>
      <c r="J12" s="7">
        <v>0</v>
      </c>
      <c r="K12" s="9">
        <v>0</v>
      </c>
      <c r="L12" s="9">
        <v>273.37457230715302</v>
      </c>
      <c r="M12" s="10">
        <f t="shared" si="0"/>
        <v>0</v>
      </c>
      <c r="N12" s="5">
        <v>1</v>
      </c>
      <c r="O12" s="11">
        <f t="shared" si="1"/>
        <v>0</v>
      </c>
      <c r="P12" s="11">
        <f t="shared" si="2"/>
        <v>0</v>
      </c>
      <c r="Q12" s="11">
        <f t="shared" si="3"/>
        <v>0</v>
      </c>
    </row>
    <row r="13" spans="1:17" x14ac:dyDescent="0.35">
      <c r="A13" s="5">
        <v>289522</v>
      </c>
      <c r="B13" s="5" t="s">
        <v>39</v>
      </c>
      <c r="C13" s="5" t="s">
        <v>40</v>
      </c>
      <c r="D13" s="5" t="s">
        <v>19</v>
      </c>
      <c r="E13" s="5" t="s">
        <v>32</v>
      </c>
      <c r="F13" s="5">
        <v>31</v>
      </c>
      <c r="G13" s="6">
        <v>13224.023999999999</v>
      </c>
      <c r="H13" s="7">
        <v>0</v>
      </c>
      <c r="I13" s="8">
        <v>13220</v>
      </c>
      <c r="J13" s="7">
        <v>692.04300000000001</v>
      </c>
      <c r="K13" s="9">
        <v>0</v>
      </c>
      <c r="L13" s="9">
        <v>200.57127885840001</v>
      </c>
      <c r="M13" s="10">
        <f t="shared" si="0"/>
        <v>0</v>
      </c>
      <c r="N13" s="5">
        <v>1</v>
      </c>
      <c r="O13" s="11">
        <f t="shared" si="1"/>
        <v>138803.94953500372</v>
      </c>
      <c r="P13" s="11">
        <f t="shared" si="2"/>
        <v>0</v>
      </c>
      <c r="Q13" s="11">
        <f t="shared" si="3"/>
        <v>138803.94953500372</v>
      </c>
    </row>
    <row r="14" spans="1:17" x14ac:dyDescent="0.35">
      <c r="A14" s="5">
        <v>451859</v>
      </c>
      <c r="B14" s="5" t="s">
        <v>41</v>
      </c>
      <c r="C14" s="5" t="s">
        <v>42</v>
      </c>
      <c r="D14" s="5" t="s">
        <v>19</v>
      </c>
      <c r="E14" s="5" t="s">
        <v>43</v>
      </c>
      <c r="F14" s="5">
        <v>31</v>
      </c>
      <c r="G14" s="6">
        <v>0</v>
      </c>
      <c r="H14" s="7">
        <v>0</v>
      </c>
      <c r="I14" s="8">
        <v>0</v>
      </c>
      <c r="J14" s="7">
        <v>1.6E-2</v>
      </c>
      <c r="K14" s="9">
        <v>0</v>
      </c>
      <c r="L14" s="9">
        <v>246.24461708765301</v>
      </c>
      <c r="M14" s="10">
        <f t="shared" si="0"/>
        <v>0</v>
      </c>
      <c r="N14" s="5">
        <v>1</v>
      </c>
      <c r="O14" s="11">
        <f t="shared" si="1"/>
        <v>3.9399138734024484</v>
      </c>
      <c r="P14" s="11">
        <f t="shared" si="2"/>
        <v>0</v>
      </c>
      <c r="Q14" s="11">
        <f t="shared" si="3"/>
        <v>3.9399138734024484</v>
      </c>
    </row>
    <row r="15" spans="1:17" x14ac:dyDescent="0.35">
      <c r="A15" s="5">
        <v>457292</v>
      </c>
      <c r="B15" s="5" t="s">
        <v>44</v>
      </c>
      <c r="C15" s="5" t="s">
        <v>45</v>
      </c>
      <c r="D15" s="5" t="s">
        <v>19</v>
      </c>
      <c r="E15" s="5" t="s">
        <v>43</v>
      </c>
      <c r="F15" s="5">
        <v>31</v>
      </c>
      <c r="G15" s="6">
        <v>5663.73</v>
      </c>
      <c r="H15" s="7">
        <v>0</v>
      </c>
      <c r="I15" s="8">
        <v>5661</v>
      </c>
      <c r="J15" s="7">
        <v>0</v>
      </c>
      <c r="K15" s="9">
        <v>0</v>
      </c>
      <c r="L15" s="9">
        <v>246.24461708765301</v>
      </c>
      <c r="M15" s="10">
        <f t="shared" si="0"/>
        <v>0</v>
      </c>
      <c r="N15" s="5">
        <v>1</v>
      </c>
      <c r="O15" s="11">
        <f t="shared" si="1"/>
        <v>0</v>
      </c>
      <c r="P15" s="11">
        <f t="shared" si="2"/>
        <v>0</v>
      </c>
      <c r="Q15" s="11">
        <f t="shared" si="3"/>
        <v>0</v>
      </c>
    </row>
    <row r="16" spans="1:17" x14ac:dyDescent="0.35">
      <c r="A16" s="5">
        <v>457614</v>
      </c>
      <c r="B16" s="5" t="s">
        <v>46</v>
      </c>
      <c r="C16" s="5" t="s">
        <v>47</v>
      </c>
      <c r="D16" s="5" t="s">
        <v>19</v>
      </c>
      <c r="E16" s="5" t="s">
        <v>43</v>
      </c>
      <c r="F16" s="5">
        <v>31</v>
      </c>
      <c r="G16" s="6">
        <v>954.969999999999</v>
      </c>
      <c r="H16" s="7">
        <v>0</v>
      </c>
      <c r="I16" s="8">
        <v>924</v>
      </c>
      <c r="J16" s="7">
        <v>0.60299999999999898</v>
      </c>
      <c r="K16" s="9">
        <v>0</v>
      </c>
      <c r="L16" s="9">
        <v>246.24461708765301</v>
      </c>
      <c r="M16" s="10">
        <f t="shared" si="0"/>
        <v>0</v>
      </c>
      <c r="N16" s="5">
        <v>1</v>
      </c>
      <c r="O16" s="11">
        <f t="shared" si="1"/>
        <v>148.48550410385451</v>
      </c>
      <c r="P16" s="11">
        <f t="shared" si="2"/>
        <v>0</v>
      </c>
      <c r="Q16" s="11">
        <f t="shared" si="3"/>
        <v>148.48550410385451</v>
      </c>
    </row>
    <row r="17" spans="1:17" x14ac:dyDescent="0.35">
      <c r="A17" s="5">
        <v>457783</v>
      </c>
      <c r="B17" s="5" t="s">
        <v>48</v>
      </c>
      <c r="C17" s="5" t="s">
        <v>49</v>
      </c>
      <c r="D17" s="5" t="s">
        <v>19</v>
      </c>
      <c r="E17" s="5" t="s">
        <v>43</v>
      </c>
      <c r="F17" s="5">
        <v>31</v>
      </c>
      <c r="G17" s="6">
        <v>4598.6580000000004</v>
      </c>
      <c r="H17" s="7">
        <v>0</v>
      </c>
      <c r="I17" s="8">
        <v>4558</v>
      </c>
      <c r="J17" s="7">
        <v>0</v>
      </c>
      <c r="K17" s="9">
        <v>0</v>
      </c>
      <c r="L17" s="9">
        <v>246.24461708765301</v>
      </c>
      <c r="M17" s="10">
        <f t="shared" si="0"/>
        <v>0</v>
      </c>
      <c r="N17" s="5">
        <v>1</v>
      </c>
      <c r="O17" s="11">
        <f t="shared" si="1"/>
        <v>0</v>
      </c>
      <c r="P17" s="11">
        <f t="shared" si="2"/>
        <v>0</v>
      </c>
      <c r="Q17" s="11">
        <f t="shared" si="3"/>
        <v>0</v>
      </c>
    </row>
    <row r="18" spans="1:17" x14ac:dyDescent="0.35">
      <c r="A18" s="5">
        <v>457785</v>
      </c>
      <c r="B18" s="5" t="s">
        <v>50</v>
      </c>
      <c r="C18" s="5" t="s">
        <v>51</v>
      </c>
      <c r="D18" s="5" t="s">
        <v>19</v>
      </c>
      <c r="E18" s="5" t="s">
        <v>43</v>
      </c>
      <c r="F18" s="5">
        <v>31</v>
      </c>
      <c r="G18" s="6">
        <v>10959.35</v>
      </c>
      <c r="H18" s="7">
        <v>0</v>
      </c>
      <c r="I18" s="8">
        <v>10572</v>
      </c>
      <c r="J18" s="7">
        <v>421.93999999999897</v>
      </c>
      <c r="K18" s="9">
        <v>0</v>
      </c>
      <c r="L18" s="9">
        <v>246.24461708765301</v>
      </c>
      <c r="M18" s="10">
        <f t="shared" si="0"/>
        <v>0</v>
      </c>
      <c r="N18" s="5">
        <v>6</v>
      </c>
      <c r="O18" s="11">
        <f t="shared" si="1"/>
        <v>623402.72240378428</v>
      </c>
      <c r="P18" s="11">
        <f t="shared" si="2"/>
        <v>0</v>
      </c>
      <c r="Q18" s="11">
        <f t="shared" si="3"/>
        <v>623402.72240378428</v>
      </c>
    </row>
    <row r="19" spans="1:17" x14ac:dyDescent="0.35">
      <c r="A19" s="5">
        <v>462593</v>
      </c>
      <c r="B19" s="5" t="s">
        <v>52</v>
      </c>
      <c r="C19" s="5" t="s">
        <v>53</v>
      </c>
      <c r="D19" s="5" t="s">
        <v>19</v>
      </c>
      <c r="E19" s="5" t="s">
        <v>43</v>
      </c>
      <c r="F19" s="5">
        <v>31</v>
      </c>
      <c r="G19" s="6">
        <v>36105.24</v>
      </c>
      <c r="H19" s="7">
        <v>0</v>
      </c>
      <c r="I19" s="8">
        <v>36101</v>
      </c>
      <c r="J19" s="7">
        <v>162.66</v>
      </c>
      <c r="K19" s="9">
        <v>0</v>
      </c>
      <c r="L19" s="9">
        <v>246.24461708765301</v>
      </c>
      <c r="M19" s="10">
        <f t="shared" si="0"/>
        <v>0</v>
      </c>
      <c r="N19" s="5">
        <v>12</v>
      </c>
      <c r="O19" s="11">
        <f t="shared" si="1"/>
        <v>480649.79298573162</v>
      </c>
      <c r="P19" s="11">
        <f t="shared" si="2"/>
        <v>0</v>
      </c>
      <c r="Q19" s="11">
        <f t="shared" si="3"/>
        <v>480649.79298573162</v>
      </c>
    </row>
    <row r="20" spans="1:17" x14ac:dyDescent="0.35">
      <c r="A20" s="5">
        <v>479392</v>
      </c>
      <c r="B20" s="5" t="s">
        <v>54</v>
      </c>
      <c r="C20" s="5" t="s">
        <v>55</v>
      </c>
      <c r="D20" s="5" t="s">
        <v>19</v>
      </c>
      <c r="E20" s="5" t="s">
        <v>56</v>
      </c>
      <c r="F20" s="5">
        <v>31</v>
      </c>
      <c r="G20" s="6">
        <v>59561.215999999898</v>
      </c>
      <c r="H20" s="7">
        <v>0</v>
      </c>
      <c r="I20" s="8">
        <v>59578</v>
      </c>
      <c r="J20" s="7">
        <v>2892.9559999999901</v>
      </c>
      <c r="K20" s="9">
        <v>0</v>
      </c>
      <c r="L20" s="9">
        <v>200.57127885840001</v>
      </c>
      <c r="M20" s="10">
        <f t="shared" si="0"/>
        <v>0</v>
      </c>
      <c r="N20" s="5">
        <v>12</v>
      </c>
      <c r="O20" s="11">
        <f t="shared" si="1"/>
        <v>6962926.6152129536</v>
      </c>
      <c r="P20" s="11">
        <f t="shared" si="2"/>
        <v>0</v>
      </c>
      <c r="Q20" s="11">
        <f t="shared" si="3"/>
        <v>6962926.6152129536</v>
      </c>
    </row>
    <row r="21" spans="1:17" x14ac:dyDescent="0.35">
      <c r="A21" s="5">
        <v>592392</v>
      </c>
      <c r="B21" s="5" t="s">
        <v>57</v>
      </c>
      <c r="C21" s="5" t="s">
        <v>58</v>
      </c>
      <c r="D21" s="5" t="s">
        <v>19</v>
      </c>
      <c r="E21" s="5" t="s">
        <v>56</v>
      </c>
      <c r="F21" s="5">
        <v>31</v>
      </c>
      <c r="G21" s="6">
        <v>68998.600000000006</v>
      </c>
      <c r="H21" s="7">
        <v>0</v>
      </c>
      <c r="I21" s="8">
        <v>69003</v>
      </c>
      <c r="J21" s="7">
        <v>88.99</v>
      </c>
      <c r="K21" s="9">
        <v>0</v>
      </c>
      <c r="L21" s="9">
        <v>200.57127885840001</v>
      </c>
      <c r="M21" s="10">
        <f t="shared" si="0"/>
        <v>0</v>
      </c>
      <c r="N21" s="5">
        <v>12</v>
      </c>
      <c r="O21" s="11">
        <f t="shared" si="1"/>
        <v>214186.05726730821</v>
      </c>
      <c r="P21" s="11">
        <f t="shared" si="2"/>
        <v>0</v>
      </c>
      <c r="Q21" s="11">
        <f t="shared" si="3"/>
        <v>214186.05726730821</v>
      </c>
    </row>
    <row r="22" spans="1:17" x14ac:dyDescent="0.35">
      <c r="A22" s="5">
        <v>623708</v>
      </c>
      <c r="B22" s="5" t="s">
        <v>59</v>
      </c>
      <c r="C22" s="5" t="s">
        <v>28</v>
      </c>
      <c r="D22" s="5" t="s">
        <v>19</v>
      </c>
      <c r="E22" s="5" t="s">
        <v>43</v>
      </c>
      <c r="F22" s="5">
        <v>31</v>
      </c>
      <c r="G22" s="6">
        <v>0</v>
      </c>
      <c r="H22" s="7">
        <v>0</v>
      </c>
      <c r="I22" s="8">
        <v>0</v>
      </c>
      <c r="J22" s="7">
        <v>0</v>
      </c>
      <c r="K22" s="9">
        <v>0</v>
      </c>
      <c r="L22" s="9">
        <v>246.24461708765301</v>
      </c>
      <c r="M22" s="10">
        <f t="shared" si="0"/>
        <v>0</v>
      </c>
      <c r="N22" s="5">
        <v>1</v>
      </c>
      <c r="O22" s="11">
        <f t="shared" si="1"/>
        <v>0</v>
      </c>
      <c r="P22" s="11">
        <f t="shared" si="2"/>
        <v>0</v>
      </c>
      <c r="Q22" s="11">
        <f t="shared" si="3"/>
        <v>0</v>
      </c>
    </row>
    <row r="23" spans="1:17" x14ac:dyDescent="0.35">
      <c r="A23" s="5">
        <v>1140408</v>
      </c>
      <c r="B23" s="5" t="s">
        <v>60</v>
      </c>
      <c r="C23" s="5" t="s">
        <v>18</v>
      </c>
      <c r="D23" s="5" t="s">
        <v>19</v>
      </c>
      <c r="E23" s="5" t="s">
        <v>43</v>
      </c>
      <c r="F23" s="5">
        <v>31</v>
      </c>
      <c r="G23" s="6">
        <v>1942.5219999999999</v>
      </c>
      <c r="H23" s="7">
        <v>0</v>
      </c>
      <c r="I23" s="8">
        <v>1989</v>
      </c>
      <c r="J23" s="7">
        <v>4.65E-2</v>
      </c>
      <c r="K23" s="9">
        <v>0</v>
      </c>
      <c r="L23" s="9">
        <v>246.24461708765301</v>
      </c>
      <c r="M23" s="10">
        <f t="shared" si="0"/>
        <v>0</v>
      </c>
      <c r="N23" s="5">
        <v>1</v>
      </c>
      <c r="O23" s="11">
        <f t="shared" si="1"/>
        <v>11.450374694575865</v>
      </c>
      <c r="P23" s="11">
        <f t="shared" si="2"/>
        <v>0</v>
      </c>
      <c r="Q23" s="11">
        <f t="shared" si="3"/>
        <v>11.450374694575865</v>
      </c>
    </row>
    <row r="24" spans="1:17" x14ac:dyDescent="0.35">
      <c r="P24" s="12" t="s">
        <v>61</v>
      </c>
      <c r="Q24" s="13">
        <f>SUM(Q2:Q23)</f>
        <v>8670802.8677517045</v>
      </c>
    </row>
  </sheetData>
  <conditionalFormatting sqref="A1">
    <cfRule type="duplicateValues" dxfId="13" priority="1"/>
    <cfRule type="duplicateValues" dxfId="12" priority="2"/>
    <cfRule type="duplicateValues" dxfId="11" priority="3"/>
    <cfRule type="duplicateValues" dxfId="10" priority="4"/>
    <cfRule type="duplicateValues" dxfId="9" priority="5"/>
    <cfRule type="duplicateValues" dxfId="8" priority="6"/>
    <cfRule type="duplicateValues" dxfId="7" priority="7"/>
    <cfRule type="duplicateValues" dxfId="6" priority="8"/>
    <cfRule type="duplicateValues" dxfId="5" priority="9"/>
    <cfRule type="duplicateValues" dxfId="4" priority="10"/>
    <cfRule type="duplicateValues" dxfId="3" priority="11"/>
    <cfRule type="duplicateValues" dxfId="2" priority="12"/>
    <cfRule type="duplicateValues" dxfId="1" priority="13"/>
    <cfRule type="duplicateValues" dxfId="0" priority="14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KERLY VALENTINA CABALLERO SANTIAGO</dc:creator>
  <cp:lastModifiedBy>KERLY VALENTINA CABALLERO SANTIAGO</cp:lastModifiedBy>
  <dcterms:created xsi:type="dcterms:W3CDTF">2026-04-07T20:32:27Z</dcterms:created>
  <dcterms:modified xsi:type="dcterms:W3CDTF">2026-04-07T20:47:11Z</dcterms:modified>
</cp:coreProperties>
</file>