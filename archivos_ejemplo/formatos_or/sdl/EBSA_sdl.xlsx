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BE8925AE-3574-40CB-BED4-1ED12B5C5989}" xr6:coauthVersionLast="47" xr6:coauthVersionMax="47" xr10:uidLastSave="{00000000-0000-0000-0000-000000000000}"/>
  <bookViews>
    <workbookView xWindow="-108" yWindow="-108" windowWidth="23256" windowHeight="12456" xr2:uid="{0603BBEA-5E05-4ADA-AA04-6F0821579369}"/>
  </bookViews>
  <sheets>
    <sheet name="Fuente resumen_peajes SIEC" sheetId="1" r:id="rId1"/>
    <sheet name="Hoja1" sheetId="2" r:id="rId2"/>
  </sheets>
  <externalReferences>
    <externalReference r:id="rId3"/>
  </externalReferences>
  <definedNames>
    <definedName name="_xlnm._FilterDatabase" localSheetId="0" hidden="1">'Fuente resumen_peajes SIEC'!$A$1:$Q$59</definedName>
    <definedName name="_xlnm._FilterDatabase" localSheetId="1" hidden="1">Hoja1!$A$1:$P$26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Q31" i="1"/>
  <c r="Q30" i="1"/>
  <c r="Q29" i="1"/>
  <c r="Q28" i="1"/>
  <c r="Q27" i="1"/>
  <c r="Q26" i="1"/>
  <c r="Q25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5" i="1"/>
  <c r="K26" i="2"/>
  <c r="O27" i="1" s="1"/>
  <c r="K25" i="2"/>
  <c r="K24" i="2"/>
  <c r="O26" i="1" s="1"/>
  <c r="K23" i="2"/>
  <c r="O18" i="1" s="1"/>
  <c r="K22" i="2"/>
  <c r="O12" i="1" s="1"/>
  <c r="K21" i="2"/>
  <c r="O13" i="1" s="1"/>
  <c r="K20" i="2"/>
  <c r="O10" i="1" s="1"/>
  <c r="K19" i="2"/>
  <c r="O15" i="1" s="1"/>
  <c r="K18" i="2"/>
  <c r="O29" i="1" s="1"/>
  <c r="K17" i="2"/>
  <c r="O19" i="1" s="1"/>
  <c r="K16" i="2"/>
  <c r="O8" i="1" s="1"/>
  <c r="K15" i="2"/>
  <c r="O28" i="1" s="1"/>
  <c r="K14" i="2"/>
  <c r="O5" i="1" s="1"/>
  <c r="K13" i="2"/>
  <c r="O30" i="1" s="1"/>
  <c r="K12" i="2"/>
  <c r="O14" i="1" s="1"/>
  <c r="K11" i="2"/>
  <c r="O34" i="1" s="1"/>
  <c r="K10" i="2"/>
  <c r="O9" i="1" s="1"/>
  <c r="K9" i="2"/>
  <c r="O7" i="1" s="1"/>
  <c r="K8" i="2"/>
  <c r="O11" i="1" s="1"/>
  <c r="K7" i="2"/>
  <c r="O20" i="1" s="1"/>
  <c r="K6" i="2"/>
  <c r="O25" i="1" s="1"/>
  <c r="K5" i="2"/>
  <c r="O31" i="1" s="1"/>
  <c r="K4" i="2"/>
  <c r="O16" i="1" s="1"/>
  <c r="K3" i="2"/>
  <c r="O21" i="1" s="1"/>
  <c r="L2" i="2"/>
  <c r="K2" i="2" s="1"/>
  <c r="O17" i="1" s="1"/>
  <c r="M58" i="1"/>
  <c r="N58" i="1"/>
  <c r="M59" i="1"/>
  <c r="N59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33" i="1"/>
  <c r="N33" i="1"/>
  <c r="M34" i="1"/>
  <c r="N34" i="1"/>
  <c r="M35" i="1"/>
  <c r="N3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</calcChain>
</file>

<file path=xl/sharedStrings.xml><?xml version="1.0" encoding="utf-8"?>
<sst xmlns="http://schemas.openxmlformats.org/spreadsheetml/2006/main" count="447" uniqueCount="84">
  <si>
    <t>AÑO</t>
  </si>
  <si>
    <t>MES</t>
  </si>
  <si>
    <t>NIT</t>
  </si>
  <si>
    <t>COMERCIALIZADOR</t>
  </si>
  <si>
    <t>CODIGO SIC</t>
  </si>
  <si>
    <t>CTA</t>
  </si>
  <si>
    <t>CLIENTE</t>
  </si>
  <si>
    <t>NT</t>
  </si>
  <si>
    <t>ENERGIA</t>
  </si>
  <si>
    <t>PERIODO</t>
  </si>
  <si>
    <t>KW-H</t>
  </si>
  <si>
    <t>VALOR</t>
  </si>
  <si>
    <t>VALOR M</t>
  </si>
  <si>
    <t>MESES ACUMULADOS PENALIZANDO</t>
  </si>
  <si>
    <t>ACTIVA</t>
  </si>
  <si>
    <t>Monomia OC</t>
  </si>
  <si>
    <t>HOLCIM COLOMBIA S.A.</t>
  </si>
  <si>
    <t>BIA ENERGY SAS ESP</t>
  </si>
  <si>
    <t>Frt82962</t>
  </si>
  <si>
    <t>PEREZ MONTAÑEZ MIGUEL</t>
  </si>
  <si>
    <t>Frt07988</t>
  </si>
  <si>
    <t>BODEGA INDUSTRIAL COCACOLA</t>
  </si>
  <si>
    <t>Frt82543</t>
  </si>
  <si>
    <t>TORRES DE ALVAREZ LILIA DEL CARMEN</t>
  </si>
  <si>
    <t>Frt78079</t>
  </si>
  <si>
    <t xml:space="preserve">P A VIVA  MALLS </t>
  </si>
  <si>
    <t>Frt75767</t>
  </si>
  <si>
    <t>CERINZA CAICEDO EDGAR</t>
  </si>
  <si>
    <t>Frt25603</t>
  </si>
  <si>
    <t>AUTOBUSES AGA DE COLOMBIA SAS</t>
  </si>
  <si>
    <t>Frt03286</t>
  </si>
  <si>
    <t>FOSFATOS DE BOYACA</t>
  </si>
  <si>
    <t>Frt05156</t>
  </si>
  <si>
    <t>GRAPAS Y PUNTILLAS EL CABALLO LTDA</t>
  </si>
  <si>
    <t>Frt43730</t>
  </si>
  <si>
    <t>TRANSPORTADORA DE GAS INTERNACIONAL SA ESP</t>
  </si>
  <si>
    <t>Frt30314</t>
  </si>
  <si>
    <t>DIAZ CORTES RICARDO</t>
  </si>
  <si>
    <t>Frt24814</t>
  </si>
  <si>
    <t>PATIÑO FERNANDEZ HERNAN</t>
  </si>
  <si>
    <t>Frt23996</t>
  </si>
  <si>
    <t xml:space="preserve">C/COMER INNOVO PLAZA   </t>
  </si>
  <si>
    <t>Frt82055</t>
  </si>
  <si>
    <t>SOLANO SANCHEZ MARIA HERMELINDA</t>
  </si>
  <si>
    <t>Frt75541</t>
  </si>
  <si>
    <t>RODRIGUEZ MIGUEL A</t>
  </si>
  <si>
    <t>Frt29442</t>
  </si>
  <si>
    <t xml:space="preserve">PEGAMASTER LTDA  </t>
  </si>
  <si>
    <t>Frt46272</t>
  </si>
  <si>
    <t>Frt77553</t>
  </si>
  <si>
    <t>PINILLA DE PAEZ MARIA ADELA</t>
  </si>
  <si>
    <t>Frt83755</t>
  </si>
  <si>
    <t>C.I. PROYSER S.A.</t>
  </si>
  <si>
    <t>Frt24600</t>
  </si>
  <si>
    <t xml:space="preserve">METROGAS SA  </t>
  </si>
  <si>
    <t>Frt19983</t>
  </si>
  <si>
    <t>PAEZ FERNANDO</t>
  </si>
  <si>
    <t>Frt75765</t>
  </si>
  <si>
    <t>PACHON P PUBLIO E</t>
  </si>
  <si>
    <t>Frt25602</t>
  </si>
  <si>
    <t>Frt24595</t>
  </si>
  <si>
    <t>DIAZ HURTADO CARLOS ALBERTO</t>
  </si>
  <si>
    <t>Frt76767</t>
  </si>
  <si>
    <t>CORREA C. CARLOS G.</t>
  </si>
  <si>
    <t>Frt24481</t>
  </si>
  <si>
    <t xml:space="preserve">COMPANIA INTEGRAL DE ALIMENTOS LTDA  </t>
  </si>
  <si>
    <t>Frt83749</t>
  </si>
  <si>
    <t>Frt78456</t>
  </si>
  <si>
    <t>Frt07943</t>
  </si>
  <si>
    <t xml:space="preserve">INDUSTRIAS EXPLORER  INGENIERIA SAS </t>
  </si>
  <si>
    <t>Frt24604</t>
  </si>
  <si>
    <t>EL POMAR S A</t>
  </si>
  <si>
    <t>Frt77552</t>
  </si>
  <si>
    <t>Frt63439</t>
  </si>
  <si>
    <t>CENTRO DE CANCEROLOGIA DE BOYACA LTDA</t>
  </si>
  <si>
    <t>Frt82951</t>
  </si>
  <si>
    <t xml:space="preserve">PAN ZEROTTI SAS   </t>
  </si>
  <si>
    <t>Frt24596</t>
  </si>
  <si>
    <t>JOSE GUSTAVO QUESADA</t>
  </si>
  <si>
    <t>REACTIVA</t>
  </si>
  <si>
    <t>Reactiva Capacit</t>
  </si>
  <si>
    <t>TARIFA</t>
  </si>
  <si>
    <t>TARIFA ACTIVA</t>
  </si>
  <si>
    <t>TARIFA REACTIVA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</si>
</sst>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.0000_-;\-* #,##0.0000_-;_-* &quot;-&quot;??_-;_-@_-"/>
    <numFmt numFmtId="169" formatCode="0.00000"/>
    <numFmt numFmtId="17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1" applyBorder="1"/>
    <xf numFmtId="0" fontId="2" fillId="0" borderId="0" xfId="0" applyFont="1"/>
    <xf numFmtId="0" fontId="0" fillId="0" borderId="1" xfId="0" applyBorder="1"/>
    <xf numFmtId="43" fontId="0" fillId="0" borderId="0" xfId="2" applyFont="1"/>
    <xf numFmtId="165" fontId="0" fillId="0" borderId="0" xfId="2" applyNumberFormat="1" applyFont="1"/>
    <xf numFmtId="169" fontId="0" fillId="0" borderId="0" xfId="0" applyNumberFormat="1"/>
    <xf numFmtId="175" fontId="1" fillId="2" borderId="1" xfId="2" applyNumberFormat="1" applyFill="1" applyBorder="1"/>
    <xf numFmtId="175" fontId="0" fillId="0" borderId="1" xfId="2" applyNumberFormat="1" applyFont="1" applyBorder="1"/>
    <xf numFmtId="175" fontId="0" fillId="0" borderId="0" xfId="2" applyNumberFormat="1" applyFont="1"/>
  </cellXfs>
  <cellStyles count="3">
    <cellStyle name="60% - Énfasis1 2" xfId="1" xr:uid="{913A65EE-CBB5-4B56-B308-515C57340249}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SPALDO%20ONE%20DRIVE\Documentos\validacion%20sdl\Validacion%20SDL%20SIEC%20Vs%20ASIC-%20DICIEMBRE%202025.xlsx" TargetMode="External"/><Relationship Id="rId1" Type="http://schemas.openxmlformats.org/officeDocument/2006/relationships/externalLinkPath" Target="file:///C:\RESPALDO%20ONE%20DRIVE\Documentos\validacion%20sdl\Validacion%20SDL%20SIEC%20Vs%20ASIC-%20DIC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ente resumen_peajes SIEC"/>
      <sheetName val="TOTAL REGISTROS"/>
      <sheetName val="TOTAL CLIENTES"/>
      <sheetName val="Comparacion"/>
      <sheetName val="TOTAL ACTIVA XM MES"/>
      <sheetName val="MATRICES XM ACTIVA"/>
      <sheetName val="MATRICES REACTIVA TELEMEDIDO"/>
      <sheetName val="CALCULO REACTIVA(EXC)"/>
      <sheetName val="TOTAL EXCESO REACTIVA MES"/>
      <sheetName val="Hoja1"/>
      <sheetName val="VALOR M"/>
      <sheetName val="CAPACITIVA"/>
      <sheetName val="SIN EXC REACTIVA - CON AMBAS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SIC</v>
          </cell>
          <cell r="B1" t="str">
            <v>VALOR M</v>
          </cell>
          <cell r="C1" t="str">
            <v>MESES PENALIZANDO</v>
          </cell>
        </row>
        <row r="2">
          <cell r="A2" t="str">
            <v>Frt00111</v>
          </cell>
          <cell r="B2">
            <v>1</v>
          </cell>
          <cell r="C2">
            <v>0</v>
          </cell>
        </row>
        <row r="3">
          <cell r="A3" t="str">
            <v>Frt00793</v>
          </cell>
          <cell r="B3">
            <v>1</v>
          </cell>
          <cell r="C3">
            <v>0</v>
          </cell>
        </row>
        <row r="4">
          <cell r="A4" t="str">
            <v>Frt00814</v>
          </cell>
          <cell r="B4">
            <v>1</v>
          </cell>
          <cell r="C4">
            <v>11</v>
          </cell>
        </row>
        <row r="5">
          <cell r="A5" t="str">
            <v>Frt00815</v>
          </cell>
          <cell r="B5">
            <v>1</v>
          </cell>
          <cell r="C5">
            <v>3</v>
          </cell>
        </row>
        <row r="6">
          <cell r="A6" t="str">
            <v>Frt01117</v>
          </cell>
          <cell r="B6">
            <v>1</v>
          </cell>
          <cell r="C6">
            <v>0</v>
          </cell>
        </row>
        <row r="7">
          <cell r="A7" t="str">
            <v>Frt01973</v>
          </cell>
          <cell r="B7">
            <v>1</v>
          </cell>
          <cell r="C7">
            <v>10</v>
          </cell>
        </row>
        <row r="8">
          <cell r="A8" t="str">
            <v>Frt02006</v>
          </cell>
          <cell r="B8">
            <v>1</v>
          </cell>
          <cell r="C8">
            <v>0</v>
          </cell>
        </row>
        <row r="9">
          <cell r="A9" t="str">
            <v>Frt02008</v>
          </cell>
          <cell r="B9">
            <v>1</v>
          </cell>
          <cell r="C9">
            <v>3</v>
          </cell>
        </row>
        <row r="10">
          <cell r="A10" t="str">
            <v>Frt02039</v>
          </cell>
          <cell r="B10">
            <v>1</v>
          </cell>
          <cell r="C10">
            <v>0</v>
          </cell>
        </row>
        <row r="11">
          <cell r="A11" t="str">
            <v>Frt02220</v>
          </cell>
          <cell r="B11">
            <v>1</v>
          </cell>
          <cell r="C11">
            <v>0</v>
          </cell>
        </row>
        <row r="12">
          <cell r="A12" t="str">
            <v>Frt02624</v>
          </cell>
          <cell r="B12">
            <v>1</v>
          </cell>
          <cell r="C12">
            <v>0</v>
          </cell>
        </row>
        <row r="13">
          <cell r="A13" t="str">
            <v>Frt02728</v>
          </cell>
          <cell r="B13">
            <v>1</v>
          </cell>
          <cell r="C13">
            <v>0</v>
          </cell>
        </row>
        <row r="14">
          <cell r="A14" t="str">
            <v>Frt02854</v>
          </cell>
          <cell r="B14">
            <v>1</v>
          </cell>
          <cell r="C14">
            <v>0</v>
          </cell>
        </row>
        <row r="15">
          <cell r="A15" t="str">
            <v>Frt02922</v>
          </cell>
          <cell r="B15">
            <v>12</v>
          </cell>
          <cell r="C15">
            <v>59</v>
          </cell>
        </row>
        <row r="16">
          <cell r="A16" t="str">
            <v>Frt02923</v>
          </cell>
          <cell r="B16">
            <v>1</v>
          </cell>
          <cell r="C16">
            <v>0</v>
          </cell>
        </row>
        <row r="17">
          <cell r="A17" t="str">
            <v>Frt02976</v>
          </cell>
          <cell r="B17">
            <v>1</v>
          </cell>
          <cell r="C17">
            <v>0</v>
          </cell>
        </row>
        <row r="18">
          <cell r="A18" t="str">
            <v>Frt03097</v>
          </cell>
          <cell r="B18">
            <v>6</v>
          </cell>
          <cell r="C18">
            <v>20</v>
          </cell>
        </row>
        <row r="19">
          <cell r="A19" t="str">
            <v>Frt03114</v>
          </cell>
          <cell r="B19">
            <v>1</v>
          </cell>
          <cell r="C19">
            <v>0</v>
          </cell>
        </row>
        <row r="20">
          <cell r="A20" t="str">
            <v>Frt03234</v>
          </cell>
          <cell r="B20">
            <v>1</v>
          </cell>
          <cell r="C20">
            <v>0</v>
          </cell>
        </row>
        <row r="21">
          <cell r="A21" t="str">
            <v>Frt03235</v>
          </cell>
          <cell r="B21">
            <v>1</v>
          </cell>
          <cell r="C21">
            <v>6</v>
          </cell>
        </row>
        <row r="22">
          <cell r="A22" t="str">
            <v>Frt03268</v>
          </cell>
          <cell r="B22">
            <v>1</v>
          </cell>
          <cell r="C22">
            <v>0</v>
          </cell>
        </row>
        <row r="23">
          <cell r="A23" t="str">
            <v>Frt03286</v>
          </cell>
          <cell r="B23">
            <v>12</v>
          </cell>
          <cell r="C23">
            <v>60</v>
          </cell>
        </row>
        <row r="24">
          <cell r="A24" t="str">
            <v>Frt03304</v>
          </cell>
          <cell r="B24">
            <v>1</v>
          </cell>
          <cell r="C24">
            <v>0</v>
          </cell>
        </row>
        <row r="25">
          <cell r="A25" t="str">
            <v>Frt03336</v>
          </cell>
          <cell r="B25">
            <v>12</v>
          </cell>
          <cell r="C25">
            <v>37</v>
          </cell>
        </row>
        <row r="26">
          <cell r="A26" t="str">
            <v>Frt03339</v>
          </cell>
          <cell r="B26">
            <v>1</v>
          </cell>
          <cell r="C26">
            <v>0</v>
          </cell>
        </row>
        <row r="27">
          <cell r="A27" t="str">
            <v>Frt03424</v>
          </cell>
          <cell r="B27">
            <v>1</v>
          </cell>
          <cell r="C27">
            <v>0</v>
          </cell>
        </row>
        <row r="28">
          <cell r="A28" t="str">
            <v>Frt03479</v>
          </cell>
          <cell r="B28">
            <v>1</v>
          </cell>
          <cell r="C28">
            <v>0</v>
          </cell>
        </row>
        <row r="29">
          <cell r="A29" t="str">
            <v>Frt03751</v>
          </cell>
          <cell r="B29">
            <v>1</v>
          </cell>
          <cell r="C29">
            <v>0</v>
          </cell>
        </row>
        <row r="30">
          <cell r="A30" t="str">
            <v>Frt03756</v>
          </cell>
          <cell r="B30">
            <v>12</v>
          </cell>
          <cell r="C30">
            <v>55</v>
          </cell>
        </row>
        <row r="31">
          <cell r="A31" t="str">
            <v>Frt03757</v>
          </cell>
          <cell r="B31">
            <v>1</v>
          </cell>
          <cell r="C31">
            <v>6</v>
          </cell>
        </row>
        <row r="32">
          <cell r="A32" t="str">
            <v>Frt03810</v>
          </cell>
          <cell r="B32">
            <v>1</v>
          </cell>
          <cell r="C32">
            <v>0</v>
          </cell>
        </row>
        <row r="33">
          <cell r="A33" t="str">
            <v>Frt03852</v>
          </cell>
          <cell r="B33">
            <v>1</v>
          </cell>
          <cell r="C33">
            <v>0</v>
          </cell>
        </row>
        <row r="34">
          <cell r="A34" t="str">
            <v>Frt03880</v>
          </cell>
          <cell r="B34">
            <v>1</v>
          </cell>
          <cell r="C34">
            <v>0</v>
          </cell>
        </row>
        <row r="35">
          <cell r="A35" t="str">
            <v>Frt03881</v>
          </cell>
          <cell r="B35">
            <v>1</v>
          </cell>
          <cell r="C35">
            <v>0</v>
          </cell>
        </row>
        <row r="36">
          <cell r="A36" t="str">
            <v>Frt03905</v>
          </cell>
          <cell r="B36">
            <v>1</v>
          </cell>
          <cell r="C36">
            <v>0</v>
          </cell>
        </row>
        <row r="37">
          <cell r="A37" t="str">
            <v>Frt03920</v>
          </cell>
          <cell r="B37">
            <v>1</v>
          </cell>
          <cell r="C37">
            <v>0</v>
          </cell>
        </row>
        <row r="38">
          <cell r="A38" t="str">
            <v>Frt03933</v>
          </cell>
          <cell r="B38">
            <v>1</v>
          </cell>
          <cell r="C38">
            <v>12</v>
          </cell>
        </row>
        <row r="39">
          <cell r="A39" t="str">
            <v>Frt03938</v>
          </cell>
          <cell r="B39">
            <v>12</v>
          </cell>
          <cell r="C39">
            <v>58</v>
          </cell>
        </row>
        <row r="40">
          <cell r="A40" t="str">
            <v>Frt04195</v>
          </cell>
          <cell r="B40">
            <v>1</v>
          </cell>
          <cell r="C40">
            <v>0</v>
          </cell>
        </row>
        <row r="41">
          <cell r="A41" t="str">
            <v>Frt04208</v>
          </cell>
          <cell r="B41">
            <v>12</v>
          </cell>
          <cell r="C41">
            <v>34</v>
          </cell>
        </row>
        <row r="42">
          <cell r="A42" t="str">
            <v>Frt04209</v>
          </cell>
          <cell r="B42">
            <v>1</v>
          </cell>
          <cell r="C42">
            <v>0</v>
          </cell>
        </row>
        <row r="43">
          <cell r="A43" t="str">
            <v>Frt04315</v>
          </cell>
          <cell r="B43">
            <v>1</v>
          </cell>
          <cell r="C43">
            <v>6</v>
          </cell>
        </row>
        <row r="44">
          <cell r="A44" t="str">
            <v>Frt04325</v>
          </cell>
          <cell r="B44">
            <v>12</v>
          </cell>
          <cell r="C44">
            <v>50</v>
          </cell>
        </row>
        <row r="45">
          <cell r="A45" t="str">
            <v>Frt04326</v>
          </cell>
          <cell r="B45">
            <v>1</v>
          </cell>
          <cell r="C45">
            <v>0</v>
          </cell>
        </row>
        <row r="46">
          <cell r="A46" t="str">
            <v>Frt04340</v>
          </cell>
          <cell r="B46">
            <v>6</v>
          </cell>
          <cell r="C46">
            <v>20</v>
          </cell>
        </row>
        <row r="47">
          <cell r="A47" t="str">
            <v>Frt04341</v>
          </cell>
          <cell r="B47">
            <v>12</v>
          </cell>
          <cell r="C47">
            <v>59</v>
          </cell>
        </row>
        <row r="48">
          <cell r="A48" t="str">
            <v>Frt04402</v>
          </cell>
          <cell r="B48">
            <v>1</v>
          </cell>
          <cell r="C48">
            <v>0</v>
          </cell>
        </row>
        <row r="49">
          <cell r="A49" t="str">
            <v>Frt04637</v>
          </cell>
          <cell r="B49">
            <v>1</v>
          </cell>
          <cell r="C49">
            <v>0</v>
          </cell>
        </row>
        <row r="50">
          <cell r="A50" t="str">
            <v>Frt04713</v>
          </cell>
          <cell r="B50">
            <v>1</v>
          </cell>
          <cell r="C50">
            <v>0</v>
          </cell>
        </row>
        <row r="51">
          <cell r="A51" t="str">
            <v>Frt04732</v>
          </cell>
          <cell r="B51">
            <v>1</v>
          </cell>
          <cell r="C51">
            <v>0</v>
          </cell>
        </row>
        <row r="52">
          <cell r="A52" t="str">
            <v>Frt04759</v>
          </cell>
          <cell r="B52">
            <v>1</v>
          </cell>
          <cell r="C52">
            <v>0</v>
          </cell>
        </row>
        <row r="53">
          <cell r="A53" t="str">
            <v>Frt04760</v>
          </cell>
          <cell r="B53">
            <v>1</v>
          </cell>
          <cell r="C53">
            <v>0</v>
          </cell>
        </row>
        <row r="54">
          <cell r="A54" t="str">
            <v>Frt04761</v>
          </cell>
          <cell r="B54">
            <v>1</v>
          </cell>
          <cell r="C54">
            <v>0</v>
          </cell>
        </row>
        <row r="55">
          <cell r="A55" t="str">
            <v>Frt04762</v>
          </cell>
          <cell r="B55">
            <v>1</v>
          </cell>
          <cell r="C55">
            <v>12</v>
          </cell>
        </row>
        <row r="56">
          <cell r="A56" t="str">
            <v>Frt04803</v>
          </cell>
          <cell r="B56">
            <v>1</v>
          </cell>
          <cell r="C56">
            <v>0</v>
          </cell>
        </row>
        <row r="57">
          <cell r="A57" t="str">
            <v>Frt04925</v>
          </cell>
          <cell r="B57">
            <v>1</v>
          </cell>
          <cell r="C57">
            <v>0</v>
          </cell>
        </row>
        <row r="58">
          <cell r="A58" t="str">
            <v>Frt05156</v>
          </cell>
          <cell r="B58">
            <v>1</v>
          </cell>
          <cell r="C58">
            <v>3</v>
          </cell>
        </row>
        <row r="59">
          <cell r="A59" t="str">
            <v>Frt05523</v>
          </cell>
          <cell r="B59">
            <v>1</v>
          </cell>
          <cell r="C59">
            <v>0</v>
          </cell>
        </row>
        <row r="60">
          <cell r="A60" t="str">
            <v>Frt05524</v>
          </cell>
          <cell r="B60">
            <v>1</v>
          </cell>
          <cell r="C60">
            <v>0</v>
          </cell>
        </row>
        <row r="61">
          <cell r="A61" t="str">
            <v>Frt05689</v>
          </cell>
          <cell r="B61">
            <v>1</v>
          </cell>
          <cell r="C61">
            <v>0</v>
          </cell>
        </row>
        <row r="62">
          <cell r="A62" t="str">
            <v>Frt05946</v>
          </cell>
          <cell r="B62">
            <v>1</v>
          </cell>
          <cell r="C62">
            <v>0</v>
          </cell>
        </row>
        <row r="63">
          <cell r="A63" t="str">
            <v>Frt06214</v>
          </cell>
          <cell r="B63">
            <v>12</v>
          </cell>
          <cell r="C63">
            <v>59</v>
          </cell>
        </row>
        <row r="64">
          <cell r="A64" t="str">
            <v>Frt06239</v>
          </cell>
          <cell r="B64">
            <v>1</v>
          </cell>
          <cell r="C64">
            <v>12</v>
          </cell>
        </row>
        <row r="65">
          <cell r="A65" t="str">
            <v>Frt06364</v>
          </cell>
          <cell r="B65">
            <v>1</v>
          </cell>
          <cell r="C65">
            <v>11</v>
          </cell>
        </row>
        <row r="66">
          <cell r="A66" t="str">
            <v>Frt06409</v>
          </cell>
          <cell r="B66">
            <v>1</v>
          </cell>
          <cell r="C66">
            <v>6</v>
          </cell>
        </row>
        <row r="67">
          <cell r="A67" t="str">
            <v>Frt06414</v>
          </cell>
          <cell r="B67">
            <v>1</v>
          </cell>
          <cell r="C67">
            <v>0</v>
          </cell>
        </row>
        <row r="68">
          <cell r="A68" t="str">
            <v>Frt06415</v>
          </cell>
          <cell r="B68">
            <v>1</v>
          </cell>
          <cell r="C68">
            <v>0</v>
          </cell>
        </row>
        <row r="69">
          <cell r="A69" t="str">
            <v>Frt06419</v>
          </cell>
          <cell r="B69">
            <v>12</v>
          </cell>
          <cell r="C69">
            <v>43</v>
          </cell>
        </row>
        <row r="70">
          <cell r="A70" t="str">
            <v>Frt06437</v>
          </cell>
          <cell r="B70">
            <v>1</v>
          </cell>
          <cell r="C70">
            <v>0</v>
          </cell>
        </row>
        <row r="71">
          <cell r="A71" t="str">
            <v>Frt06438</v>
          </cell>
          <cell r="B71">
            <v>1</v>
          </cell>
          <cell r="C71">
            <v>0</v>
          </cell>
        </row>
        <row r="72">
          <cell r="A72" t="str">
            <v>Frt06491</v>
          </cell>
          <cell r="B72">
            <v>1</v>
          </cell>
          <cell r="C72">
            <v>0</v>
          </cell>
        </row>
        <row r="73">
          <cell r="A73" t="str">
            <v>Frt06498</v>
          </cell>
          <cell r="B73">
            <v>1</v>
          </cell>
          <cell r="C73">
            <v>0</v>
          </cell>
        </row>
        <row r="74">
          <cell r="A74" t="str">
            <v>Frt06499</v>
          </cell>
          <cell r="B74">
            <v>12</v>
          </cell>
          <cell r="C74">
            <v>37</v>
          </cell>
        </row>
        <row r="75">
          <cell r="A75" t="str">
            <v>Frt06512</v>
          </cell>
          <cell r="B75">
            <v>1</v>
          </cell>
          <cell r="C75">
            <v>0</v>
          </cell>
        </row>
        <row r="76">
          <cell r="A76" t="str">
            <v>Frt06759</v>
          </cell>
          <cell r="B76">
            <v>1</v>
          </cell>
          <cell r="C76">
            <v>0</v>
          </cell>
        </row>
        <row r="77">
          <cell r="A77" t="str">
            <v>Frt06766</v>
          </cell>
          <cell r="B77">
            <v>1</v>
          </cell>
          <cell r="C77">
            <v>0</v>
          </cell>
        </row>
        <row r="78">
          <cell r="A78" t="str">
            <v>Frt06771</v>
          </cell>
          <cell r="B78">
            <v>1</v>
          </cell>
          <cell r="C78">
            <v>0</v>
          </cell>
        </row>
        <row r="79">
          <cell r="A79" t="str">
            <v>Frt06772</v>
          </cell>
          <cell r="B79">
            <v>1</v>
          </cell>
          <cell r="C79">
            <v>0</v>
          </cell>
        </row>
        <row r="80">
          <cell r="A80" t="str">
            <v>Frt06911</v>
          </cell>
          <cell r="B80">
            <v>1</v>
          </cell>
          <cell r="C80">
            <v>0</v>
          </cell>
        </row>
        <row r="81">
          <cell r="A81" t="str">
            <v>Frt06915</v>
          </cell>
          <cell r="B81">
            <v>1</v>
          </cell>
          <cell r="C81">
            <v>0</v>
          </cell>
        </row>
        <row r="82">
          <cell r="A82" t="str">
            <v>Frt06967</v>
          </cell>
          <cell r="B82">
            <v>1</v>
          </cell>
          <cell r="C82">
            <v>0</v>
          </cell>
        </row>
        <row r="83">
          <cell r="A83" t="str">
            <v>Frt06982</v>
          </cell>
          <cell r="B83">
            <v>1</v>
          </cell>
          <cell r="C83">
            <v>0</v>
          </cell>
        </row>
        <row r="84">
          <cell r="A84" t="str">
            <v>Frt07033</v>
          </cell>
          <cell r="B84">
            <v>1</v>
          </cell>
          <cell r="C84">
            <v>0</v>
          </cell>
        </row>
        <row r="85">
          <cell r="A85" t="str">
            <v>Frt07045</v>
          </cell>
          <cell r="B85">
            <v>6</v>
          </cell>
          <cell r="C85">
            <v>18</v>
          </cell>
        </row>
        <row r="86">
          <cell r="A86" t="str">
            <v>Frt07071</v>
          </cell>
          <cell r="B86">
            <v>12</v>
          </cell>
          <cell r="C86">
            <v>60</v>
          </cell>
        </row>
        <row r="87">
          <cell r="A87" t="str">
            <v>Frt07081</v>
          </cell>
          <cell r="B87">
            <v>11</v>
          </cell>
          <cell r="C87">
            <v>33</v>
          </cell>
        </row>
        <row r="88">
          <cell r="A88" t="str">
            <v>Frt07728</v>
          </cell>
          <cell r="B88">
            <v>1</v>
          </cell>
          <cell r="C88">
            <v>0</v>
          </cell>
        </row>
        <row r="89">
          <cell r="A89" t="str">
            <v>Frt07756</v>
          </cell>
          <cell r="B89">
            <v>12</v>
          </cell>
          <cell r="C89">
            <v>59</v>
          </cell>
        </row>
        <row r="90">
          <cell r="A90" t="str">
            <v>Frt07779</v>
          </cell>
          <cell r="B90">
            <v>12</v>
          </cell>
          <cell r="C90">
            <v>60</v>
          </cell>
        </row>
        <row r="91">
          <cell r="A91" t="str">
            <v>Frt07798</v>
          </cell>
          <cell r="B91">
            <v>1</v>
          </cell>
          <cell r="C91">
            <v>0</v>
          </cell>
        </row>
        <row r="92">
          <cell r="A92" t="str">
            <v>Frt07828</v>
          </cell>
          <cell r="B92">
            <v>1</v>
          </cell>
          <cell r="C92">
            <v>0</v>
          </cell>
        </row>
        <row r="93">
          <cell r="A93" t="str">
            <v>Frt07863</v>
          </cell>
          <cell r="B93">
            <v>12</v>
          </cell>
          <cell r="C93">
            <v>59</v>
          </cell>
        </row>
        <row r="94">
          <cell r="A94" t="str">
            <v>Frt07929</v>
          </cell>
          <cell r="B94">
            <v>1</v>
          </cell>
          <cell r="C94">
            <v>0</v>
          </cell>
        </row>
        <row r="95">
          <cell r="A95" t="str">
            <v>Frt07943</v>
          </cell>
          <cell r="B95">
            <v>1</v>
          </cell>
          <cell r="C95">
            <v>0</v>
          </cell>
        </row>
        <row r="96">
          <cell r="A96" t="str">
            <v>Frt07980</v>
          </cell>
          <cell r="B96">
            <v>1</v>
          </cell>
          <cell r="C96">
            <v>0</v>
          </cell>
        </row>
        <row r="97">
          <cell r="A97" t="str">
            <v>Frt07988</v>
          </cell>
          <cell r="B97">
            <v>1</v>
          </cell>
          <cell r="C97">
            <v>0</v>
          </cell>
        </row>
        <row r="98">
          <cell r="A98" t="str">
            <v>Frt08008</v>
          </cell>
          <cell r="B98">
            <v>1</v>
          </cell>
          <cell r="C98">
            <v>0</v>
          </cell>
        </row>
        <row r="99">
          <cell r="A99" t="str">
            <v>Frt08009</v>
          </cell>
          <cell r="B99">
            <v>1</v>
          </cell>
          <cell r="C99">
            <v>0</v>
          </cell>
        </row>
        <row r="100">
          <cell r="A100" t="str">
            <v>Frt08010</v>
          </cell>
          <cell r="B100">
            <v>1</v>
          </cell>
          <cell r="C100">
            <v>0</v>
          </cell>
        </row>
        <row r="101">
          <cell r="A101" t="str">
            <v>Frt08134</v>
          </cell>
          <cell r="B101">
            <v>1</v>
          </cell>
          <cell r="C101">
            <v>0</v>
          </cell>
        </row>
        <row r="102">
          <cell r="A102" t="str">
            <v>Frt08189</v>
          </cell>
          <cell r="B102">
            <v>1</v>
          </cell>
          <cell r="C102">
            <v>0</v>
          </cell>
        </row>
        <row r="103">
          <cell r="A103" t="str">
            <v>Frt08222</v>
          </cell>
          <cell r="B103">
            <v>1</v>
          </cell>
          <cell r="C103">
            <v>0</v>
          </cell>
        </row>
        <row r="104">
          <cell r="A104" t="str">
            <v>Frt08398</v>
          </cell>
          <cell r="B104">
            <v>1</v>
          </cell>
          <cell r="C104">
            <v>0</v>
          </cell>
        </row>
        <row r="105">
          <cell r="A105" t="str">
            <v>Frt08411</v>
          </cell>
          <cell r="B105">
            <v>1</v>
          </cell>
          <cell r="C105">
            <v>0</v>
          </cell>
        </row>
        <row r="106">
          <cell r="A106" t="str">
            <v>Frt08517</v>
          </cell>
          <cell r="B106">
            <v>12</v>
          </cell>
          <cell r="C106">
            <v>54</v>
          </cell>
        </row>
        <row r="107">
          <cell r="A107" t="str">
            <v>Frt08578</v>
          </cell>
          <cell r="B107">
            <v>1</v>
          </cell>
          <cell r="C107">
            <v>0</v>
          </cell>
        </row>
        <row r="108">
          <cell r="A108" t="str">
            <v>Frt08579</v>
          </cell>
          <cell r="B108">
            <v>1</v>
          </cell>
          <cell r="C108">
            <v>0</v>
          </cell>
        </row>
        <row r="109">
          <cell r="A109" t="str">
            <v>Frt08606</v>
          </cell>
          <cell r="B109">
            <v>12</v>
          </cell>
          <cell r="C109">
            <v>59</v>
          </cell>
        </row>
        <row r="110">
          <cell r="A110" t="str">
            <v>Frt08667</v>
          </cell>
          <cell r="B110">
            <v>1</v>
          </cell>
          <cell r="C110">
            <v>0</v>
          </cell>
        </row>
        <row r="111">
          <cell r="A111" t="str">
            <v>Frt08691</v>
          </cell>
          <cell r="B111">
            <v>12</v>
          </cell>
          <cell r="C111">
            <v>59</v>
          </cell>
        </row>
        <row r="112">
          <cell r="A112" t="str">
            <v>Frt08772</v>
          </cell>
          <cell r="B112">
            <v>1</v>
          </cell>
          <cell r="C112">
            <v>10</v>
          </cell>
        </row>
        <row r="113">
          <cell r="A113" t="str">
            <v>Frt08890</v>
          </cell>
          <cell r="B113">
            <v>12</v>
          </cell>
          <cell r="C113">
            <v>54</v>
          </cell>
        </row>
        <row r="114">
          <cell r="A114" t="str">
            <v>Frt09000</v>
          </cell>
          <cell r="B114">
            <v>1</v>
          </cell>
          <cell r="C114">
            <v>0</v>
          </cell>
        </row>
        <row r="115">
          <cell r="A115" t="str">
            <v>Frt09057</v>
          </cell>
          <cell r="B115">
            <v>1</v>
          </cell>
          <cell r="C115">
            <v>5</v>
          </cell>
        </row>
        <row r="116">
          <cell r="A116" t="str">
            <v>Frt09071</v>
          </cell>
          <cell r="B116">
            <v>1</v>
          </cell>
          <cell r="C116">
            <v>0</v>
          </cell>
        </row>
        <row r="117">
          <cell r="A117" t="str">
            <v>Frt09178</v>
          </cell>
          <cell r="B117">
            <v>1</v>
          </cell>
          <cell r="C117">
            <v>0</v>
          </cell>
        </row>
        <row r="118">
          <cell r="A118" t="str">
            <v>Frt09210</v>
          </cell>
          <cell r="B118">
            <v>1</v>
          </cell>
          <cell r="C118">
            <v>0</v>
          </cell>
        </row>
        <row r="119">
          <cell r="A119" t="str">
            <v>Frt09385</v>
          </cell>
          <cell r="B119">
            <v>1</v>
          </cell>
          <cell r="C119">
            <v>0</v>
          </cell>
        </row>
        <row r="120">
          <cell r="A120" t="str">
            <v>Frt09394</v>
          </cell>
          <cell r="B120">
            <v>1</v>
          </cell>
          <cell r="C120">
            <v>0</v>
          </cell>
        </row>
        <row r="121">
          <cell r="A121" t="str">
            <v>Frt09422</v>
          </cell>
          <cell r="B121">
            <v>1</v>
          </cell>
          <cell r="C121">
            <v>0</v>
          </cell>
        </row>
        <row r="122">
          <cell r="A122" t="str">
            <v>Frt09455</v>
          </cell>
          <cell r="B122">
            <v>1</v>
          </cell>
          <cell r="C122">
            <v>0</v>
          </cell>
        </row>
        <row r="123">
          <cell r="A123" t="str">
            <v>Frt09566</v>
          </cell>
          <cell r="B123">
            <v>1</v>
          </cell>
          <cell r="C123">
            <v>0</v>
          </cell>
        </row>
        <row r="124">
          <cell r="A124" t="str">
            <v>Frt09628</v>
          </cell>
          <cell r="B124">
            <v>2</v>
          </cell>
          <cell r="C124">
            <v>13</v>
          </cell>
        </row>
        <row r="125">
          <cell r="A125" t="str">
            <v>Frt09674</v>
          </cell>
          <cell r="B125">
            <v>1</v>
          </cell>
          <cell r="C125">
            <v>0</v>
          </cell>
        </row>
        <row r="126">
          <cell r="A126" t="str">
            <v>Frt09690</v>
          </cell>
          <cell r="B126">
            <v>2</v>
          </cell>
          <cell r="C126">
            <v>13</v>
          </cell>
        </row>
        <row r="127">
          <cell r="A127" t="str">
            <v>Frt09691</v>
          </cell>
          <cell r="B127">
            <v>12</v>
          </cell>
          <cell r="C127">
            <v>53</v>
          </cell>
        </row>
        <row r="128">
          <cell r="A128" t="str">
            <v>Frt09692</v>
          </cell>
          <cell r="B128">
            <v>6</v>
          </cell>
          <cell r="C128">
            <v>18</v>
          </cell>
        </row>
        <row r="129">
          <cell r="A129" t="str">
            <v>Frt09983</v>
          </cell>
          <cell r="B129">
            <v>1</v>
          </cell>
          <cell r="C129">
            <v>0</v>
          </cell>
        </row>
        <row r="130">
          <cell r="A130" t="str">
            <v>Frt10001</v>
          </cell>
          <cell r="B130">
            <v>1</v>
          </cell>
          <cell r="C130">
            <v>0</v>
          </cell>
        </row>
        <row r="131">
          <cell r="A131" t="str">
            <v>Frt10002</v>
          </cell>
          <cell r="B131">
            <v>12</v>
          </cell>
          <cell r="C131">
            <v>59</v>
          </cell>
        </row>
        <row r="132">
          <cell r="A132" t="str">
            <v>Frt10003</v>
          </cell>
          <cell r="B132">
            <v>1</v>
          </cell>
          <cell r="C132">
            <v>8</v>
          </cell>
        </row>
        <row r="133">
          <cell r="A133" t="str">
            <v>Frt10004</v>
          </cell>
          <cell r="B133">
            <v>1</v>
          </cell>
          <cell r="C133">
            <v>0</v>
          </cell>
        </row>
        <row r="134">
          <cell r="A134" t="str">
            <v>Frt10044</v>
          </cell>
          <cell r="B134">
            <v>1</v>
          </cell>
          <cell r="C134">
            <v>0</v>
          </cell>
        </row>
        <row r="135">
          <cell r="A135" t="str">
            <v>Frt10047</v>
          </cell>
          <cell r="B135">
            <v>1</v>
          </cell>
          <cell r="C135">
            <v>0</v>
          </cell>
        </row>
        <row r="136">
          <cell r="A136" t="str">
            <v>Frt10095</v>
          </cell>
          <cell r="B136">
            <v>1</v>
          </cell>
          <cell r="C136">
            <v>0</v>
          </cell>
        </row>
        <row r="137">
          <cell r="A137" t="str">
            <v>Frt10121</v>
          </cell>
          <cell r="B137">
            <v>1</v>
          </cell>
          <cell r="C137">
            <v>0</v>
          </cell>
        </row>
        <row r="138">
          <cell r="A138" t="str">
            <v>Frt10122</v>
          </cell>
          <cell r="B138">
            <v>1</v>
          </cell>
          <cell r="C138">
            <v>0</v>
          </cell>
        </row>
        <row r="139">
          <cell r="A139" t="str">
            <v>Frt10175</v>
          </cell>
          <cell r="B139">
            <v>12</v>
          </cell>
          <cell r="C139">
            <v>59</v>
          </cell>
        </row>
        <row r="140">
          <cell r="A140" t="str">
            <v>Frt10208</v>
          </cell>
          <cell r="B140">
            <v>1</v>
          </cell>
          <cell r="C140">
            <v>0</v>
          </cell>
        </row>
        <row r="141">
          <cell r="A141" t="str">
            <v>Frt10209</v>
          </cell>
          <cell r="B141">
            <v>1</v>
          </cell>
          <cell r="C141">
            <v>0</v>
          </cell>
        </row>
        <row r="142">
          <cell r="A142" t="str">
            <v>Frt10247</v>
          </cell>
          <cell r="B142">
            <v>1</v>
          </cell>
          <cell r="C142">
            <v>0</v>
          </cell>
        </row>
        <row r="143">
          <cell r="A143" t="str">
            <v>Frt10309</v>
          </cell>
          <cell r="B143">
            <v>5</v>
          </cell>
          <cell r="C143">
            <v>16</v>
          </cell>
        </row>
        <row r="144">
          <cell r="A144" t="str">
            <v>Frt10310</v>
          </cell>
          <cell r="B144">
            <v>1</v>
          </cell>
          <cell r="C144">
            <v>0</v>
          </cell>
        </row>
        <row r="145">
          <cell r="A145" t="str">
            <v>Frt10313</v>
          </cell>
          <cell r="B145">
            <v>12</v>
          </cell>
          <cell r="C145">
            <v>52</v>
          </cell>
        </row>
        <row r="146">
          <cell r="A146" t="str">
            <v>Frt10915</v>
          </cell>
          <cell r="B146">
            <v>1</v>
          </cell>
          <cell r="C146">
            <v>0</v>
          </cell>
        </row>
        <row r="147">
          <cell r="A147" t="str">
            <v>Frt10916</v>
          </cell>
          <cell r="B147">
            <v>1</v>
          </cell>
          <cell r="C147">
            <v>4</v>
          </cell>
        </row>
        <row r="148">
          <cell r="A148" t="str">
            <v>Frt10918</v>
          </cell>
          <cell r="B148">
            <v>1</v>
          </cell>
          <cell r="C148">
            <v>11</v>
          </cell>
        </row>
        <row r="149">
          <cell r="A149" t="str">
            <v>Frt10966</v>
          </cell>
          <cell r="B149">
            <v>1</v>
          </cell>
          <cell r="C149">
            <v>0</v>
          </cell>
        </row>
        <row r="150">
          <cell r="A150" t="str">
            <v>Frt11044</v>
          </cell>
          <cell r="B150">
            <v>1</v>
          </cell>
          <cell r="C150">
            <v>0</v>
          </cell>
        </row>
        <row r="151">
          <cell r="A151" t="str">
            <v>Frt11233</v>
          </cell>
          <cell r="B151">
            <v>1</v>
          </cell>
          <cell r="C151">
            <v>0</v>
          </cell>
        </row>
        <row r="152">
          <cell r="A152" t="str">
            <v>Frt11264</v>
          </cell>
          <cell r="B152">
            <v>12</v>
          </cell>
          <cell r="C152">
            <v>44</v>
          </cell>
        </row>
        <row r="153">
          <cell r="A153" t="str">
            <v>Frt11293</v>
          </cell>
          <cell r="B153">
            <v>12</v>
          </cell>
          <cell r="C153">
            <v>58</v>
          </cell>
        </row>
        <row r="154">
          <cell r="A154" t="str">
            <v>Frt11361</v>
          </cell>
          <cell r="B154">
            <v>1</v>
          </cell>
          <cell r="C154">
            <v>6</v>
          </cell>
        </row>
        <row r="155">
          <cell r="A155" t="str">
            <v>Frt11362</v>
          </cell>
          <cell r="B155">
            <v>1</v>
          </cell>
          <cell r="C155">
            <v>7</v>
          </cell>
        </row>
        <row r="156">
          <cell r="A156" t="str">
            <v>Frt11537</v>
          </cell>
          <cell r="B156">
            <v>4</v>
          </cell>
          <cell r="C156">
            <v>15</v>
          </cell>
        </row>
        <row r="157">
          <cell r="A157" t="str">
            <v>Frt11538</v>
          </cell>
          <cell r="B157">
            <v>1</v>
          </cell>
          <cell r="C157">
            <v>0</v>
          </cell>
        </row>
        <row r="158">
          <cell r="A158" t="str">
            <v>Frt11692</v>
          </cell>
          <cell r="B158">
            <v>1</v>
          </cell>
          <cell r="C158">
            <v>0</v>
          </cell>
        </row>
        <row r="159">
          <cell r="A159" t="str">
            <v>Frt11734</v>
          </cell>
          <cell r="B159">
            <v>1</v>
          </cell>
          <cell r="C159">
            <v>2</v>
          </cell>
        </row>
        <row r="160">
          <cell r="A160" t="str">
            <v>Frt11835</v>
          </cell>
          <cell r="B160">
            <v>1</v>
          </cell>
          <cell r="C160">
            <v>0</v>
          </cell>
        </row>
        <row r="161">
          <cell r="A161" t="str">
            <v>Frt12144</v>
          </cell>
          <cell r="B161">
            <v>12</v>
          </cell>
          <cell r="C161">
            <v>54</v>
          </cell>
        </row>
        <row r="162">
          <cell r="A162" t="str">
            <v>Frt12867</v>
          </cell>
          <cell r="B162">
            <v>5</v>
          </cell>
          <cell r="C162">
            <v>16</v>
          </cell>
        </row>
        <row r="163">
          <cell r="A163" t="str">
            <v>Frt13011</v>
          </cell>
          <cell r="B163">
            <v>1</v>
          </cell>
          <cell r="C163">
            <v>0</v>
          </cell>
        </row>
        <row r="164">
          <cell r="A164" t="str">
            <v>Frt14038</v>
          </cell>
          <cell r="B164">
            <v>12</v>
          </cell>
          <cell r="C164">
            <v>60</v>
          </cell>
        </row>
        <row r="165">
          <cell r="A165" t="str">
            <v>Frt14246</v>
          </cell>
          <cell r="B165">
            <v>1</v>
          </cell>
          <cell r="C165">
            <v>0</v>
          </cell>
        </row>
        <row r="166">
          <cell r="A166" t="str">
            <v>Frt14375</v>
          </cell>
          <cell r="B166">
            <v>1</v>
          </cell>
          <cell r="C166">
            <v>0</v>
          </cell>
        </row>
        <row r="167">
          <cell r="A167" t="str">
            <v>Frt14386</v>
          </cell>
          <cell r="B167">
            <v>12</v>
          </cell>
          <cell r="C167">
            <v>51</v>
          </cell>
        </row>
        <row r="168">
          <cell r="A168" t="str">
            <v>Frt14440</v>
          </cell>
          <cell r="B168">
            <v>1</v>
          </cell>
          <cell r="C168">
            <v>0</v>
          </cell>
        </row>
        <row r="169">
          <cell r="A169" t="str">
            <v>Frt14468</v>
          </cell>
          <cell r="B169">
            <v>12</v>
          </cell>
          <cell r="C169">
            <v>41</v>
          </cell>
        </row>
        <row r="170">
          <cell r="A170" t="str">
            <v>Frt14504</v>
          </cell>
          <cell r="B170">
            <v>1</v>
          </cell>
          <cell r="C170">
            <v>0</v>
          </cell>
        </row>
        <row r="171">
          <cell r="A171" t="str">
            <v>Frt18443</v>
          </cell>
          <cell r="B171">
            <v>1</v>
          </cell>
          <cell r="C171">
            <v>4</v>
          </cell>
        </row>
        <row r="172">
          <cell r="A172" t="str">
            <v>Frt18489</v>
          </cell>
          <cell r="B172">
            <v>1</v>
          </cell>
          <cell r="C172">
            <v>0</v>
          </cell>
        </row>
        <row r="173">
          <cell r="A173" t="str">
            <v>Frt18586</v>
          </cell>
          <cell r="B173">
            <v>1</v>
          </cell>
          <cell r="C173">
            <v>0</v>
          </cell>
        </row>
        <row r="174">
          <cell r="A174" t="str">
            <v>Frt18639</v>
          </cell>
          <cell r="B174">
            <v>1</v>
          </cell>
          <cell r="C174">
            <v>0</v>
          </cell>
        </row>
        <row r="175">
          <cell r="A175" t="str">
            <v>Frt18688</v>
          </cell>
          <cell r="B175">
            <v>1</v>
          </cell>
          <cell r="C175">
            <v>0</v>
          </cell>
        </row>
        <row r="176">
          <cell r="A176" t="str">
            <v>Frt18695</v>
          </cell>
          <cell r="B176">
            <v>12</v>
          </cell>
          <cell r="C176">
            <v>58</v>
          </cell>
        </row>
        <row r="177">
          <cell r="A177" t="str">
            <v>Frt18779</v>
          </cell>
          <cell r="B177">
            <v>1</v>
          </cell>
          <cell r="C177">
            <v>0</v>
          </cell>
        </row>
        <row r="178">
          <cell r="A178" t="str">
            <v>Frt19106</v>
          </cell>
          <cell r="B178">
            <v>12</v>
          </cell>
          <cell r="C178">
            <v>51</v>
          </cell>
        </row>
        <row r="179">
          <cell r="A179" t="str">
            <v>Frt19385</v>
          </cell>
          <cell r="B179">
            <v>1</v>
          </cell>
          <cell r="C179">
            <v>0</v>
          </cell>
        </row>
        <row r="180">
          <cell r="A180" t="str">
            <v>Frt19432</v>
          </cell>
          <cell r="B180">
            <v>1</v>
          </cell>
          <cell r="C180">
            <v>0</v>
          </cell>
        </row>
        <row r="181">
          <cell r="A181" t="str">
            <v>Frt19568</v>
          </cell>
          <cell r="B181">
            <v>1</v>
          </cell>
          <cell r="C181">
            <v>0</v>
          </cell>
        </row>
        <row r="182">
          <cell r="A182" t="str">
            <v>Frt19583</v>
          </cell>
          <cell r="B182">
            <v>1</v>
          </cell>
          <cell r="C182">
            <v>0</v>
          </cell>
        </row>
        <row r="183">
          <cell r="A183" t="str">
            <v>Frt19593</v>
          </cell>
          <cell r="B183">
            <v>1</v>
          </cell>
          <cell r="C183">
            <v>0</v>
          </cell>
        </row>
        <row r="184">
          <cell r="A184" t="str">
            <v>Frt19594</v>
          </cell>
          <cell r="B184">
            <v>1</v>
          </cell>
          <cell r="C184">
            <v>0</v>
          </cell>
        </row>
        <row r="185">
          <cell r="A185" t="str">
            <v>Frt19639</v>
          </cell>
          <cell r="B185">
            <v>1</v>
          </cell>
          <cell r="C185">
            <v>0</v>
          </cell>
        </row>
        <row r="186">
          <cell r="A186" t="str">
            <v>Frt19640</v>
          </cell>
          <cell r="B186">
            <v>1</v>
          </cell>
          <cell r="C186">
            <v>0</v>
          </cell>
        </row>
        <row r="187">
          <cell r="A187" t="str">
            <v>Frt19641</v>
          </cell>
          <cell r="B187">
            <v>1</v>
          </cell>
          <cell r="C187">
            <v>0</v>
          </cell>
        </row>
        <row r="188">
          <cell r="A188" t="str">
            <v>Frt19747</v>
          </cell>
          <cell r="B188">
            <v>1</v>
          </cell>
          <cell r="C188">
            <v>0</v>
          </cell>
        </row>
        <row r="189">
          <cell r="A189" t="str">
            <v>Frt19982</v>
          </cell>
          <cell r="B189">
            <v>12</v>
          </cell>
          <cell r="C189">
            <v>60</v>
          </cell>
        </row>
        <row r="190">
          <cell r="A190" t="str">
            <v>Frt19983</v>
          </cell>
          <cell r="B190">
            <v>1</v>
          </cell>
          <cell r="C190">
            <v>0</v>
          </cell>
        </row>
        <row r="191">
          <cell r="A191" t="str">
            <v>Frt19996</v>
          </cell>
          <cell r="B191">
            <v>1</v>
          </cell>
          <cell r="C191">
            <v>0</v>
          </cell>
        </row>
        <row r="192">
          <cell r="A192" t="str">
            <v>Frt20086</v>
          </cell>
          <cell r="B192">
            <v>1</v>
          </cell>
          <cell r="C192">
            <v>0</v>
          </cell>
        </row>
        <row r="193">
          <cell r="A193" t="str">
            <v>Frt20090</v>
          </cell>
          <cell r="B193">
            <v>1</v>
          </cell>
          <cell r="C193">
            <v>0</v>
          </cell>
        </row>
        <row r="194">
          <cell r="A194" t="str">
            <v>Frt20147</v>
          </cell>
          <cell r="B194">
            <v>1</v>
          </cell>
          <cell r="C194">
            <v>6</v>
          </cell>
        </row>
        <row r="195">
          <cell r="A195" t="str">
            <v>Frt20318</v>
          </cell>
          <cell r="B195">
            <v>1</v>
          </cell>
          <cell r="C195">
            <v>8</v>
          </cell>
        </row>
        <row r="196">
          <cell r="A196" t="str">
            <v>Frt20357</v>
          </cell>
          <cell r="B196">
            <v>1</v>
          </cell>
          <cell r="C196">
            <v>0</v>
          </cell>
        </row>
        <row r="197">
          <cell r="A197" t="str">
            <v>Frt20359</v>
          </cell>
          <cell r="B197">
            <v>1</v>
          </cell>
          <cell r="C197">
            <v>0</v>
          </cell>
        </row>
        <row r="198">
          <cell r="A198" t="str">
            <v>Frt20437</v>
          </cell>
          <cell r="B198">
            <v>1</v>
          </cell>
          <cell r="C198">
            <v>0</v>
          </cell>
        </row>
        <row r="199">
          <cell r="A199" t="str">
            <v>Frt20439</v>
          </cell>
          <cell r="B199">
            <v>1</v>
          </cell>
          <cell r="C199">
            <v>0</v>
          </cell>
        </row>
        <row r="200">
          <cell r="A200" t="str">
            <v>Frt20628</v>
          </cell>
          <cell r="B200">
            <v>1</v>
          </cell>
          <cell r="C200">
            <v>0</v>
          </cell>
        </row>
        <row r="201">
          <cell r="A201" t="str">
            <v>Frt20667</v>
          </cell>
          <cell r="B201">
            <v>1</v>
          </cell>
          <cell r="C201">
            <v>0</v>
          </cell>
        </row>
        <row r="202">
          <cell r="A202" t="str">
            <v>Frt20828</v>
          </cell>
          <cell r="B202">
            <v>1</v>
          </cell>
          <cell r="C202">
            <v>1</v>
          </cell>
        </row>
        <row r="203">
          <cell r="A203" t="str">
            <v>Frt20902</v>
          </cell>
          <cell r="B203">
            <v>12</v>
          </cell>
          <cell r="C203">
            <v>57</v>
          </cell>
        </row>
        <row r="204">
          <cell r="A204" t="str">
            <v>Frt20920</v>
          </cell>
          <cell r="B204">
            <v>1</v>
          </cell>
          <cell r="C204">
            <v>0</v>
          </cell>
        </row>
        <row r="205">
          <cell r="A205" t="str">
            <v>Frt20988</v>
          </cell>
          <cell r="B205">
            <v>1</v>
          </cell>
          <cell r="C205">
            <v>0</v>
          </cell>
        </row>
        <row r="206">
          <cell r="A206" t="str">
            <v>Frt21048</v>
          </cell>
          <cell r="B206">
            <v>1</v>
          </cell>
          <cell r="C206">
            <v>0</v>
          </cell>
        </row>
        <row r="207">
          <cell r="A207" t="str">
            <v>Frt21088</v>
          </cell>
          <cell r="B207">
            <v>1</v>
          </cell>
          <cell r="C207">
            <v>0</v>
          </cell>
        </row>
        <row r="208">
          <cell r="A208" t="str">
            <v>Frt21187</v>
          </cell>
          <cell r="B208">
            <v>1</v>
          </cell>
          <cell r="C208">
            <v>0</v>
          </cell>
        </row>
        <row r="209">
          <cell r="A209" t="str">
            <v>Frt21427</v>
          </cell>
          <cell r="B209">
            <v>5</v>
          </cell>
          <cell r="C209">
            <v>16</v>
          </cell>
        </row>
        <row r="210">
          <cell r="A210" t="str">
            <v>Frt21435</v>
          </cell>
          <cell r="B210">
            <v>6</v>
          </cell>
          <cell r="C210">
            <v>26</v>
          </cell>
        </row>
        <row r="211">
          <cell r="A211" t="str">
            <v>Frt21571</v>
          </cell>
          <cell r="B211">
            <v>1</v>
          </cell>
          <cell r="C211">
            <v>0</v>
          </cell>
        </row>
        <row r="212">
          <cell r="A212" t="str">
            <v>Frt21775</v>
          </cell>
          <cell r="B212">
            <v>3</v>
          </cell>
          <cell r="C212">
            <v>14</v>
          </cell>
        </row>
        <row r="213">
          <cell r="A213" t="str">
            <v>Frt22233</v>
          </cell>
          <cell r="B213">
            <v>3</v>
          </cell>
          <cell r="C213">
            <v>14</v>
          </cell>
        </row>
        <row r="214">
          <cell r="A214" t="str">
            <v>Frt22262</v>
          </cell>
          <cell r="B214">
            <v>1</v>
          </cell>
          <cell r="C214">
            <v>0</v>
          </cell>
        </row>
        <row r="215">
          <cell r="A215" t="str">
            <v>Frt22263</v>
          </cell>
          <cell r="B215">
            <v>1</v>
          </cell>
          <cell r="C215">
            <v>0</v>
          </cell>
        </row>
        <row r="216">
          <cell r="A216" t="str">
            <v>Frt22268</v>
          </cell>
          <cell r="B216">
            <v>1</v>
          </cell>
          <cell r="C216">
            <v>0</v>
          </cell>
        </row>
        <row r="217">
          <cell r="A217" t="str">
            <v>Frt22270</v>
          </cell>
          <cell r="B217">
            <v>1</v>
          </cell>
          <cell r="C217">
            <v>0</v>
          </cell>
        </row>
        <row r="218">
          <cell r="A218" t="str">
            <v>Frt22336</v>
          </cell>
          <cell r="B218">
            <v>1</v>
          </cell>
          <cell r="C218">
            <v>0</v>
          </cell>
        </row>
        <row r="219">
          <cell r="A219" t="str">
            <v>Frt22511</v>
          </cell>
          <cell r="B219">
            <v>1</v>
          </cell>
          <cell r="C219">
            <v>0</v>
          </cell>
        </row>
        <row r="220">
          <cell r="A220" t="str">
            <v>Frt22512</v>
          </cell>
          <cell r="B220">
            <v>12</v>
          </cell>
          <cell r="C220">
            <v>59</v>
          </cell>
        </row>
        <row r="221">
          <cell r="A221" t="str">
            <v>Frt22541</v>
          </cell>
          <cell r="B221">
            <v>1</v>
          </cell>
          <cell r="C221">
            <v>0</v>
          </cell>
        </row>
        <row r="222">
          <cell r="A222" t="str">
            <v>Frt22622</v>
          </cell>
          <cell r="B222">
            <v>12</v>
          </cell>
          <cell r="C222">
            <v>60</v>
          </cell>
        </row>
        <row r="223">
          <cell r="A223" t="str">
            <v>Frt22860</v>
          </cell>
          <cell r="B223">
            <v>12</v>
          </cell>
          <cell r="C223">
            <v>48</v>
          </cell>
        </row>
        <row r="224">
          <cell r="A224" t="str">
            <v>Frt23048</v>
          </cell>
          <cell r="B224">
            <v>1</v>
          </cell>
          <cell r="C224">
            <v>0</v>
          </cell>
        </row>
        <row r="225">
          <cell r="A225" t="str">
            <v>Frt23094</v>
          </cell>
          <cell r="B225">
            <v>12</v>
          </cell>
          <cell r="C225">
            <v>60</v>
          </cell>
        </row>
        <row r="226">
          <cell r="A226" t="str">
            <v>Frt23214</v>
          </cell>
          <cell r="B226">
            <v>12</v>
          </cell>
          <cell r="C226">
            <v>60</v>
          </cell>
        </row>
        <row r="227">
          <cell r="A227" t="str">
            <v>Frt23290</v>
          </cell>
          <cell r="B227">
            <v>12</v>
          </cell>
          <cell r="C227">
            <v>60</v>
          </cell>
        </row>
        <row r="228">
          <cell r="A228" t="str">
            <v>Frt23423</v>
          </cell>
          <cell r="B228">
            <v>12</v>
          </cell>
          <cell r="C228">
            <v>58</v>
          </cell>
        </row>
        <row r="229">
          <cell r="A229" t="str">
            <v>Frt23673</v>
          </cell>
          <cell r="B229">
            <v>1</v>
          </cell>
          <cell r="C229">
            <v>0</v>
          </cell>
        </row>
        <row r="230">
          <cell r="A230" t="str">
            <v>Frt23682</v>
          </cell>
          <cell r="B230">
            <v>1</v>
          </cell>
          <cell r="C230">
            <v>0</v>
          </cell>
        </row>
        <row r="231">
          <cell r="A231" t="str">
            <v>Frt23996</v>
          </cell>
          <cell r="B231">
            <v>12</v>
          </cell>
          <cell r="C231">
            <v>43</v>
          </cell>
        </row>
        <row r="232">
          <cell r="A232" t="str">
            <v>Frt24132</v>
          </cell>
          <cell r="B232">
            <v>1</v>
          </cell>
          <cell r="C232">
            <v>0</v>
          </cell>
        </row>
        <row r="233">
          <cell r="A233" t="str">
            <v>Frt24157</v>
          </cell>
          <cell r="B233">
            <v>1</v>
          </cell>
          <cell r="C233">
            <v>0</v>
          </cell>
        </row>
        <row r="234">
          <cell r="A234" t="str">
            <v>Frt24188</v>
          </cell>
          <cell r="B234">
            <v>12</v>
          </cell>
          <cell r="C234">
            <v>45</v>
          </cell>
        </row>
        <row r="235">
          <cell r="A235" t="str">
            <v>Frt24267</v>
          </cell>
          <cell r="B235">
            <v>12</v>
          </cell>
          <cell r="C235">
            <v>55</v>
          </cell>
        </row>
        <row r="236">
          <cell r="A236" t="str">
            <v>Frt24279</v>
          </cell>
          <cell r="B236">
            <v>12</v>
          </cell>
          <cell r="C236">
            <v>43</v>
          </cell>
        </row>
        <row r="237">
          <cell r="A237" t="str">
            <v>Frt24302</v>
          </cell>
          <cell r="B237">
            <v>1</v>
          </cell>
          <cell r="C237">
            <v>0</v>
          </cell>
        </row>
        <row r="238">
          <cell r="A238" t="str">
            <v>Frt24329</v>
          </cell>
          <cell r="B238">
            <v>5</v>
          </cell>
          <cell r="C238">
            <v>16</v>
          </cell>
        </row>
        <row r="239">
          <cell r="A239" t="str">
            <v>Frt24479</v>
          </cell>
          <cell r="B239">
            <v>1</v>
          </cell>
          <cell r="C239">
            <v>0</v>
          </cell>
        </row>
        <row r="240">
          <cell r="A240" t="str">
            <v>Frt24480</v>
          </cell>
          <cell r="B240">
            <v>1</v>
          </cell>
          <cell r="C240">
            <v>0</v>
          </cell>
        </row>
        <row r="241">
          <cell r="A241" t="str">
            <v>Frt24481</v>
          </cell>
          <cell r="B241">
            <v>6</v>
          </cell>
          <cell r="C241">
            <v>26</v>
          </cell>
        </row>
        <row r="242">
          <cell r="A242" t="str">
            <v>Frt24573</v>
          </cell>
          <cell r="B242">
            <v>1</v>
          </cell>
          <cell r="C242">
            <v>0</v>
          </cell>
        </row>
        <row r="243">
          <cell r="A243" t="str">
            <v>Frt24574</v>
          </cell>
          <cell r="B243">
            <v>1</v>
          </cell>
          <cell r="C243">
            <v>0</v>
          </cell>
        </row>
        <row r="244">
          <cell r="A244" t="str">
            <v>Frt24595</v>
          </cell>
          <cell r="B244">
            <v>1</v>
          </cell>
          <cell r="C244">
            <v>9</v>
          </cell>
        </row>
        <row r="245">
          <cell r="A245" t="str">
            <v>Frt24596</v>
          </cell>
          <cell r="B245">
            <v>12</v>
          </cell>
          <cell r="C245">
            <v>35</v>
          </cell>
        </row>
        <row r="246">
          <cell r="A246" t="str">
            <v>Frt24600</v>
          </cell>
          <cell r="B246">
            <v>1</v>
          </cell>
          <cell r="C246">
            <v>0</v>
          </cell>
        </row>
        <row r="247">
          <cell r="A247" t="str">
            <v>Frt24604</v>
          </cell>
          <cell r="B247">
            <v>12</v>
          </cell>
          <cell r="C247">
            <v>42</v>
          </cell>
        </row>
        <row r="248">
          <cell r="A248" t="str">
            <v>Frt24653</v>
          </cell>
          <cell r="B248">
            <v>1</v>
          </cell>
          <cell r="C248">
            <v>12</v>
          </cell>
        </row>
        <row r="249">
          <cell r="A249" t="str">
            <v>Frt24657</v>
          </cell>
          <cell r="B249">
            <v>12</v>
          </cell>
          <cell r="C249">
            <v>47</v>
          </cell>
        </row>
        <row r="250">
          <cell r="A250" t="str">
            <v>Frt24672</v>
          </cell>
          <cell r="B250">
            <v>1</v>
          </cell>
          <cell r="C250">
            <v>0</v>
          </cell>
        </row>
        <row r="251">
          <cell r="A251" t="str">
            <v>Frt24673</v>
          </cell>
          <cell r="B251">
            <v>1</v>
          </cell>
          <cell r="C251">
            <v>0</v>
          </cell>
        </row>
        <row r="252">
          <cell r="A252" t="str">
            <v>Frt24814</v>
          </cell>
          <cell r="B252">
            <v>1</v>
          </cell>
          <cell r="C252">
            <v>0</v>
          </cell>
        </row>
        <row r="253">
          <cell r="A253" t="str">
            <v>Frt25087</v>
          </cell>
          <cell r="B253">
            <v>1</v>
          </cell>
          <cell r="C253">
            <v>0</v>
          </cell>
        </row>
        <row r="254">
          <cell r="A254" t="str">
            <v>Frt25155</v>
          </cell>
          <cell r="B254">
            <v>1</v>
          </cell>
          <cell r="C254">
            <v>0</v>
          </cell>
        </row>
        <row r="255">
          <cell r="A255" t="str">
            <v>Frt25602</v>
          </cell>
          <cell r="B255">
            <v>1</v>
          </cell>
          <cell r="C255">
            <v>0</v>
          </cell>
        </row>
        <row r="256">
          <cell r="A256" t="str">
            <v>Frt25603</v>
          </cell>
          <cell r="B256">
            <v>10</v>
          </cell>
          <cell r="C256">
            <v>32</v>
          </cell>
        </row>
        <row r="257">
          <cell r="A257" t="str">
            <v>Frt26158</v>
          </cell>
          <cell r="B257">
            <v>12</v>
          </cell>
          <cell r="C257">
            <v>59</v>
          </cell>
        </row>
        <row r="258">
          <cell r="A258" t="str">
            <v>Frt26187</v>
          </cell>
          <cell r="B258">
            <v>1</v>
          </cell>
          <cell r="C258">
            <v>0</v>
          </cell>
        </row>
        <row r="259">
          <cell r="A259" t="str">
            <v>Frt26544</v>
          </cell>
          <cell r="B259">
            <v>1</v>
          </cell>
          <cell r="C259">
            <v>0</v>
          </cell>
        </row>
        <row r="260">
          <cell r="A260" t="str">
            <v>Frt26568</v>
          </cell>
          <cell r="B260">
            <v>1</v>
          </cell>
          <cell r="C260">
            <v>9</v>
          </cell>
        </row>
        <row r="261">
          <cell r="A261" t="str">
            <v>Frt26580</v>
          </cell>
          <cell r="B261">
            <v>1</v>
          </cell>
          <cell r="C261">
            <v>0</v>
          </cell>
        </row>
        <row r="262">
          <cell r="A262" t="str">
            <v>Frt26847</v>
          </cell>
          <cell r="B262">
            <v>12</v>
          </cell>
          <cell r="C262">
            <v>60</v>
          </cell>
        </row>
        <row r="263">
          <cell r="A263" t="str">
            <v>Frt26926</v>
          </cell>
          <cell r="B263">
            <v>1</v>
          </cell>
          <cell r="C263">
            <v>11</v>
          </cell>
        </row>
        <row r="264">
          <cell r="A264" t="str">
            <v>Frt26987</v>
          </cell>
          <cell r="B264">
            <v>6</v>
          </cell>
          <cell r="C264">
            <v>24</v>
          </cell>
        </row>
        <row r="265">
          <cell r="A265" t="str">
            <v>Frt26988</v>
          </cell>
          <cell r="B265">
            <v>1</v>
          </cell>
          <cell r="C265">
            <v>0</v>
          </cell>
        </row>
        <row r="266">
          <cell r="A266" t="str">
            <v>Frt27038</v>
          </cell>
          <cell r="B266">
            <v>1</v>
          </cell>
          <cell r="C266">
            <v>7</v>
          </cell>
        </row>
        <row r="267">
          <cell r="A267" t="str">
            <v>Frt28402</v>
          </cell>
          <cell r="B267">
            <v>1</v>
          </cell>
          <cell r="C267">
            <v>0</v>
          </cell>
        </row>
        <row r="268">
          <cell r="A268" t="str">
            <v>Frt28746</v>
          </cell>
          <cell r="B268">
            <v>1</v>
          </cell>
          <cell r="C268">
            <v>0</v>
          </cell>
        </row>
        <row r="269">
          <cell r="A269" t="str">
            <v>Frt28827</v>
          </cell>
          <cell r="B269">
            <v>1</v>
          </cell>
          <cell r="C269">
            <v>0</v>
          </cell>
        </row>
        <row r="270">
          <cell r="A270" t="str">
            <v>Frt29136</v>
          </cell>
          <cell r="B270">
            <v>1</v>
          </cell>
          <cell r="C270">
            <v>0</v>
          </cell>
        </row>
        <row r="271">
          <cell r="A271" t="str">
            <v>Frt29292</v>
          </cell>
          <cell r="B271">
            <v>1</v>
          </cell>
          <cell r="C271">
            <v>0</v>
          </cell>
        </row>
        <row r="272">
          <cell r="A272" t="str">
            <v>Frt29345</v>
          </cell>
          <cell r="B272">
            <v>1</v>
          </cell>
          <cell r="C272">
            <v>0</v>
          </cell>
        </row>
        <row r="273">
          <cell r="A273" t="str">
            <v>Frt29346</v>
          </cell>
          <cell r="B273">
            <v>1</v>
          </cell>
          <cell r="C273">
            <v>0</v>
          </cell>
        </row>
        <row r="274">
          <cell r="A274" t="str">
            <v>Frt29348</v>
          </cell>
          <cell r="B274">
            <v>1</v>
          </cell>
          <cell r="C274">
            <v>0</v>
          </cell>
        </row>
        <row r="275">
          <cell r="A275" t="str">
            <v>Frt29349</v>
          </cell>
          <cell r="B275">
            <v>1</v>
          </cell>
          <cell r="C275">
            <v>1</v>
          </cell>
        </row>
        <row r="276">
          <cell r="A276" t="str">
            <v>Frt29441</v>
          </cell>
          <cell r="B276">
            <v>1</v>
          </cell>
          <cell r="C276">
            <v>0</v>
          </cell>
        </row>
        <row r="277">
          <cell r="A277" t="str">
            <v>Frt29442</v>
          </cell>
          <cell r="B277">
            <v>1</v>
          </cell>
          <cell r="C277">
            <v>0</v>
          </cell>
        </row>
        <row r="278">
          <cell r="A278" t="str">
            <v>Frt30220</v>
          </cell>
          <cell r="B278">
            <v>1</v>
          </cell>
          <cell r="C278">
            <v>0</v>
          </cell>
        </row>
        <row r="279">
          <cell r="A279" t="str">
            <v>Frt30301</v>
          </cell>
          <cell r="B279">
            <v>1</v>
          </cell>
          <cell r="C279">
            <v>0</v>
          </cell>
        </row>
        <row r="280">
          <cell r="A280" t="str">
            <v>Frt30314</v>
          </cell>
          <cell r="B280">
            <v>12</v>
          </cell>
          <cell r="C280">
            <v>60</v>
          </cell>
        </row>
        <row r="281">
          <cell r="A281" t="str">
            <v>Frt30315</v>
          </cell>
          <cell r="B281">
            <v>1</v>
          </cell>
          <cell r="C281">
            <v>0</v>
          </cell>
        </row>
        <row r="282">
          <cell r="A282" t="str">
            <v>Frt31514</v>
          </cell>
          <cell r="B282">
            <v>1</v>
          </cell>
          <cell r="C282">
            <v>4</v>
          </cell>
        </row>
        <row r="283">
          <cell r="A283" t="str">
            <v>Frt31595</v>
          </cell>
          <cell r="B283">
            <v>1</v>
          </cell>
          <cell r="C283">
            <v>0</v>
          </cell>
        </row>
        <row r="284">
          <cell r="A284" t="str">
            <v>Frt31931</v>
          </cell>
          <cell r="B284">
            <v>1</v>
          </cell>
          <cell r="C284">
            <v>0</v>
          </cell>
        </row>
        <row r="285">
          <cell r="A285" t="str">
            <v>Frt32013</v>
          </cell>
          <cell r="B285">
            <v>1</v>
          </cell>
          <cell r="C285">
            <v>0</v>
          </cell>
        </row>
        <row r="286">
          <cell r="A286" t="str">
            <v>Frt32253</v>
          </cell>
          <cell r="B286">
            <v>1</v>
          </cell>
          <cell r="C286">
            <v>0</v>
          </cell>
        </row>
        <row r="287">
          <cell r="A287" t="str">
            <v>Frt32370</v>
          </cell>
          <cell r="B287">
            <v>8</v>
          </cell>
          <cell r="C287">
            <v>30</v>
          </cell>
        </row>
        <row r="288">
          <cell r="A288" t="str">
            <v>Frt32371</v>
          </cell>
          <cell r="B288">
            <v>1</v>
          </cell>
          <cell r="C288">
            <v>0</v>
          </cell>
        </row>
        <row r="289">
          <cell r="A289" t="str">
            <v>Frt32533</v>
          </cell>
          <cell r="B289">
            <v>1</v>
          </cell>
          <cell r="C289">
            <v>0</v>
          </cell>
        </row>
        <row r="290">
          <cell r="A290" t="str">
            <v>Frt32548</v>
          </cell>
          <cell r="B290">
            <v>1</v>
          </cell>
          <cell r="C290">
            <v>9</v>
          </cell>
        </row>
        <row r="291">
          <cell r="A291" t="str">
            <v>Frt32679</v>
          </cell>
          <cell r="B291">
            <v>1</v>
          </cell>
          <cell r="C291">
            <v>0</v>
          </cell>
        </row>
        <row r="292">
          <cell r="A292" t="str">
            <v>Frt32738</v>
          </cell>
          <cell r="B292">
            <v>1</v>
          </cell>
          <cell r="C292">
            <v>0</v>
          </cell>
        </row>
        <row r="293">
          <cell r="A293" t="str">
            <v>Frt33037</v>
          </cell>
          <cell r="B293">
            <v>1</v>
          </cell>
          <cell r="C293">
            <v>0</v>
          </cell>
        </row>
        <row r="294">
          <cell r="A294" t="str">
            <v>Frt33238</v>
          </cell>
          <cell r="B294">
            <v>1</v>
          </cell>
          <cell r="C294">
            <v>3</v>
          </cell>
        </row>
        <row r="295">
          <cell r="A295" t="str">
            <v>Frt33581</v>
          </cell>
          <cell r="B295">
            <v>1</v>
          </cell>
          <cell r="C295">
            <v>0</v>
          </cell>
        </row>
        <row r="296">
          <cell r="A296" t="str">
            <v>Frt34107</v>
          </cell>
          <cell r="B296">
            <v>12</v>
          </cell>
          <cell r="C296">
            <v>35</v>
          </cell>
        </row>
        <row r="297">
          <cell r="A297" t="str">
            <v>Frt34112</v>
          </cell>
          <cell r="B297">
            <v>1</v>
          </cell>
          <cell r="C297">
            <v>0</v>
          </cell>
        </row>
        <row r="298">
          <cell r="A298" t="str">
            <v>Frt34116</v>
          </cell>
          <cell r="B298">
            <v>1</v>
          </cell>
          <cell r="C298">
            <v>7</v>
          </cell>
        </row>
        <row r="299">
          <cell r="A299" t="str">
            <v>Frt34118</v>
          </cell>
          <cell r="B299">
            <v>1</v>
          </cell>
          <cell r="C299">
            <v>0</v>
          </cell>
        </row>
        <row r="300">
          <cell r="A300" t="str">
            <v>Frt34121</v>
          </cell>
          <cell r="B300">
            <v>1</v>
          </cell>
          <cell r="C300">
            <v>0</v>
          </cell>
        </row>
        <row r="301">
          <cell r="A301" t="str">
            <v>Frt34122</v>
          </cell>
          <cell r="B301">
            <v>1</v>
          </cell>
          <cell r="C301">
            <v>0</v>
          </cell>
        </row>
        <row r="302">
          <cell r="A302" t="str">
            <v>Frt34123</v>
          </cell>
          <cell r="B302">
            <v>1</v>
          </cell>
          <cell r="C302">
            <v>9</v>
          </cell>
        </row>
        <row r="303">
          <cell r="A303" t="str">
            <v>Frt34263</v>
          </cell>
          <cell r="B303">
            <v>1</v>
          </cell>
          <cell r="C303">
            <v>0</v>
          </cell>
        </row>
        <row r="304">
          <cell r="A304" t="str">
            <v>Frt34637</v>
          </cell>
          <cell r="B304">
            <v>1</v>
          </cell>
          <cell r="C304">
            <v>0</v>
          </cell>
        </row>
        <row r="305">
          <cell r="A305" t="str">
            <v>Frt34641</v>
          </cell>
          <cell r="B305">
            <v>1</v>
          </cell>
          <cell r="C305">
            <v>0</v>
          </cell>
        </row>
        <row r="306">
          <cell r="A306" t="str">
            <v>Frt34650</v>
          </cell>
          <cell r="B306">
            <v>1</v>
          </cell>
          <cell r="C306">
            <v>0</v>
          </cell>
        </row>
        <row r="307">
          <cell r="A307" t="str">
            <v>Frt34651</v>
          </cell>
          <cell r="B307">
            <v>1</v>
          </cell>
          <cell r="C307">
            <v>0</v>
          </cell>
        </row>
        <row r="308">
          <cell r="A308" t="str">
            <v>Frt34653</v>
          </cell>
          <cell r="B308">
            <v>1</v>
          </cell>
          <cell r="C308">
            <v>0</v>
          </cell>
        </row>
        <row r="309">
          <cell r="A309" t="str">
            <v>Frt34708</v>
          </cell>
          <cell r="B309">
            <v>1</v>
          </cell>
          <cell r="C309">
            <v>0</v>
          </cell>
        </row>
        <row r="310">
          <cell r="A310" t="str">
            <v>Frt34727</v>
          </cell>
          <cell r="B310">
            <v>1</v>
          </cell>
          <cell r="C310">
            <v>0</v>
          </cell>
        </row>
        <row r="311">
          <cell r="A311" t="str">
            <v>Frt34743</v>
          </cell>
          <cell r="B311">
            <v>1</v>
          </cell>
          <cell r="C311">
            <v>0</v>
          </cell>
        </row>
        <row r="312">
          <cell r="A312" t="str">
            <v>Frt34796</v>
          </cell>
          <cell r="B312">
            <v>1</v>
          </cell>
          <cell r="C312">
            <v>0</v>
          </cell>
        </row>
        <row r="313">
          <cell r="A313" t="str">
            <v>Frt34798</v>
          </cell>
          <cell r="B313">
            <v>1</v>
          </cell>
          <cell r="C313">
            <v>0</v>
          </cell>
        </row>
        <row r="314">
          <cell r="A314" t="str">
            <v>Frt34801</v>
          </cell>
          <cell r="B314">
            <v>1</v>
          </cell>
          <cell r="C314">
            <v>0</v>
          </cell>
        </row>
        <row r="315">
          <cell r="A315" t="str">
            <v>Frt34802</v>
          </cell>
          <cell r="B315">
            <v>1</v>
          </cell>
          <cell r="C315">
            <v>0</v>
          </cell>
        </row>
        <row r="316">
          <cell r="A316" t="str">
            <v>Frt34899</v>
          </cell>
          <cell r="B316">
            <v>1</v>
          </cell>
          <cell r="C316">
            <v>0</v>
          </cell>
        </row>
        <row r="317">
          <cell r="A317" t="str">
            <v>Frt34901</v>
          </cell>
          <cell r="B317">
            <v>1</v>
          </cell>
          <cell r="C317">
            <v>0</v>
          </cell>
        </row>
        <row r="318">
          <cell r="A318" t="str">
            <v>Frt34903</v>
          </cell>
          <cell r="B318">
            <v>1</v>
          </cell>
          <cell r="C318">
            <v>0</v>
          </cell>
        </row>
        <row r="319">
          <cell r="A319" t="str">
            <v>Frt34912</v>
          </cell>
          <cell r="B319">
            <v>1</v>
          </cell>
          <cell r="C319">
            <v>0</v>
          </cell>
        </row>
        <row r="320">
          <cell r="A320" t="str">
            <v>Frt35018</v>
          </cell>
          <cell r="B320">
            <v>1</v>
          </cell>
          <cell r="C320">
            <v>0</v>
          </cell>
        </row>
        <row r="321">
          <cell r="A321" t="str">
            <v>Frt35029</v>
          </cell>
          <cell r="B321">
            <v>1</v>
          </cell>
          <cell r="C321">
            <v>0</v>
          </cell>
        </row>
        <row r="322">
          <cell r="A322" t="str">
            <v>Frt35083</v>
          </cell>
          <cell r="B322">
            <v>1</v>
          </cell>
          <cell r="C322">
            <v>0</v>
          </cell>
        </row>
        <row r="323">
          <cell r="A323" t="str">
            <v>Frt35084</v>
          </cell>
          <cell r="B323">
            <v>1</v>
          </cell>
          <cell r="C323">
            <v>0</v>
          </cell>
        </row>
        <row r="324">
          <cell r="A324" t="str">
            <v>Frt35085</v>
          </cell>
          <cell r="B324">
            <v>1</v>
          </cell>
          <cell r="C324">
            <v>0</v>
          </cell>
        </row>
        <row r="325">
          <cell r="A325" t="str">
            <v>Frt35088</v>
          </cell>
          <cell r="B325">
            <v>1</v>
          </cell>
          <cell r="C325">
            <v>0</v>
          </cell>
        </row>
        <row r="326">
          <cell r="A326" t="str">
            <v>Frt35155</v>
          </cell>
          <cell r="B326">
            <v>1</v>
          </cell>
          <cell r="C326">
            <v>0</v>
          </cell>
        </row>
        <row r="327">
          <cell r="A327" t="str">
            <v>Frt35246</v>
          </cell>
          <cell r="B327">
            <v>1</v>
          </cell>
          <cell r="C327">
            <v>1</v>
          </cell>
        </row>
        <row r="328">
          <cell r="A328" t="str">
            <v>Frt35314</v>
          </cell>
          <cell r="B328">
            <v>1</v>
          </cell>
          <cell r="C328">
            <v>0</v>
          </cell>
        </row>
        <row r="329">
          <cell r="A329" t="str">
            <v>Frt35315</v>
          </cell>
          <cell r="B329">
            <v>1</v>
          </cell>
          <cell r="C329">
            <v>0</v>
          </cell>
        </row>
        <row r="330">
          <cell r="A330" t="str">
            <v>Frt35316</v>
          </cell>
          <cell r="B330">
            <v>1</v>
          </cell>
          <cell r="C330">
            <v>0</v>
          </cell>
        </row>
        <row r="331">
          <cell r="A331" t="str">
            <v>Frt35317</v>
          </cell>
          <cell r="B331">
            <v>1</v>
          </cell>
          <cell r="C331">
            <v>0</v>
          </cell>
        </row>
        <row r="332">
          <cell r="A332" t="str">
            <v>Frt35319</v>
          </cell>
          <cell r="B332">
            <v>1</v>
          </cell>
          <cell r="C332">
            <v>0</v>
          </cell>
        </row>
        <row r="333">
          <cell r="A333" t="str">
            <v>Frt35413</v>
          </cell>
          <cell r="B333">
            <v>7</v>
          </cell>
          <cell r="C333">
            <v>29</v>
          </cell>
        </row>
        <row r="334">
          <cell r="A334" t="str">
            <v>Frt35666</v>
          </cell>
          <cell r="B334">
            <v>1</v>
          </cell>
          <cell r="C334">
            <v>0</v>
          </cell>
        </row>
        <row r="335">
          <cell r="A335" t="str">
            <v>Frt35690</v>
          </cell>
          <cell r="B335">
            <v>1</v>
          </cell>
          <cell r="C335">
            <v>0</v>
          </cell>
        </row>
        <row r="336">
          <cell r="A336" t="str">
            <v>Frt35940</v>
          </cell>
          <cell r="B336">
            <v>12</v>
          </cell>
          <cell r="C336">
            <v>45</v>
          </cell>
        </row>
        <row r="337">
          <cell r="A337" t="str">
            <v>Frt36125</v>
          </cell>
          <cell r="B337">
            <v>1</v>
          </cell>
          <cell r="C337">
            <v>0</v>
          </cell>
        </row>
        <row r="338">
          <cell r="A338" t="str">
            <v>Frt36129</v>
          </cell>
          <cell r="B338">
            <v>1</v>
          </cell>
          <cell r="C338">
            <v>0</v>
          </cell>
        </row>
        <row r="339">
          <cell r="A339" t="str">
            <v>Frt36873</v>
          </cell>
          <cell r="B339">
            <v>1</v>
          </cell>
          <cell r="C339">
            <v>0</v>
          </cell>
        </row>
        <row r="340">
          <cell r="A340" t="str">
            <v>Frt37062</v>
          </cell>
          <cell r="B340">
            <v>1</v>
          </cell>
          <cell r="C340">
            <v>0</v>
          </cell>
        </row>
        <row r="341">
          <cell r="A341" t="str">
            <v>Frt37109</v>
          </cell>
          <cell r="B341">
            <v>1</v>
          </cell>
          <cell r="C341">
            <v>0</v>
          </cell>
        </row>
        <row r="342">
          <cell r="A342" t="str">
            <v>Frt37120</v>
          </cell>
          <cell r="B342">
            <v>1</v>
          </cell>
          <cell r="C342">
            <v>0</v>
          </cell>
        </row>
        <row r="343">
          <cell r="A343" t="str">
            <v>Frt37224</v>
          </cell>
          <cell r="B343">
            <v>1</v>
          </cell>
          <cell r="C343">
            <v>0</v>
          </cell>
        </row>
        <row r="344">
          <cell r="A344" t="str">
            <v>Frt37396</v>
          </cell>
          <cell r="B344">
            <v>1</v>
          </cell>
          <cell r="C344">
            <v>0</v>
          </cell>
        </row>
        <row r="345">
          <cell r="A345" t="str">
            <v>Frt37711</v>
          </cell>
          <cell r="B345">
            <v>1</v>
          </cell>
          <cell r="C345">
            <v>0</v>
          </cell>
        </row>
        <row r="346">
          <cell r="A346" t="str">
            <v>Frt38036</v>
          </cell>
          <cell r="B346">
            <v>1</v>
          </cell>
          <cell r="C346">
            <v>3</v>
          </cell>
        </row>
        <row r="347">
          <cell r="A347" t="str">
            <v>Frt38106</v>
          </cell>
          <cell r="B347">
            <v>1</v>
          </cell>
          <cell r="C347">
            <v>0</v>
          </cell>
        </row>
        <row r="348">
          <cell r="A348" t="str">
            <v>Frt38341</v>
          </cell>
          <cell r="B348">
            <v>1</v>
          </cell>
          <cell r="C348">
            <v>4</v>
          </cell>
        </row>
        <row r="349">
          <cell r="A349" t="str">
            <v>Frt38758</v>
          </cell>
          <cell r="B349">
            <v>1</v>
          </cell>
          <cell r="C349">
            <v>0</v>
          </cell>
        </row>
        <row r="350">
          <cell r="A350" t="str">
            <v>Frt39063</v>
          </cell>
          <cell r="B350">
            <v>1</v>
          </cell>
          <cell r="C350">
            <v>0</v>
          </cell>
        </row>
        <row r="351">
          <cell r="A351" t="str">
            <v>Frt39065</v>
          </cell>
          <cell r="B351">
            <v>1</v>
          </cell>
          <cell r="C351">
            <v>0</v>
          </cell>
        </row>
        <row r="352">
          <cell r="A352" t="str">
            <v>Frt39580</v>
          </cell>
          <cell r="B352">
            <v>1</v>
          </cell>
          <cell r="C352">
            <v>0</v>
          </cell>
        </row>
        <row r="353">
          <cell r="A353" t="str">
            <v>Frt39671</v>
          </cell>
          <cell r="B353">
            <v>1</v>
          </cell>
          <cell r="C353">
            <v>0</v>
          </cell>
        </row>
        <row r="354">
          <cell r="A354" t="str">
            <v>Frt39740</v>
          </cell>
          <cell r="B354">
            <v>6</v>
          </cell>
          <cell r="C354">
            <v>17</v>
          </cell>
        </row>
        <row r="355">
          <cell r="A355" t="str">
            <v>Frt39964</v>
          </cell>
          <cell r="B355">
            <v>1</v>
          </cell>
          <cell r="C355">
            <v>12</v>
          </cell>
        </row>
        <row r="356">
          <cell r="A356" t="str">
            <v>Frt40758</v>
          </cell>
          <cell r="B356">
            <v>12</v>
          </cell>
          <cell r="C356">
            <v>52</v>
          </cell>
        </row>
        <row r="357">
          <cell r="A357" t="str">
            <v>Frt41135</v>
          </cell>
          <cell r="B357">
            <v>1</v>
          </cell>
          <cell r="C357">
            <v>0</v>
          </cell>
        </row>
        <row r="358">
          <cell r="A358" t="str">
            <v>Frt41291</v>
          </cell>
          <cell r="B358">
            <v>1</v>
          </cell>
          <cell r="C358">
            <v>0</v>
          </cell>
        </row>
        <row r="359">
          <cell r="A359" t="str">
            <v>Frt41382</v>
          </cell>
          <cell r="B359">
            <v>1</v>
          </cell>
          <cell r="C359">
            <v>0</v>
          </cell>
        </row>
        <row r="360">
          <cell r="A360" t="str">
            <v>Frt41578</v>
          </cell>
          <cell r="B360">
            <v>12</v>
          </cell>
          <cell r="C360">
            <v>48</v>
          </cell>
        </row>
        <row r="361">
          <cell r="A361" t="str">
            <v>Frt41598</v>
          </cell>
          <cell r="B361">
            <v>12</v>
          </cell>
          <cell r="C361">
            <v>54</v>
          </cell>
        </row>
        <row r="362">
          <cell r="A362" t="str">
            <v>Frt41599</v>
          </cell>
          <cell r="B362">
            <v>1</v>
          </cell>
          <cell r="C362">
            <v>0</v>
          </cell>
        </row>
        <row r="363">
          <cell r="A363" t="str">
            <v>Frt41600</v>
          </cell>
          <cell r="B363">
            <v>1</v>
          </cell>
          <cell r="C363">
            <v>0</v>
          </cell>
        </row>
        <row r="364">
          <cell r="A364" t="str">
            <v>Frt41601</v>
          </cell>
          <cell r="B364">
            <v>12</v>
          </cell>
          <cell r="C364">
            <v>56</v>
          </cell>
        </row>
        <row r="365">
          <cell r="A365" t="str">
            <v>Frt41602</v>
          </cell>
          <cell r="B365">
            <v>12</v>
          </cell>
          <cell r="C365">
            <v>46</v>
          </cell>
        </row>
        <row r="366">
          <cell r="A366" t="str">
            <v>Frt41690</v>
          </cell>
          <cell r="B366">
            <v>1</v>
          </cell>
          <cell r="C366">
            <v>0</v>
          </cell>
        </row>
        <row r="367">
          <cell r="A367" t="str">
            <v>Frt41843</v>
          </cell>
          <cell r="B367">
            <v>1</v>
          </cell>
          <cell r="C367">
            <v>0</v>
          </cell>
        </row>
        <row r="368">
          <cell r="A368" t="str">
            <v>Frt42443</v>
          </cell>
          <cell r="B368">
            <v>1</v>
          </cell>
          <cell r="C368">
            <v>0</v>
          </cell>
        </row>
        <row r="369">
          <cell r="A369" t="str">
            <v>Frt42570</v>
          </cell>
          <cell r="B369">
            <v>1</v>
          </cell>
          <cell r="C369">
            <v>0</v>
          </cell>
        </row>
        <row r="370">
          <cell r="A370" t="str">
            <v>Frt42798</v>
          </cell>
          <cell r="B370">
            <v>1</v>
          </cell>
          <cell r="C370">
            <v>0</v>
          </cell>
        </row>
        <row r="371">
          <cell r="A371" t="str">
            <v>Frt42819</v>
          </cell>
          <cell r="B371">
            <v>1</v>
          </cell>
          <cell r="C371">
            <v>0</v>
          </cell>
        </row>
        <row r="372">
          <cell r="A372" t="str">
            <v>Frt43180</v>
          </cell>
          <cell r="B372">
            <v>1</v>
          </cell>
          <cell r="C372">
            <v>0</v>
          </cell>
        </row>
        <row r="373">
          <cell r="A373" t="str">
            <v>Frt43374</v>
          </cell>
          <cell r="B373">
            <v>12</v>
          </cell>
          <cell r="C373">
            <v>51</v>
          </cell>
        </row>
        <row r="374">
          <cell r="A374" t="str">
            <v>Frt43473</v>
          </cell>
          <cell r="B374">
            <v>1</v>
          </cell>
          <cell r="C374">
            <v>0</v>
          </cell>
        </row>
        <row r="375">
          <cell r="A375" t="str">
            <v>Frt43604</v>
          </cell>
          <cell r="B375">
            <v>1</v>
          </cell>
          <cell r="C375">
            <v>1</v>
          </cell>
        </row>
        <row r="376">
          <cell r="A376" t="str">
            <v>Frt43730</v>
          </cell>
          <cell r="B376">
            <v>1</v>
          </cell>
          <cell r="C376">
            <v>0</v>
          </cell>
        </row>
        <row r="377">
          <cell r="A377" t="str">
            <v>Frt43809</v>
          </cell>
          <cell r="B377">
            <v>3</v>
          </cell>
          <cell r="C377">
            <v>14</v>
          </cell>
        </row>
        <row r="378">
          <cell r="A378" t="str">
            <v>Frt44169</v>
          </cell>
          <cell r="B378">
            <v>1</v>
          </cell>
          <cell r="C378">
            <v>0</v>
          </cell>
        </row>
        <row r="379">
          <cell r="A379" t="str">
            <v>Frt44646</v>
          </cell>
          <cell r="B379">
            <v>1</v>
          </cell>
          <cell r="C379">
            <v>0</v>
          </cell>
        </row>
        <row r="380">
          <cell r="A380" t="str">
            <v>Frt44649</v>
          </cell>
          <cell r="B380">
            <v>12</v>
          </cell>
          <cell r="C380">
            <v>47</v>
          </cell>
        </row>
        <row r="381">
          <cell r="A381" t="str">
            <v>Frt44662</v>
          </cell>
          <cell r="B381">
            <v>1</v>
          </cell>
          <cell r="C381">
            <v>0</v>
          </cell>
        </row>
        <row r="382">
          <cell r="A382" t="str">
            <v>Frt44692</v>
          </cell>
          <cell r="B382">
            <v>1</v>
          </cell>
          <cell r="C382">
            <v>0</v>
          </cell>
        </row>
        <row r="383">
          <cell r="A383" t="str">
            <v>Frt44723</v>
          </cell>
          <cell r="B383">
            <v>1</v>
          </cell>
          <cell r="C383">
            <v>0</v>
          </cell>
        </row>
        <row r="384">
          <cell r="A384" t="str">
            <v>Frt45029</v>
          </cell>
          <cell r="B384">
            <v>1</v>
          </cell>
          <cell r="C384">
            <v>8</v>
          </cell>
        </row>
        <row r="385">
          <cell r="A385" t="str">
            <v>Frt45045</v>
          </cell>
          <cell r="B385">
            <v>1</v>
          </cell>
          <cell r="C385">
            <v>0</v>
          </cell>
        </row>
        <row r="386">
          <cell r="A386" t="str">
            <v>Frt45280</v>
          </cell>
          <cell r="B386">
            <v>12</v>
          </cell>
          <cell r="C386">
            <v>47</v>
          </cell>
        </row>
        <row r="387">
          <cell r="A387" t="str">
            <v>Frt45283</v>
          </cell>
          <cell r="B387">
            <v>12</v>
          </cell>
          <cell r="C387">
            <v>47</v>
          </cell>
        </row>
        <row r="388">
          <cell r="A388" t="str">
            <v>Frt45299</v>
          </cell>
          <cell r="B388">
            <v>1</v>
          </cell>
          <cell r="C388">
            <v>0</v>
          </cell>
        </row>
        <row r="389">
          <cell r="A389" t="str">
            <v>Frt45466</v>
          </cell>
          <cell r="B389">
            <v>1</v>
          </cell>
          <cell r="C389">
            <v>0</v>
          </cell>
        </row>
        <row r="390">
          <cell r="A390" t="str">
            <v>Frt45481</v>
          </cell>
          <cell r="B390">
            <v>1</v>
          </cell>
          <cell r="C390">
            <v>0</v>
          </cell>
        </row>
        <row r="391">
          <cell r="A391" t="str">
            <v>Frt45515</v>
          </cell>
          <cell r="B391">
            <v>1</v>
          </cell>
          <cell r="C391">
            <v>0</v>
          </cell>
        </row>
        <row r="392">
          <cell r="A392" t="str">
            <v>Frt46117</v>
          </cell>
          <cell r="B392">
            <v>12</v>
          </cell>
          <cell r="C392">
            <v>43</v>
          </cell>
        </row>
        <row r="393">
          <cell r="A393" t="str">
            <v>Frt46272</v>
          </cell>
          <cell r="B393">
            <v>1</v>
          </cell>
          <cell r="C393">
            <v>0</v>
          </cell>
        </row>
        <row r="394">
          <cell r="A394" t="str">
            <v>Frt46277</v>
          </cell>
          <cell r="B394">
            <v>6</v>
          </cell>
          <cell r="C394">
            <v>21</v>
          </cell>
        </row>
        <row r="395">
          <cell r="A395" t="str">
            <v>Frt46526</v>
          </cell>
          <cell r="B395">
            <v>1</v>
          </cell>
          <cell r="C395">
            <v>0</v>
          </cell>
        </row>
        <row r="396">
          <cell r="A396" t="str">
            <v>Frt46803</v>
          </cell>
          <cell r="B396">
            <v>1</v>
          </cell>
          <cell r="C396">
            <v>0</v>
          </cell>
        </row>
        <row r="397">
          <cell r="A397" t="str">
            <v>Frt46804</v>
          </cell>
          <cell r="B397">
            <v>1</v>
          </cell>
          <cell r="C397">
            <v>0</v>
          </cell>
        </row>
        <row r="398">
          <cell r="A398" t="str">
            <v>Frt47377</v>
          </cell>
          <cell r="B398">
            <v>12</v>
          </cell>
          <cell r="C398">
            <v>39</v>
          </cell>
        </row>
        <row r="399">
          <cell r="A399" t="str">
            <v>Frt47378</v>
          </cell>
          <cell r="B399">
            <v>12</v>
          </cell>
          <cell r="C399">
            <v>39</v>
          </cell>
        </row>
        <row r="400">
          <cell r="A400" t="str">
            <v>Frt47417</v>
          </cell>
          <cell r="B400">
            <v>1</v>
          </cell>
          <cell r="C400">
            <v>0</v>
          </cell>
        </row>
        <row r="401">
          <cell r="A401" t="str">
            <v>Frt47453</v>
          </cell>
          <cell r="B401">
            <v>12</v>
          </cell>
          <cell r="C401">
            <v>39</v>
          </cell>
        </row>
        <row r="402">
          <cell r="A402" t="str">
            <v>Frt49692</v>
          </cell>
          <cell r="B402">
            <v>1</v>
          </cell>
          <cell r="C402">
            <v>0</v>
          </cell>
        </row>
        <row r="403">
          <cell r="A403" t="str">
            <v>Frt50068</v>
          </cell>
          <cell r="B403">
            <v>1</v>
          </cell>
          <cell r="C403">
            <v>0</v>
          </cell>
        </row>
        <row r="404">
          <cell r="A404" t="str">
            <v>Frt50069</v>
          </cell>
          <cell r="B404">
            <v>1</v>
          </cell>
          <cell r="C404">
            <v>0</v>
          </cell>
        </row>
        <row r="405">
          <cell r="A405" t="str">
            <v>Frt50569</v>
          </cell>
          <cell r="B405">
            <v>1</v>
          </cell>
          <cell r="C405">
            <v>0</v>
          </cell>
        </row>
        <row r="406">
          <cell r="A406" t="str">
            <v>Frt50616</v>
          </cell>
          <cell r="B406">
            <v>1</v>
          </cell>
          <cell r="C406">
            <v>10</v>
          </cell>
        </row>
        <row r="407">
          <cell r="A407" t="str">
            <v>Frt50616</v>
          </cell>
          <cell r="B407">
            <v>1</v>
          </cell>
          <cell r="C407">
            <v>10</v>
          </cell>
        </row>
        <row r="408">
          <cell r="A408" t="str">
            <v>Frt50870</v>
          </cell>
          <cell r="B408">
            <v>1</v>
          </cell>
          <cell r="C408">
            <v>0</v>
          </cell>
        </row>
        <row r="409">
          <cell r="A409" t="str">
            <v>Frt52167</v>
          </cell>
          <cell r="B409">
            <v>6</v>
          </cell>
          <cell r="C409">
            <v>28</v>
          </cell>
        </row>
        <row r="410">
          <cell r="A410" t="str">
            <v>Frt53635</v>
          </cell>
          <cell r="B410">
            <v>1</v>
          </cell>
          <cell r="C410">
            <v>0</v>
          </cell>
        </row>
        <row r="411">
          <cell r="A411" t="str">
            <v>Frt55001</v>
          </cell>
          <cell r="B411">
            <v>6</v>
          </cell>
          <cell r="C411">
            <v>20</v>
          </cell>
        </row>
        <row r="412">
          <cell r="A412" t="str">
            <v>Frt55597</v>
          </cell>
          <cell r="B412">
            <v>1</v>
          </cell>
          <cell r="C412">
            <v>12</v>
          </cell>
        </row>
        <row r="413">
          <cell r="A413" t="str">
            <v>Frt55940</v>
          </cell>
          <cell r="B413">
            <v>6</v>
          </cell>
          <cell r="C413">
            <v>21</v>
          </cell>
        </row>
        <row r="414">
          <cell r="A414" t="str">
            <v>Frt56323</v>
          </cell>
          <cell r="B414">
            <v>1</v>
          </cell>
          <cell r="C414">
            <v>0</v>
          </cell>
        </row>
        <row r="415">
          <cell r="A415" t="str">
            <v>Frt56382</v>
          </cell>
          <cell r="B415">
            <v>1</v>
          </cell>
          <cell r="C415">
            <v>0</v>
          </cell>
        </row>
        <row r="416">
          <cell r="A416" t="str">
            <v>Frt56474</v>
          </cell>
          <cell r="B416">
            <v>1</v>
          </cell>
          <cell r="C416">
            <v>0</v>
          </cell>
        </row>
        <row r="417">
          <cell r="A417" t="str">
            <v>Frt57276</v>
          </cell>
          <cell r="B417">
            <v>1</v>
          </cell>
          <cell r="C417">
            <v>8</v>
          </cell>
        </row>
        <row r="418">
          <cell r="A418" t="str">
            <v>Frt57278</v>
          </cell>
          <cell r="B418">
            <v>1</v>
          </cell>
          <cell r="C418">
            <v>4</v>
          </cell>
        </row>
        <row r="419">
          <cell r="A419" t="str">
            <v>Frt57320</v>
          </cell>
          <cell r="B419">
            <v>1</v>
          </cell>
          <cell r="C419">
            <v>0</v>
          </cell>
        </row>
        <row r="420">
          <cell r="A420" t="str">
            <v>Frt57323</v>
          </cell>
          <cell r="B420">
            <v>6</v>
          </cell>
          <cell r="C420">
            <v>19</v>
          </cell>
        </row>
        <row r="421">
          <cell r="A421" t="str">
            <v>Frt57326</v>
          </cell>
          <cell r="B421">
            <v>1</v>
          </cell>
          <cell r="C421">
            <v>0</v>
          </cell>
        </row>
        <row r="422">
          <cell r="A422" t="str">
            <v>Frt57741</v>
          </cell>
          <cell r="B422">
            <v>2</v>
          </cell>
          <cell r="C422">
            <v>13</v>
          </cell>
        </row>
        <row r="423">
          <cell r="A423" t="str">
            <v>Frt58749</v>
          </cell>
          <cell r="B423">
            <v>1</v>
          </cell>
          <cell r="C423">
            <v>10</v>
          </cell>
        </row>
        <row r="424">
          <cell r="A424" t="str">
            <v>Frt58871</v>
          </cell>
          <cell r="B424">
            <v>1</v>
          </cell>
          <cell r="C424">
            <v>0</v>
          </cell>
        </row>
        <row r="425">
          <cell r="A425" t="str">
            <v>Frt58872</v>
          </cell>
          <cell r="B425">
            <v>1</v>
          </cell>
          <cell r="C425">
            <v>0</v>
          </cell>
        </row>
        <row r="426">
          <cell r="A426" t="str">
            <v>Frt59384</v>
          </cell>
          <cell r="B426">
            <v>1</v>
          </cell>
          <cell r="C426">
            <v>0</v>
          </cell>
        </row>
        <row r="427">
          <cell r="A427" t="str">
            <v>Frt59864</v>
          </cell>
          <cell r="B427">
            <v>5</v>
          </cell>
          <cell r="C427">
            <v>16</v>
          </cell>
        </row>
        <row r="428">
          <cell r="A428" t="str">
            <v>Frt60146</v>
          </cell>
          <cell r="B428">
            <v>6</v>
          </cell>
          <cell r="C428">
            <v>17</v>
          </cell>
        </row>
        <row r="429">
          <cell r="A429" t="str">
            <v>Frt60178</v>
          </cell>
          <cell r="B429">
            <v>1</v>
          </cell>
          <cell r="C429">
            <v>0</v>
          </cell>
        </row>
        <row r="430">
          <cell r="A430" t="str">
            <v>Frt60179</v>
          </cell>
          <cell r="B430">
            <v>1</v>
          </cell>
          <cell r="C430">
            <v>0</v>
          </cell>
        </row>
        <row r="431">
          <cell r="A431" t="str">
            <v>Frt60183</v>
          </cell>
          <cell r="B431">
            <v>1</v>
          </cell>
          <cell r="C431">
            <v>0</v>
          </cell>
        </row>
        <row r="432">
          <cell r="A432" t="str">
            <v>Frt60282</v>
          </cell>
          <cell r="B432">
            <v>1</v>
          </cell>
          <cell r="C432">
            <v>0</v>
          </cell>
        </row>
        <row r="433">
          <cell r="A433" t="str">
            <v>Frt60283</v>
          </cell>
          <cell r="B433">
            <v>1</v>
          </cell>
          <cell r="C433">
            <v>0</v>
          </cell>
        </row>
        <row r="434">
          <cell r="A434" t="str">
            <v>Frt60310</v>
          </cell>
          <cell r="B434">
            <v>1</v>
          </cell>
          <cell r="C434">
            <v>0</v>
          </cell>
        </row>
        <row r="435">
          <cell r="A435" t="str">
            <v>Frt60347</v>
          </cell>
          <cell r="B435">
            <v>5</v>
          </cell>
          <cell r="C435">
            <v>16</v>
          </cell>
        </row>
        <row r="436">
          <cell r="A436" t="str">
            <v>Frt60355</v>
          </cell>
          <cell r="B436">
            <v>4</v>
          </cell>
          <cell r="C436">
            <v>15</v>
          </cell>
        </row>
        <row r="437">
          <cell r="A437" t="str">
            <v>Frt60357</v>
          </cell>
          <cell r="B437">
            <v>2</v>
          </cell>
          <cell r="C437">
            <v>13</v>
          </cell>
        </row>
        <row r="438">
          <cell r="A438" t="str">
            <v>Frt60363</v>
          </cell>
          <cell r="B438">
            <v>5</v>
          </cell>
          <cell r="C438">
            <v>16</v>
          </cell>
        </row>
        <row r="439">
          <cell r="A439" t="str">
            <v>Frt60379</v>
          </cell>
          <cell r="B439">
            <v>1</v>
          </cell>
          <cell r="C439">
            <v>0</v>
          </cell>
        </row>
        <row r="440">
          <cell r="A440" t="str">
            <v>Frt60380</v>
          </cell>
          <cell r="B440">
            <v>1</v>
          </cell>
          <cell r="C440">
            <v>0</v>
          </cell>
        </row>
        <row r="441">
          <cell r="A441" t="str">
            <v>Frt60381</v>
          </cell>
          <cell r="B441">
            <v>5</v>
          </cell>
          <cell r="C441">
            <v>16</v>
          </cell>
        </row>
        <row r="442">
          <cell r="A442" t="str">
            <v>Frt60382</v>
          </cell>
          <cell r="B442">
            <v>5</v>
          </cell>
          <cell r="C442">
            <v>16</v>
          </cell>
        </row>
        <row r="443">
          <cell r="A443" t="str">
            <v>Frt60383</v>
          </cell>
          <cell r="B443">
            <v>1</v>
          </cell>
          <cell r="C443">
            <v>9</v>
          </cell>
        </row>
        <row r="444">
          <cell r="A444" t="str">
            <v>Frt60384</v>
          </cell>
          <cell r="B444">
            <v>1</v>
          </cell>
          <cell r="C444">
            <v>0</v>
          </cell>
        </row>
        <row r="445">
          <cell r="A445" t="str">
            <v>Frt60385</v>
          </cell>
          <cell r="B445">
            <v>1</v>
          </cell>
          <cell r="C445">
            <v>10</v>
          </cell>
        </row>
        <row r="446">
          <cell r="A446" t="str">
            <v>Frt60479</v>
          </cell>
          <cell r="B446">
            <v>1</v>
          </cell>
          <cell r="C446">
            <v>0</v>
          </cell>
        </row>
        <row r="447">
          <cell r="A447" t="str">
            <v>Frt60495</v>
          </cell>
          <cell r="B447">
            <v>5</v>
          </cell>
          <cell r="C447">
            <v>16</v>
          </cell>
        </row>
        <row r="448">
          <cell r="A448" t="str">
            <v>Frt60577</v>
          </cell>
          <cell r="B448">
            <v>1</v>
          </cell>
          <cell r="C448">
            <v>7</v>
          </cell>
        </row>
        <row r="449">
          <cell r="A449" t="str">
            <v>Frt60939</v>
          </cell>
          <cell r="B449">
            <v>2</v>
          </cell>
          <cell r="C449">
            <v>13</v>
          </cell>
        </row>
        <row r="450">
          <cell r="A450" t="str">
            <v>Frt60949</v>
          </cell>
          <cell r="B450">
            <v>4</v>
          </cell>
          <cell r="C450">
            <v>15</v>
          </cell>
        </row>
        <row r="451">
          <cell r="A451" t="str">
            <v>Frt61063</v>
          </cell>
          <cell r="B451">
            <v>1</v>
          </cell>
          <cell r="C451">
            <v>3</v>
          </cell>
        </row>
        <row r="452">
          <cell r="A452" t="str">
            <v>Frt61064</v>
          </cell>
          <cell r="B452">
            <v>1</v>
          </cell>
          <cell r="C452">
            <v>0</v>
          </cell>
        </row>
        <row r="453">
          <cell r="A453" t="str">
            <v>Frt63439</v>
          </cell>
          <cell r="B453">
            <v>1</v>
          </cell>
          <cell r="C453">
            <v>0</v>
          </cell>
        </row>
        <row r="454">
          <cell r="A454" t="str">
            <v>Frt63523</v>
          </cell>
          <cell r="B454">
            <v>2</v>
          </cell>
          <cell r="C454">
            <v>13</v>
          </cell>
        </row>
        <row r="455">
          <cell r="A455" t="str">
            <v>Frt63912</v>
          </cell>
          <cell r="B455">
            <v>1</v>
          </cell>
          <cell r="C455">
            <v>11</v>
          </cell>
        </row>
        <row r="456">
          <cell r="A456" t="str">
            <v>Frt65074</v>
          </cell>
          <cell r="B456">
            <v>1</v>
          </cell>
          <cell r="C456">
            <v>3</v>
          </cell>
        </row>
        <row r="457">
          <cell r="A457" t="str">
            <v>Frt66650</v>
          </cell>
          <cell r="B457">
            <v>1</v>
          </cell>
          <cell r="C457">
            <v>9</v>
          </cell>
        </row>
        <row r="458">
          <cell r="A458" t="str">
            <v>Frt66653</v>
          </cell>
          <cell r="B458">
            <v>1</v>
          </cell>
          <cell r="C458">
            <v>10</v>
          </cell>
        </row>
        <row r="459">
          <cell r="A459" t="str">
            <v>Frt67404</v>
          </cell>
          <cell r="B459">
            <v>1</v>
          </cell>
          <cell r="C459">
            <v>10</v>
          </cell>
        </row>
        <row r="460">
          <cell r="A460" t="str">
            <v>Frt67479</v>
          </cell>
          <cell r="B460">
            <v>1</v>
          </cell>
          <cell r="C460">
            <v>9</v>
          </cell>
        </row>
        <row r="461">
          <cell r="A461" t="str">
            <v>Frt69680</v>
          </cell>
          <cell r="B461">
            <v>1</v>
          </cell>
          <cell r="C461">
            <v>10</v>
          </cell>
        </row>
        <row r="462">
          <cell r="A462" t="str">
            <v>Frt70930</v>
          </cell>
          <cell r="B462">
            <v>1</v>
          </cell>
          <cell r="C462">
            <v>9</v>
          </cell>
        </row>
        <row r="463">
          <cell r="A463" t="str">
            <v>Frt72623</v>
          </cell>
          <cell r="B463">
            <v>1</v>
          </cell>
          <cell r="C463">
            <v>0</v>
          </cell>
        </row>
        <row r="464">
          <cell r="A464" t="str">
            <v>Frt72624</v>
          </cell>
          <cell r="B464">
            <v>1</v>
          </cell>
          <cell r="C464">
            <v>0</v>
          </cell>
        </row>
        <row r="465">
          <cell r="A465" t="str">
            <v>Frt72637</v>
          </cell>
          <cell r="B465">
            <v>1</v>
          </cell>
          <cell r="C465">
            <v>0</v>
          </cell>
        </row>
        <row r="466">
          <cell r="A466" t="str">
            <v>Frt72643</v>
          </cell>
          <cell r="B466">
            <v>1</v>
          </cell>
          <cell r="C466">
            <v>0</v>
          </cell>
        </row>
        <row r="467">
          <cell r="A467" t="str">
            <v>Frt72645</v>
          </cell>
          <cell r="B467">
            <v>1</v>
          </cell>
          <cell r="C467">
            <v>8</v>
          </cell>
        </row>
        <row r="468">
          <cell r="A468" t="str">
            <v>Frt72647</v>
          </cell>
          <cell r="B468">
            <v>1</v>
          </cell>
          <cell r="C468">
            <v>0</v>
          </cell>
        </row>
        <row r="469">
          <cell r="A469" t="str">
            <v>Frt72648</v>
          </cell>
          <cell r="B469">
            <v>1</v>
          </cell>
          <cell r="C469">
            <v>0</v>
          </cell>
        </row>
        <row r="470">
          <cell r="A470" t="str">
            <v>Frt74068</v>
          </cell>
          <cell r="B470">
            <v>1</v>
          </cell>
          <cell r="C470">
            <v>0</v>
          </cell>
        </row>
        <row r="471">
          <cell r="A471" t="str">
            <v>Frt74069</v>
          </cell>
          <cell r="B471">
            <v>1</v>
          </cell>
          <cell r="C471">
            <v>8</v>
          </cell>
        </row>
        <row r="472">
          <cell r="A472" t="str">
            <v>Frt74471</v>
          </cell>
          <cell r="B472">
            <v>1</v>
          </cell>
          <cell r="C472">
            <v>0</v>
          </cell>
        </row>
        <row r="473">
          <cell r="A473" t="str">
            <v>Frt74633</v>
          </cell>
          <cell r="B473">
            <v>1</v>
          </cell>
          <cell r="C473">
            <v>7</v>
          </cell>
        </row>
        <row r="474">
          <cell r="A474" t="str">
            <v>Frt74678</v>
          </cell>
          <cell r="B474">
            <v>1</v>
          </cell>
          <cell r="C474">
            <v>7</v>
          </cell>
        </row>
        <row r="475">
          <cell r="A475" t="str">
            <v>Frt74682</v>
          </cell>
          <cell r="B475">
            <v>1</v>
          </cell>
          <cell r="C475">
            <v>5</v>
          </cell>
        </row>
        <row r="476">
          <cell r="A476" t="str">
            <v>Frt74807</v>
          </cell>
          <cell r="B476">
            <v>1</v>
          </cell>
          <cell r="C476">
            <v>0</v>
          </cell>
        </row>
        <row r="477">
          <cell r="A477" t="str">
            <v>Frt74959</v>
          </cell>
          <cell r="B477">
            <v>1</v>
          </cell>
          <cell r="C477">
            <v>5</v>
          </cell>
        </row>
        <row r="478">
          <cell r="A478" t="str">
            <v>Frt75437</v>
          </cell>
          <cell r="B478">
            <v>1</v>
          </cell>
          <cell r="C478">
            <v>0</v>
          </cell>
        </row>
        <row r="479">
          <cell r="A479" t="str">
            <v>Frt75502</v>
          </cell>
          <cell r="B479">
            <v>1</v>
          </cell>
          <cell r="C479">
            <v>3</v>
          </cell>
        </row>
        <row r="480">
          <cell r="A480" t="str">
            <v>Frt75541</v>
          </cell>
          <cell r="B480">
            <v>1</v>
          </cell>
          <cell r="C480">
            <v>6</v>
          </cell>
        </row>
        <row r="481">
          <cell r="A481" t="str">
            <v>Frt75633</v>
          </cell>
          <cell r="B481">
            <v>1</v>
          </cell>
          <cell r="C481">
            <v>6</v>
          </cell>
        </row>
        <row r="482">
          <cell r="A482" t="str">
            <v>Frt75765</v>
          </cell>
          <cell r="B482">
            <v>1</v>
          </cell>
          <cell r="C482">
            <v>0</v>
          </cell>
        </row>
        <row r="483">
          <cell r="A483" t="str">
            <v>Frt75767</v>
          </cell>
          <cell r="B483">
            <v>1</v>
          </cell>
          <cell r="C483">
            <v>0</v>
          </cell>
        </row>
        <row r="484">
          <cell r="A484" t="str">
            <v>Frt75820</v>
          </cell>
          <cell r="B484">
            <v>1</v>
          </cell>
          <cell r="C484">
            <v>0</v>
          </cell>
        </row>
        <row r="485">
          <cell r="A485" t="str">
            <v>Frt76591</v>
          </cell>
          <cell r="B485">
            <v>1</v>
          </cell>
          <cell r="C485">
            <v>0</v>
          </cell>
        </row>
        <row r="486">
          <cell r="A486" t="str">
            <v>Frt76607</v>
          </cell>
          <cell r="B486">
            <v>1</v>
          </cell>
          <cell r="C486">
            <v>6</v>
          </cell>
        </row>
        <row r="487">
          <cell r="A487" t="str">
            <v>Frt76767</v>
          </cell>
          <cell r="B487">
            <v>1</v>
          </cell>
          <cell r="C487">
            <v>6</v>
          </cell>
        </row>
        <row r="488">
          <cell r="A488" t="str">
            <v>Frt77061</v>
          </cell>
          <cell r="B488">
            <v>1</v>
          </cell>
          <cell r="C488">
            <v>0</v>
          </cell>
        </row>
        <row r="489">
          <cell r="A489" t="str">
            <v>Frt77552</v>
          </cell>
          <cell r="B489">
            <v>1</v>
          </cell>
          <cell r="C489">
            <v>5</v>
          </cell>
        </row>
        <row r="490">
          <cell r="A490" t="str">
            <v>Frt77553</v>
          </cell>
          <cell r="B490">
            <v>1</v>
          </cell>
          <cell r="C490">
            <v>5</v>
          </cell>
        </row>
        <row r="491">
          <cell r="A491" t="str">
            <v>Frt78079</v>
          </cell>
          <cell r="B491">
            <v>1</v>
          </cell>
          <cell r="C491">
            <v>5</v>
          </cell>
        </row>
        <row r="492">
          <cell r="A492" t="str">
            <v>Frt78456</v>
          </cell>
          <cell r="B492">
            <v>1</v>
          </cell>
          <cell r="C492">
            <v>4</v>
          </cell>
        </row>
        <row r="493">
          <cell r="A493" t="str">
            <v>Frt78533</v>
          </cell>
          <cell r="B493">
            <v>1</v>
          </cell>
          <cell r="C493">
            <v>0</v>
          </cell>
        </row>
        <row r="494">
          <cell r="A494" t="str">
            <v>Frt78573</v>
          </cell>
          <cell r="B494">
            <v>1</v>
          </cell>
          <cell r="C494">
            <v>0</v>
          </cell>
        </row>
        <row r="495">
          <cell r="A495" t="str">
            <v>Frt79884</v>
          </cell>
          <cell r="B495">
            <v>1</v>
          </cell>
          <cell r="C495">
            <v>3</v>
          </cell>
        </row>
        <row r="496">
          <cell r="A496" t="str">
            <v>Frt79884</v>
          </cell>
          <cell r="B496">
            <v>1</v>
          </cell>
          <cell r="C496">
            <v>3</v>
          </cell>
        </row>
        <row r="497">
          <cell r="A497" t="str">
            <v>Frt81739</v>
          </cell>
          <cell r="B497">
            <v>1</v>
          </cell>
          <cell r="C497">
            <v>3</v>
          </cell>
        </row>
        <row r="498">
          <cell r="A498" t="str">
            <v>Frt81782</v>
          </cell>
          <cell r="B498">
            <v>1</v>
          </cell>
          <cell r="C498">
            <v>3</v>
          </cell>
        </row>
        <row r="499">
          <cell r="A499" t="str">
            <v>Frt81825</v>
          </cell>
          <cell r="B499">
            <v>1</v>
          </cell>
          <cell r="C499">
            <v>0</v>
          </cell>
        </row>
        <row r="500">
          <cell r="A500" t="str">
            <v>Frt82055</v>
          </cell>
          <cell r="B500">
            <v>1</v>
          </cell>
          <cell r="C500">
            <v>2</v>
          </cell>
        </row>
        <row r="501">
          <cell r="A501" t="str">
            <v>Frt82151</v>
          </cell>
          <cell r="B501">
            <v>1</v>
          </cell>
          <cell r="C501">
            <v>0</v>
          </cell>
        </row>
        <row r="502">
          <cell r="A502" t="str">
            <v>Frt82184</v>
          </cell>
          <cell r="B502">
            <v>1</v>
          </cell>
          <cell r="C502">
            <v>3</v>
          </cell>
        </row>
        <row r="503">
          <cell r="A503" t="str">
            <v>Frt82214</v>
          </cell>
          <cell r="B503">
            <v>1</v>
          </cell>
          <cell r="C503">
            <v>0</v>
          </cell>
        </row>
        <row r="504">
          <cell r="A504" t="str">
            <v>Frt82543</v>
          </cell>
          <cell r="B504">
            <v>1</v>
          </cell>
          <cell r="C504">
            <v>0</v>
          </cell>
        </row>
        <row r="505">
          <cell r="A505" t="str">
            <v>Frt82664</v>
          </cell>
          <cell r="B505">
            <v>1</v>
          </cell>
          <cell r="C505">
            <v>0</v>
          </cell>
        </row>
        <row r="506">
          <cell r="A506" t="str">
            <v>Frt82826</v>
          </cell>
          <cell r="B506">
            <v>1</v>
          </cell>
          <cell r="C506">
            <v>2</v>
          </cell>
        </row>
        <row r="507">
          <cell r="A507" t="str">
            <v>Frt82951</v>
          </cell>
          <cell r="B507">
            <v>1</v>
          </cell>
          <cell r="C507">
            <v>0</v>
          </cell>
        </row>
        <row r="508">
          <cell r="A508" t="str">
            <v>Frt82962</v>
          </cell>
          <cell r="B508">
            <v>1</v>
          </cell>
          <cell r="C508">
            <v>0</v>
          </cell>
        </row>
        <row r="509">
          <cell r="A509" t="str">
            <v>Frt83749</v>
          </cell>
          <cell r="B509">
            <v>1</v>
          </cell>
          <cell r="C509">
            <v>2</v>
          </cell>
        </row>
        <row r="510">
          <cell r="A510" t="str">
            <v>Frt83755</v>
          </cell>
          <cell r="B510">
            <v>1</v>
          </cell>
          <cell r="C510">
            <v>1</v>
          </cell>
        </row>
        <row r="511">
          <cell r="A511" t="str">
            <v>Frt76575</v>
          </cell>
          <cell r="B511">
            <v>1</v>
          </cell>
          <cell r="C511">
            <v>0</v>
          </cell>
        </row>
        <row r="512">
          <cell r="A512" t="str">
            <v>Frt76740</v>
          </cell>
          <cell r="B512">
            <v>1</v>
          </cell>
          <cell r="C512">
            <v>0</v>
          </cell>
        </row>
        <row r="513">
          <cell r="A513" t="str">
            <v>Frt76767</v>
          </cell>
          <cell r="B513">
            <v>1</v>
          </cell>
          <cell r="C513">
            <v>6</v>
          </cell>
        </row>
        <row r="514">
          <cell r="A514" t="str">
            <v>Frt77061</v>
          </cell>
          <cell r="B514">
            <v>1</v>
          </cell>
          <cell r="C514">
            <v>0</v>
          </cell>
        </row>
        <row r="515">
          <cell r="A515" t="str">
            <v>Frt77552</v>
          </cell>
          <cell r="B515">
            <v>1</v>
          </cell>
          <cell r="C515">
            <v>5</v>
          </cell>
        </row>
        <row r="516">
          <cell r="A516" t="str">
            <v>Frt77553</v>
          </cell>
          <cell r="B516">
            <v>1</v>
          </cell>
          <cell r="C516">
            <v>5</v>
          </cell>
        </row>
        <row r="517">
          <cell r="A517" t="str">
            <v>Frt78079</v>
          </cell>
          <cell r="B517">
            <v>1</v>
          </cell>
          <cell r="C517">
            <v>5</v>
          </cell>
        </row>
        <row r="518">
          <cell r="A518" t="str">
            <v>Frt78456</v>
          </cell>
          <cell r="B518">
            <v>1</v>
          </cell>
          <cell r="C518">
            <v>4</v>
          </cell>
        </row>
        <row r="519">
          <cell r="A519" t="str">
            <v>Frt78533</v>
          </cell>
          <cell r="B519">
            <v>1</v>
          </cell>
          <cell r="C519">
            <v>0</v>
          </cell>
        </row>
        <row r="520">
          <cell r="A520" t="str">
            <v>Frt78573</v>
          </cell>
          <cell r="B520">
            <v>1</v>
          </cell>
          <cell r="C520">
            <v>0</v>
          </cell>
        </row>
        <row r="521">
          <cell r="A521" t="str">
            <v>Frt79884</v>
          </cell>
          <cell r="B521">
            <v>1</v>
          </cell>
          <cell r="C521">
            <v>3</v>
          </cell>
        </row>
        <row r="522">
          <cell r="A522" t="str">
            <v>Frt81739</v>
          </cell>
          <cell r="B522">
            <v>1</v>
          </cell>
          <cell r="C522">
            <v>3</v>
          </cell>
        </row>
        <row r="523">
          <cell r="A523" t="str">
            <v>Frt81782</v>
          </cell>
          <cell r="B523">
            <v>1</v>
          </cell>
          <cell r="C523">
            <v>3</v>
          </cell>
        </row>
        <row r="524">
          <cell r="A524" t="str">
            <v>Frt81825</v>
          </cell>
          <cell r="B524">
            <v>1</v>
          </cell>
          <cell r="C524">
            <v>0</v>
          </cell>
        </row>
        <row r="525">
          <cell r="A525" t="str">
            <v>Frt82055</v>
          </cell>
          <cell r="B525">
            <v>1</v>
          </cell>
          <cell r="C525">
            <v>2</v>
          </cell>
        </row>
        <row r="526">
          <cell r="A526" t="str">
            <v>Frt82151</v>
          </cell>
          <cell r="B526">
            <v>1</v>
          </cell>
          <cell r="C526">
            <v>0</v>
          </cell>
        </row>
        <row r="527">
          <cell r="A527" t="str">
            <v>Frt82184</v>
          </cell>
          <cell r="B527">
            <v>1</v>
          </cell>
          <cell r="C527">
            <v>3</v>
          </cell>
        </row>
        <row r="528">
          <cell r="A528" t="str">
            <v>Frt82214</v>
          </cell>
          <cell r="B528">
            <v>1</v>
          </cell>
          <cell r="C528">
            <v>0</v>
          </cell>
        </row>
        <row r="529">
          <cell r="A529" t="str">
            <v>Frt82543</v>
          </cell>
          <cell r="B529">
            <v>1</v>
          </cell>
          <cell r="C529">
            <v>0</v>
          </cell>
        </row>
        <row r="530">
          <cell r="A530" t="str">
            <v>Frt82664</v>
          </cell>
          <cell r="B530">
            <v>1</v>
          </cell>
          <cell r="C530">
            <v>0</v>
          </cell>
        </row>
        <row r="531">
          <cell r="A531" t="str">
            <v>Frt82826</v>
          </cell>
          <cell r="B531">
            <v>1</v>
          </cell>
          <cell r="C531">
            <v>2</v>
          </cell>
        </row>
        <row r="532">
          <cell r="A532" t="str">
            <v>Frt82944</v>
          </cell>
          <cell r="B532">
            <v>1</v>
          </cell>
          <cell r="C532">
            <v>1</v>
          </cell>
        </row>
        <row r="533">
          <cell r="A533" t="str">
            <v>Frt82946</v>
          </cell>
          <cell r="B533">
            <v>1</v>
          </cell>
          <cell r="C533">
            <v>0</v>
          </cell>
        </row>
        <row r="534">
          <cell r="A534" t="str">
            <v>Frt82949</v>
          </cell>
          <cell r="B534">
            <v>1</v>
          </cell>
          <cell r="C534">
            <v>2</v>
          </cell>
        </row>
        <row r="535">
          <cell r="A535" t="str">
            <v>Frt82950</v>
          </cell>
          <cell r="B535">
            <v>1</v>
          </cell>
          <cell r="C535">
            <v>0</v>
          </cell>
        </row>
        <row r="536">
          <cell r="A536" t="str">
            <v>Frt82951</v>
          </cell>
          <cell r="B536">
            <v>1</v>
          </cell>
          <cell r="C536">
            <v>0</v>
          </cell>
        </row>
        <row r="537">
          <cell r="A537" t="str">
            <v>Frt82952</v>
          </cell>
          <cell r="B537">
            <v>1</v>
          </cell>
          <cell r="C537">
            <v>0</v>
          </cell>
        </row>
        <row r="538">
          <cell r="A538" t="str">
            <v>Frt82962</v>
          </cell>
          <cell r="B538">
            <v>1</v>
          </cell>
          <cell r="C538">
            <v>0</v>
          </cell>
        </row>
        <row r="539">
          <cell r="A539" t="str">
            <v>Frt83749</v>
          </cell>
          <cell r="B539">
            <v>1</v>
          </cell>
          <cell r="C539">
            <v>2</v>
          </cell>
        </row>
        <row r="540">
          <cell r="A540" t="str">
            <v>Frt83755</v>
          </cell>
          <cell r="B540">
            <v>1</v>
          </cell>
          <cell r="C540">
            <v>1</v>
          </cell>
        </row>
        <row r="541">
          <cell r="A541" t="str">
            <v>Frt84720</v>
          </cell>
          <cell r="B541">
            <v>1</v>
          </cell>
          <cell r="C541">
            <v>0</v>
          </cell>
        </row>
        <row r="542">
          <cell r="A542" t="str">
            <v>Frt84721</v>
          </cell>
          <cell r="B542">
            <v>1</v>
          </cell>
          <cell r="C542">
            <v>0</v>
          </cell>
        </row>
        <row r="543">
          <cell r="A543" t="str">
            <v>Frt86149</v>
          </cell>
          <cell r="B543">
            <v>1</v>
          </cell>
          <cell r="C543">
            <v>0</v>
          </cell>
        </row>
        <row r="544">
          <cell r="A544" t="str">
            <v>Frt86151</v>
          </cell>
          <cell r="B544">
            <v>1</v>
          </cell>
          <cell r="C544">
            <v>0</v>
          </cell>
        </row>
        <row r="545">
          <cell r="A545" t="str">
            <v>Frt87782</v>
          </cell>
          <cell r="B545">
            <v>1</v>
          </cell>
          <cell r="C545">
            <v>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4937-F97B-49CC-9719-77E24999B222}">
  <sheetPr filterMode="1"/>
  <dimension ref="A1:Q59"/>
  <sheetViews>
    <sheetView tabSelected="1" topLeftCell="G11" workbookViewId="0">
      <selection activeCell="P2" sqref="P2:Q34"/>
    </sheetView>
  </sheetViews>
  <sheetFormatPr baseColWidth="10" defaultColWidth="11.08984375" defaultRowHeight="14.5" x14ac:dyDescent="0.35"/>
  <cols>
    <col min="1" max="1" width="7.1796875" bestFit="1" customWidth="1"/>
    <col min="2" max="2" width="6.81640625" bestFit="1" customWidth="1"/>
    <col min="3" max="3" width="10" bestFit="1" customWidth="1"/>
    <col min="4" max="4" width="44.36328125" bestFit="1" customWidth="1"/>
    <col min="5" max="5" width="13.1796875" bestFit="1" customWidth="1"/>
    <col min="6" max="6" width="11" bestFit="1" customWidth="1"/>
    <col min="7" max="7" width="50" bestFit="1" customWidth="1"/>
    <col min="8" max="8" width="5.54296875" bestFit="1" customWidth="1"/>
    <col min="9" max="9" width="10.6328125" bestFit="1" customWidth="1"/>
    <col min="10" max="10" width="14.90625" bestFit="1" customWidth="1"/>
    <col min="11" max="11" width="9" bestFit="1" customWidth="1"/>
    <col min="12" max="12" width="10" bestFit="1" customWidth="1"/>
    <col min="13" max="13" width="11.08984375" bestFit="1" customWidth="1"/>
    <col min="14" max="14" width="13.90625" customWidth="1"/>
    <col min="15" max="15" width="12" bestFit="1" customWidth="1"/>
  </cols>
  <sheetData>
    <row r="1" spans="1:17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79</v>
      </c>
      <c r="P1" s="1" t="s">
        <v>82</v>
      </c>
      <c r="Q1" s="1" t="s">
        <v>83</v>
      </c>
    </row>
    <row r="2" spans="1:17" x14ac:dyDescent="0.35">
      <c r="A2" s="3">
        <v>2025</v>
      </c>
      <c r="B2" s="3">
        <v>12</v>
      </c>
      <c r="C2" s="3">
        <v>901588412</v>
      </c>
      <c r="D2" s="3" t="s">
        <v>17</v>
      </c>
      <c r="E2" s="3" t="s">
        <v>18</v>
      </c>
      <c r="F2" s="3">
        <v>1295010112</v>
      </c>
      <c r="G2" s="3" t="s">
        <v>19</v>
      </c>
      <c r="H2" s="3">
        <v>1</v>
      </c>
      <c r="I2" s="3" t="s">
        <v>14</v>
      </c>
      <c r="J2" s="3" t="s">
        <v>15</v>
      </c>
      <c r="K2" s="3">
        <v>1193</v>
      </c>
      <c r="L2" s="3">
        <v>296136</v>
      </c>
      <c r="M2" s="3">
        <f>+VLOOKUP(E2,'[1]VALOR M'!A:C,2,FALSE)</f>
        <v>1</v>
      </c>
      <c r="N2" s="3">
        <f>+VLOOKUP(E2,'[1]VALOR M'!A:C,3,FALSE)</f>
        <v>0</v>
      </c>
      <c r="O2">
        <v>0</v>
      </c>
      <c r="P2">
        <v>248.22771</v>
      </c>
      <c r="Q2">
        <v>289.65809999999999</v>
      </c>
    </row>
    <row r="3" spans="1:17" x14ac:dyDescent="0.35">
      <c r="A3" s="3">
        <v>2025</v>
      </c>
      <c r="B3" s="3">
        <v>12</v>
      </c>
      <c r="C3" s="3">
        <v>901588412</v>
      </c>
      <c r="D3" s="3" t="s">
        <v>17</v>
      </c>
      <c r="E3" s="3" t="s">
        <v>20</v>
      </c>
      <c r="F3" s="3">
        <v>1236415462</v>
      </c>
      <c r="G3" s="3" t="s">
        <v>21</v>
      </c>
      <c r="H3" s="3">
        <v>1</v>
      </c>
      <c r="I3" s="3" t="s">
        <v>14</v>
      </c>
      <c r="J3" s="3" t="s">
        <v>15</v>
      </c>
      <c r="K3" s="3">
        <v>5570</v>
      </c>
      <c r="L3" s="3">
        <v>921407</v>
      </c>
      <c r="M3" s="3">
        <f>+VLOOKUP(E3,'[1]VALOR M'!A:C,2,FALSE)</f>
        <v>1</v>
      </c>
      <c r="N3" s="3">
        <f>+VLOOKUP(E3,'[1]VALOR M'!A:C,3,FALSE)</f>
        <v>0</v>
      </c>
      <c r="O3">
        <v>0</v>
      </c>
      <c r="P3">
        <v>165.42318</v>
      </c>
      <c r="Q3">
        <v>206.85356999999999</v>
      </c>
    </row>
    <row r="4" spans="1:17" x14ac:dyDescent="0.35">
      <c r="A4" s="3">
        <v>2025</v>
      </c>
      <c r="B4" s="3">
        <v>12</v>
      </c>
      <c r="C4" s="3">
        <v>901588412</v>
      </c>
      <c r="D4" s="3" t="s">
        <v>17</v>
      </c>
      <c r="E4" s="3" t="s">
        <v>22</v>
      </c>
      <c r="F4" s="3">
        <v>1295000243</v>
      </c>
      <c r="G4" s="3" t="s">
        <v>23</v>
      </c>
      <c r="H4" s="3">
        <v>1</v>
      </c>
      <c r="I4" s="3" t="s">
        <v>14</v>
      </c>
      <c r="J4" s="3" t="s">
        <v>15</v>
      </c>
      <c r="K4" s="3">
        <v>3555</v>
      </c>
      <c r="L4" s="3">
        <v>882449</v>
      </c>
      <c r="M4" s="3">
        <f>+VLOOKUP(E4,'[1]VALOR M'!A:C,2,FALSE)</f>
        <v>1</v>
      </c>
      <c r="N4" s="3">
        <f>+VLOOKUP(E4,'[1]VALOR M'!A:C,3,FALSE)</f>
        <v>0</v>
      </c>
      <c r="O4">
        <v>0</v>
      </c>
      <c r="P4">
        <v>248.22771</v>
      </c>
      <c r="Q4">
        <v>289.65809999999999</v>
      </c>
    </row>
    <row r="5" spans="1:17" x14ac:dyDescent="0.35">
      <c r="A5" s="3">
        <v>2025</v>
      </c>
      <c r="B5" s="3">
        <v>12</v>
      </c>
      <c r="C5" s="3">
        <v>901588412</v>
      </c>
      <c r="D5" s="3" t="s">
        <v>17</v>
      </c>
      <c r="E5" s="3" t="s">
        <v>24</v>
      </c>
      <c r="F5" s="3">
        <v>1291404003</v>
      </c>
      <c r="G5" s="3" t="s">
        <v>25</v>
      </c>
      <c r="H5" s="3">
        <v>1</v>
      </c>
      <c r="I5" s="3" t="s">
        <v>14</v>
      </c>
      <c r="J5" s="3" t="s">
        <v>15</v>
      </c>
      <c r="K5" s="3">
        <v>4659</v>
      </c>
      <c r="L5" s="3">
        <v>770707</v>
      </c>
      <c r="M5" s="3">
        <f>+VLOOKUP(E5,'[1]VALOR M'!A:C,2,FALSE)</f>
        <v>1</v>
      </c>
      <c r="N5" s="3">
        <f>+VLOOKUP(E5,'[1]VALOR M'!A:C,3,FALSE)</f>
        <v>5</v>
      </c>
      <c r="O5">
        <f>_xlfn.XLOOKUP(E5,Hoja1!E:E,Hoja1!K:K)</f>
        <v>249</v>
      </c>
      <c r="P5">
        <v>165.42318</v>
      </c>
      <c r="Q5">
        <f>_xlfn.XLOOKUP(E5,Hoja1!E:E,Hoja1!P:P)</f>
        <v>206.85356999999999</v>
      </c>
    </row>
    <row r="6" spans="1:17" x14ac:dyDescent="0.35">
      <c r="A6" s="3">
        <v>2025</v>
      </c>
      <c r="B6" s="3">
        <v>12</v>
      </c>
      <c r="C6" s="3">
        <v>901588412</v>
      </c>
      <c r="D6" s="3" t="s">
        <v>17</v>
      </c>
      <c r="E6" s="3" t="s">
        <v>26</v>
      </c>
      <c r="F6" s="3">
        <v>1289123078</v>
      </c>
      <c r="G6" s="3" t="s">
        <v>27</v>
      </c>
      <c r="H6" s="3">
        <v>1</v>
      </c>
      <c r="I6" s="3" t="s">
        <v>14</v>
      </c>
      <c r="J6" s="3" t="s">
        <v>15</v>
      </c>
      <c r="K6" s="3">
        <v>915</v>
      </c>
      <c r="L6" s="3">
        <v>227128</v>
      </c>
      <c r="M6" s="3">
        <f>+VLOOKUP(E6,'[1]VALOR M'!A:C,2,FALSE)</f>
        <v>1</v>
      </c>
      <c r="N6" s="3">
        <f>+VLOOKUP(E6,'[1]VALOR M'!A:C,3,FALSE)</f>
        <v>0</v>
      </c>
      <c r="O6">
        <v>0</v>
      </c>
      <c r="P6">
        <v>248.22771</v>
      </c>
      <c r="Q6">
        <v>289.65809999999999</v>
      </c>
    </row>
    <row r="7" spans="1:17" x14ac:dyDescent="0.35">
      <c r="A7" s="3">
        <v>2025</v>
      </c>
      <c r="B7" s="3">
        <v>12</v>
      </c>
      <c r="C7" s="3">
        <v>901588412</v>
      </c>
      <c r="D7" s="3" t="s">
        <v>17</v>
      </c>
      <c r="E7" s="3" t="s">
        <v>28</v>
      </c>
      <c r="F7" s="3">
        <v>1237710707</v>
      </c>
      <c r="G7" s="3" t="s">
        <v>29</v>
      </c>
      <c r="H7" s="3">
        <v>1</v>
      </c>
      <c r="I7" s="3" t="s">
        <v>14</v>
      </c>
      <c r="J7" s="3" t="s">
        <v>15</v>
      </c>
      <c r="K7" s="3">
        <v>199</v>
      </c>
      <c r="L7" s="3">
        <v>49397</v>
      </c>
      <c r="M7" s="3">
        <f>+VLOOKUP(E7,'[1]VALOR M'!A:C,2,FALSE)</f>
        <v>10</v>
      </c>
      <c r="N7" s="3">
        <f>+VLOOKUP(E7,'[1]VALOR M'!A:C,3,FALSE)</f>
        <v>32</v>
      </c>
      <c r="O7">
        <f>_xlfn.XLOOKUP(E7,Hoja1!E:E,Hoja1!K:K)</f>
        <v>3</v>
      </c>
      <c r="P7">
        <v>248.22771</v>
      </c>
      <c r="Q7">
        <f>_xlfn.XLOOKUP(E7,Hoja1!E:E,Hoja1!P:P)</f>
        <v>289.65809999999999</v>
      </c>
    </row>
    <row r="8" spans="1:17" x14ac:dyDescent="0.35">
      <c r="A8" s="3">
        <v>2025</v>
      </c>
      <c r="B8" s="3">
        <v>12</v>
      </c>
      <c r="C8" s="3">
        <v>901588412</v>
      </c>
      <c r="D8" s="3" t="s">
        <v>17</v>
      </c>
      <c r="E8" s="3" t="s">
        <v>30</v>
      </c>
      <c r="F8" s="3">
        <v>1256408428</v>
      </c>
      <c r="G8" s="3" t="s">
        <v>31</v>
      </c>
      <c r="H8" s="3">
        <v>2</v>
      </c>
      <c r="I8" s="3" t="s">
        <v>14</v>
      </c>
      <c r="J8" s="3" t="s">
        <v>15</v>
      </c>
      <c r="K8" s="3">
        <v>26214</v>
      </c>
      <c r="L8" s="3">
        <v>4004765</v>
      </c>
      <c r="M8" s="3">
        <f>+VLOOKUP(E8,'[1]VALOR M'!A:C,2,FALSE)</f>
        <v>12</v>
      </c>
      <c r="N8" s="3">
        <f>+VLOOKUP(E8,'[1]VALOR M'!A:C,3,FALSE)</f>
        <v>60</v>
      </c>
      <c r="O8">
        <f>_xlfn.XLOOKUP(E8,Hoja1!E:E,Hoja1!K:K)</f>
        <v>91</v>
      </c>
      <c r="P8">
        <v>152.77200999999999</v>
      </c>
      <c r="Q8">
        <f>_xlfn.XLOOKUP(E8,Hoja1!E:E,Hoja1!P:P)</f>
        <v>189.56882999999999</v>
      </c>
    </row>
    <row r="9" spans="1:17" x14ac:dyDescent="0.35">
      <c r="A9" s="3">
        <v>2025</v>
      </c>
      <c r="B9" s="3">
        <v>12</v>
      </c>
      <c r="C9" s="3">
        <v>901588412</v>
      </c>
      <c r="D9" s="3" t="s">
        <v>17</v>
      </c>
      <c r="E9" s="3" t="s">
        <v>32</v>
      </c>
      <c r="F9" s="3">
        <v>1256411828</v>
      </c>
      <c r="G9" s="3" t="s">
        <v>33</v>
      </c>
      <c r="H9" s="3">
        <v>3</v>
      </c>
      <c r="I9" s="3" t="s">
        <v>14</v>
      </c>
      <c r="J9" s="3" t="s">
        <v>15</v>
      </c>
      <c r="K9" s="3">
        <v>232870</v>
      </c>
      <c r="L9" s="3">
        <v>20594254</v>
      </c>
      <c r="M9" s="3">
        <f>+VLOOKUP(E9,'[1]VALOR M'!A:C,2,FALSE)</f>
        <v>1</v>
      </c>
      <c r="N9" s="3">
        <f>+VLOOKUP(E9,'[1]VALOR M'!A:C,3,FALSE)</f>
        <v>3</v>
      </c>
      <c r="O9">
        <f>_xlfn.XLOOKUP(E9,Hoja1!E:E,Hoja1!K:K)</f>
        <v>11</v>
      </c>
      <c r="P9">
        <v>88.436710000000005</v>
      </c>
      <c r="Q9">
        <f>_xlfn.XLOOKUP(E9,Hoja1!E:E,Hoja1!P:P)</f>
        <v>124.95822</v>
      </c>
    </row>
    <row r="10" spans="1:17" x14ac:dyDescent="0.35">
      <c r="A10" s="3">
        <v>2025</v>
      </c>
      <c r="B10" s="3">
        <v>12</v>
      </c>
      <c r="C10" s="3">
        <v>901588412</v>
      </c>
      <c r="D10" s="3" t="s">
        <v>17</v>
      </c>
      <c r="E10" s="3" t="s">
        <v>34</v>
      </c>
      <c r="F10" s="3">
        <v>1237742088</v>
      </c>
      <c r="G10" s="3" t="s">
        <v>35</v>
      </c>
      <c r="H10" s="3">
        <v>1</v>
      </c>
      <c r="I10" s="3" t="s">
        <v>14</v>
      </c>
      <c r="J10" s="3" t="s">
        <v>15</v>
      </c>
      <c r="K10" s="3">
        <v>10892</v>
      </c>
      <c r="L10" s="3">
        <v>1801789</v>
      </c>
      <c r="M10" s="3">
        <f>+VLOOKUP(E10,'[1]VALOR M'!A:C,2,FALSE)</f>
        <v>1</v>
      </c>
      <c r="N10" s="3">
        <f>+VLOOKUP(E10,'[1]VALOR M'!A:C,3,FALSE)</f>
        <v>0</v>
      </c>
      <c r="O10">
        <f>_xlfn.XLOOKUP(E10,Hoja1!E:E,Hoja1!K:K)</f>
        <v>72</v>
      </c>
      <c r="P10">
        <v>165.42318</v>
      </c>
      <c r="Q10">
        <f>_xlfn.XLOOKUP(E10,Hoja1!E:E,Hoja1!P:P)</f>
        <v>206.85356999999999</v>
      </c>
    </row>
    <row r="11" spans="1:17" x14ac:dyDescent="0.35">
      <c r="A11" s="3">
        <v>2025</v>
      </c>
      <c r="B11" s="3">
        <v>12</v>
      </c>
      <c r="C11" s="3">
        <v>901588412</v>
      </c>
      <c r="D11" s="3" t="s">
        <v>17</v>
      </c>
      <c r="E11" s="3" t="s">
        <v>36</v>
      </c>
      <c r="F11" s="3">
        <v>1237737014</v>
      </c>
      <c r="G11" s="3" t="s">
        <v>37</v>
      </c>
      <c r="H11" s="3">
        <v>1</v>
      </c>
      <c r="I11" s="3" t="s">
        <v>14</v>
      </c>
      <c r="J11" s="3" t="s">
        <v>15</v>
      </c>
      <c r="K11" s="3">
        <v>6439</v>
      </c>
      <c r="L11" s="3">
        <v>1065160</v>
      </c>
      <c r="M11" s="3">
        <f>+VLOOKUP(E11,'[1]VALOR M'!A:C,2,FALSE)</f>
        <v>12</v>
      </c>
      <c r="N11" s="3">
        <f>+VLOOKUP(E11,'[1]VALOR M'!A:C,3,FALSE)</f>
        <v>60</v>
      </c>
      <c r="O11">
        <f>_xlfn.XLOOKUP(E11,Hoja1!E:E,Hoja1!K:K)</f>
        <v>44</v>
      </c>
      <c r="P11">
        <v>165.42318</v>
      </c>
      <c r="Q11">
        <f>_xlfn.XLOOKUP(E11,Hoja1!E:E,Hoja1!P:P)</f>
        <v>206.85356999999999</v>
      </c>
    </row>
    <row r="12" spans="1:17" x14ac:dyDescent="0.35">
      <c r="A12" s="3">
        <v>2025</v>
      </c>
      <c r="B12" s="3">
        <v>12</v>
      </c>
      <c r="C12" s="3">
        <v>901588412</v>
      </c>
      <c r="D12" s="3" t="s">
        <v>17</v>
      </c>
      <c r="E12" s="3" t="s">
        <v>38</v>
      </c>
      <c r="F12" s="3">
        <v>1237708184</v>
      </c>
      <c r="G12" s="3" t="s">
        <v>39</v>
      </c>
      <c r="H12" s="3">
        <v>1</v>
      </c>
      <c r="I12" s="3" t="s">
        <v>14</v>
      </c>
      <c r="J12" s="3" t="s">
        <v>15</v>
      </c>
      <c r="K12" s="3">
        <v>6612</v>
      </c>
      <c r="L12" s="3">
        <v>1093778</v>
      </c>
      <c r="M12" s="3">
        <f>+VLOOKUP(E12,'[1]VALOR M'!A:C,2,FALSE)</f>
        <v>1</v>
      </c>
      <c r="N12" s="3">
        <f>+VLOOKUP(E12,'[1]VALOR M'!A:C,3,FALSE)</f>
        <v>0</v>
      </c>
      <c r="O12">
        <f>_xlfn.XLOOKUP(E12,Hoja1!E:E,Hoja1!K:K)</f>
        <v>5</v>
      </c>
      <c r="P12">
        <v>165.42318</v>
      </c>
      <c r="Q12">
        <f>_xlfn.XLOOKUP(E12,Hoja1!E:E,Hoja1!P:P)</f>
        <v>206.85356999999999</v>
      </c>
    </row>
    <row r="13" spans="1:17" x14ac:dyDescent="0.35">
      <c r="A13" s="3">
        <v>2025</v>
      </c>
      <c r="B13" s="3">
        <v>12</v>
      </c>
      <c r="C13" s="3">
        <v>901588412</v>
      </c>
      <c r="D13" s="3" t="s">
        <v>17</v>
      </c>
      <c r="E13" s="3" t="s">
        <v>40</v>
      </c>
      <c r="F13" s="3">
        <v>1237700828</v>
      </c>
      <c r="G13" s="3" t="s">
        <v>41</v>
      </c>
      <c r="H13" s="3">
        <v>1</v>
      </c>
      <c r="I13" s="3" t="s">
        <v>14</v>
      </c>
      <c r="J13" s="3" t="s">
        <v>15</v>
      </c>
      <c r="K13" s="3">
        <v>15704</v>
      </c>
      <c r="L13" s="3">
        <v>2597806</v>
      </c>
      <c r="M13" s="3">
        <f>+VLOOKUP(E13,'[1]VALOR M'!A:C,2,FALSE)</f>
        <v>12</v>
      </c>
      <c r="N13" s="3">
        <f>+VLOOKUP(E13,'[1]VALOR M'!A:C,3,FALSE)</f>
        <v>43</v>
      </c>
      <c r="O13">
        <f>_xlfn.XLOOKUP(E13,Hoja1!E:E,Hoja1!K:K)</f>
        <v>382</v>
      </c>
      <c r="P13">
        <v>165.42318</v>
      </c>
      <c r="Q13">
        <f>_xlfn.XLOOKUP(E13,Hoja1!E:E,Hoja1!P:P)</f>
        <v>206.85356999999999</v>
      </c>
    </row>
    <row r="14" spans="1:17" x14ac:dyDescent="0.35">
      <c r="A14" s="3">
        <v>2025</v>
      </c>
      <c r="B14" s="3">
        <v>12</v>
      </c>
      <c r="C14" s="3">
        <v>901588412</v>
      </c>
      <c r="D14" s="3" t="s">
        <v>17</v>
      </c>
      <c r="E14" s="3" t="s">
        <v>42</v>
      </c>
      <c r="F14" s="3">
        <v>1294995423</v>
      </c>
      <c r="G14" s="3" t="s">
        <v>43</v>
      </c>
      <c r="H14" s="3">
        <v>1</v>
      </c>
      <c r="I14" s="3" t="s">
        <v>14</v>
      </c>
      <c r="J14" s="3" t="s">
        <v>15</v>
      </c>
      <c r="K14" s="3">
        <v>2159</v>
      </c>
      <c r="L14" s="3">
        <v>535924</v>
      </c>
      <c r="M14" s="3">
        <f>+VLOOKUP(E14,'[1]VALOR M'!A:C,2,FALSE)</f>
        <v>1</v>
      </c>
      <c r="N14" s="3">
        <f>+VLOOKUP(E14,'[1]VALOR M'!A:C,3,FALSE)</f>
        <v>2</v>
      </c>
      <c r="O14">
        <f>_xlfn.XLOOKUP(E14,Hoja1!E:E,Hoja1!K:K)</f>
        <v>12</v>
      </c>
      <c r="P14">
        <v>248.22771</v>
      </c>
      <c r="Q14">
        <f>_xlfn.XLOOKUP(E14,Hoja1!E:E,Hoja1!P:P)</f>
        <v>289.65809999999999</v>
      </c>
    </row>
    <row r="15" spans="1:17" x14ac:dyDescent="0.35">
      <c r="A15" s="3">
        <v>2025</v>
      </c>
      <c r="B15" s="3">
        <v>12</v>
      </c>
      <c r="C15" s="3">
        <v>901588412</v>
      </c>
      <c r="D15" s="3" t="s">
        <v>17</v>
      </c>
      <c r="E15" s="3" t="s">
        <v>44</v>
      </c>
      <c r="F15" s="3">
        <v>1289115663</v>
      </c>
      <c r="G15" s="3" t="s">
        <v>45</v>
      </c>
      <c r="H15" s="3">
        <v>1</v>
      </c>
      <c r="I15" s="3" t="s">
        <v>14</v>
      </c>
      <c r="J15" s="3" t="s">
        <v>15</v>
      </c>
      <c r="K15" s="3">
        <v>4658</v>
      </c>
      <c r="L15" s="3">
        <v>1156245</v>
      </c>
      <c r="M15" s="3">
        <f>+VLOOKUP(E15,'[1]VALOR M'!A:C,2,FALSE)</f>
        <v>1</v>
      </c>
      <c r="N15" s="3">
        <f>+VLOOKUP(E15,'[1]VALOR M'!A:C,3,FALSE)</f>
        <v>6</v>
      </c>
      <c r="O15">
        <f>_xlfn.XLOOKUP(E15,Hoja1!E:E,Hoja1!K:K)</f>
        <v>109</v>
      </c>
      <c r="P15">
        <v>248.22771</v>
      </c>
      <c r="Q15">
        <f>_xlfn.XLOOKUP(E15,Hoja1!E:E,Hoja1!P:P)</f>
        <v>289.65809999999999</v>
      </c>
    </row>
    <row r="16" spans="1:17" x14ac:dyDescent="0.35">
      <c r="A16" s="3">
        <v>2025</v>
      </c>
      <c r="B16" s="3">
        <v>12</v>
      </c>
      <c r="C16" s="3">
        <v>901588412</v>
      </c>
      <c r="D16" s="3" t="s">
        <v>17</v>
      </c>
      <c r="E16" s="3" t="s">
        <v>46</v>
      </c>
      <c r="F16" s="3">
        <v>1237716499</v>
      </c>
      <c r="G16" s="3" t="s">
        <v>47</v>
      </c>
      <c r="H16" s="3">
        <v>1</v>
      </c>
      <c r="I16" s="3" t="s">
        <v>14</v>
      </c>
      <c r="J16" s="3" t="s">
        <v>15</v>
      </c>
      <c r="K16" s="3">
        <v>14989</v>
      </c>
      <c r="L16" s="3">
        <v>3720685</v>
      </c>
      <c r="M16" s="3">
        <f>+VLOOKUP(E16,'[1]VALOR M'!A:C,2,FALSE)</f>
        <v>1</v>
      </c>
      <c r="N16" s="3">
        <f>+VLOOKUP(E16,'[1]VALOR M'!A:C,3,FALSE)</f>
        <v>0</v>
      </c>
      <c r="O16">
        <f>_xlfn.XLOOKUP(E16,Hoja1!E:E,Hoja1!K:K)</f>
        <v>194</v>
      </c>
      <c r="P16">
        <v>248.22771</v>
      </c>
      <c r="Q16">
        <f>_xlfn.XLOOKUP(E16,Hoja1!E:E,Hoja1!P:P)</f>
        <v>289.65809999999999</v>
      </c>
    </row>
    <row r="17" spans="1:17" x14ac:dyDescent="0.35">
      <c r="A17" s="3">
        <v>2025</v>
      </c>
      <c r="B17" s="3">
        <v>12</v>
      </c>
      <c r="C17" s="3">
        <v>901588412</v>
      </c>
      <c r="D17" s="3" t="s">
        <v>17</v>
      </c>
      <c r="E17" s="3" t="s">
        <v>48</v>
      </c>
      <c r="F17" s="3">
        <v>1237744642</v>
      </c>
      <c r="G17" s="3" t="s">
        <v>35</v>
      </c>
      <c r="H17" s="3">
        <v>1</v>
      </c>
      <c r="I17" s="3" t="s">
        <v>14</v>
      </c>
      <c r="J17" s="3" t="s">
        <v>15</v>
      </c>
      <c r="K17" s="3">
        <v>8332</v>
      </c>
      <c r="L17" s="3">
        <v>1378306</v>
      </c>
      <c r="M17" s="3">
        <f>+VLOOKUP(E17,'[1]VALOR M'!A:C,2,FALSE)</f>
        <v>1</v>
      </c>
      <c r="N17" s="3">
        <f>+VLOOKUP(E17,'[1]VALOR M'!A:C,3,FALSE)</f>
        <v>0</v>
      </c>
      <c r="O17">
        <f>_xlfn.XLOOKUP(E17,Hoja1!E:E,Hoja1!K:K)</f>
        <v>266</v>
      </c>
      <c r="P17">
        <v>165.42318</v>
      </c>
      <c r="Q17">
        <f>_xlfn.XLOOKUP(E17,Hoja1!E:E,Hoja1!P:P)</f>
        <v>206.85356999999999</v>
      </c>
    </row>
    <row r="18" spans="1:17" x14ac:dyDescent="0.35">
      <c r="A18" s="3">
        <v>2025</v>
      </c>
      <c r="B18" s="3">
        <v>12</v>
      </c>
      <c r="C18" s="3">
        <v>901588412</v>
      </c>
      <c r="D18" s="3" t="s">
        <v>17</v>
      </c>
      <c r="E18" s="3" t="s">
        <v>49</v>
      </c>
      <c r="F18" s="3">
        <v>1291403226</v>
      </c>
      <c r="G18" s="3" t="s">
        <v>50</v>
      </c>
      <c r="H18" s="3">
        <v>1</v>
      </c>
      <c r="I18" s="3" t="s">
        <v>14</v>
      </c>
      <c r="J18" s="3" t="s">
        <v>15</v>
      </c>
      <c r="K18" s="3">
        <v>10172</v>
      </c>
      <c r="L18" s="3">
        <v>2524972</v>
      </c>
      <c r="M18" s="3">
        <f>+VLOOKUP(E18,'[1]VALOR M'!A:C,2,FALSE)</f>
        <v>1</v>
      </c>
      <c r="N18" s="3">
        <f>+VLOOKUP(E18,'[1]VALOR M'!A:C,3,FALSE)</f>
        <v>5</v>
      </c>
      <c r="O18">
        <f>_xlfn.XLOOKUP(E18,Hoja1!E:E,Hoja1!K:K)</f>
        <v>309</v>
      </c>
      <c r="P18">
        <v>248.22771</v>
      </c>
      <c r="Q18">
        <f>_xlfn.XLOOKUP(E18,Hoja1!E:E,Hoja1!P:P)</f>
        <v>289.65809999999999</v>
      </c>
    </row>
    <row r="19" spans="1:17" x14ac:dyDescent="0.35">
      <c r="A19" s="3">
        <v>2025</v>
      </c>
      <c r="B19" s="3">
        <v>12</v>
      </c>
      <c r="C19" s="3">
        <v>901588412</v>
      </c>
      <c r="D19" s="3" t="s">
        <v>17</v>
      </c>
      <c r="E19" s="3" t="s">
        <v>51</v>
      </c>
      <c r="F19" s="3">
        <v>1295421026</v>
      </c>
      <c r="G19" s="3" t="s">
        <v>52</v>
      </c>
      <c r="H19" s="3">
        <v>3</v>
      </c>
      <c r="I19" s="3" t="s">
        <v>14</v>
      </c>
      <c r="J19" s="3" t="s">
        <v>15</v>
      </c>
      <c r="K19" s="3">
        <v>31655</v>
      </c>
      <c r="L19" s="3">
        <v>2799464</v>
      </c>
      <c r="M19" s="3">
        <f>+VLOOKUP(E19,'[1]VALOR M'!A:C,2,FALSE)</f>
        <v>1</v>
      </c>
      <c r="N19" s="3">
        <f>+VLOOKUP(E19,'[1]VALOR M'!A:C,3,FALSE)</f>
        <v>1</v>
      </c>
      <c r="O19">
        <f>_xlfn.XLOOKUP(E19,Hoja1!E:E,Hoja1!K:K)</f>
        <v>311</v>
      </c>
      <c r="P19">
        <v>88.436710000000005</v>
      </c>
      <c r="Q19">
        <f>_xlfn.XLOOKUP(E19,Hoja1!E:E,Hoja1!P:P)</f>
        <v>124.95822</v>
      </c>
    </row>
    <row r="20" spans="1:17" x14ac:dyDescent="0.35">
      <c r="A20" s="3">
        <v>2025</v>
      </c>
      <c r="B20" s="3">
        <v>12</v>
      </c>
      <c r="C20" s="3">
        <v>901588412</v>
      </c>
      <c r="D20" s="3" t="s">
        <v>17</v>
      </c>
      <c r="E20" s="3" t="s">
        <v>53</v>
      </c>
      <c r="F20" s="3">
        <v>1237706510</v>
      </c>
      <c r="G20" s="3" t="s">
        <v>54</v>
      </c>
      <c r="H20" s="3">
        <v>2</v>
      </c>
      <c r="I20" s="3" t="s">
        <v>14</v>
      </c>
      <c r="J20" s="3" t="s">
        <v>15</v>
      </c>
      <c r="K20" s="3">
        <v>27094</v>
      </c>
      <c r="L20" s="3">
        <v>4139205</v>
      </c>
      <c r="M20" s="3">
        <f>+VLOOKUP(E20,'[1]VALOR M'!A:C,2,FALSE)</f>
        <v>1</v>
      </c>
      <c r="N20" s="3">
        <f>+VLOOKUP(E20,'[1]VALOR M'!A:C,3,FALSE)</f>
        <v>0</v>
      </c>
      <c r="O20">
        <f>_xlfn.XLOOKUP(E20,Hoja1!E:E,Hoja1!K:K)</f>
        <v>18</v>
      </c>
      <c r="P20">
        <v>152.77200999999999</v>
      </c>
      <c r="Q20">
        <f>_xlfn.XLOOKUP(E20,Hoja1!E:E,Hoja1!P:P)</f>
        <v>189.56882999999999</v>
      </c>
    </row>
    <row r="21" spans="1:17" x14ac:dyDescent="0.35">
      <c r="A21" s="3">
        <v>2025</v>
      </c>
      <c r="B21" s="3">
        <v>12</v>
      </c>
      <c r="C21" s="3">
        <v>901588412</v>
      </c>
      <c r="D21" s="3" t="s">
        <v>17</v>
      </c>
      <c r="E21" s="3" t="s">
        <v>55</v>
      </c>
      <c r="F21" s="3">
        <v>1237697691</v>
      </c>
      <c r="G21" s="3" t="s">
        <v>56</v>
      </c>
      <c r="H21" s="3">
        <v>1</v>
      </c>
      <c r="I21" s="3" t="s">
        <v>14</v>
      </c>
      <c r="J21" s="3" t="s">
        <v>15</v>
      </c>
      <c r="K21" s="3">
        <v>4571</v>
      </c>
      <c r="L21" s="3">
        <v>756149</v>
      </c>
      <c r="M21" s="3">
        <f>+VLOOKUP(E21,'[1]VALOR M'!A:C,2,FALSE)</f>
        <v>1</v>
      </c>
      <c r="N21" s="3">
        <f>+VLOOKUP(E21,'[1]VALOR M'!A:C,3,FALSE)</f>
        <v>0</v>
      </c>
      <c r="O21">
        <f>_xlfn.XLOOKUP(E21,Hoja1!E:E,Hoja1!K:K)</f>
        <v>9</v>
      </c>
      <c r="P21">
        <v>165.42318</v>
      </c>
      <c r="Q21">
        <f>_xlfn.XLOOKUP(E21,Hoja1!E:E,Hoja1!P:P)</f>
        <v>206.85356999999999</v>
      </c>
    </row>
    <row r="22" spans="1:17" x14ac:dyDescent="0.35">
      <c r="A22" s="3">
        <v>2025</v>
      </c>
      <c r="B22" s="3">
        <v>12</v>
      </c>
      <c r="C22" s="3">
        <v>901588412</v>
      </c>
      <c r="D22" s="3" t="s">
        <v>17</v>
      </c>
      <c r="E22" s="3" t="s">
        <v>57</v>
      </c>
      <c r="F22" s="3">
        <v>1289128983</v>
      </c>
      <c r="G22" s="3" t="s">
        <v>58</v>
      </c>
      <c r="H22" s="3">
        <v>1</v>
      </c>
      <c r="I22" s="3" t="s">
        <v>14</v>
      </c>
      <c r="J22" s="3" t="s">
        <v>15</v>
      </c>
      <c r="K22" s="3">
        <v>1491</v>
      </c>
      <c r="L22" s="3">
        <v>370108</v>
      </c>
      <c r="M22" s="3">
        <f>+VLOOKUP(E22,'[1]VALOR M'!A:C,2,FALSE)</f>
        <v>1</v>
      </c>
      <c r="N22" s="3">
        <f>+VLOOKUP(E22,'[1]VALOR M'!A:C,3,FALSE)</f>
        <v>0</v>
      </c>
      <c r="O22">
        <v>0</v>
      </c>
      <c r="P22">
        <v>248.22771</v>
      </c>
      <c r="Q22">
        <v>289.65809999999999</v>
      </c>
    </row>
    <row r="23" spans="1:17" x14ac:dyDescent="0.35">
      <c r="A23" s="3">
        <v>2025</v>
      </c>
      <c r="B23" s="3">
        <v>12</v>
      </c>
      <c r="C23" s="3">
        <v>901588412</v>
      </c>
      <c r="D23" s="3" t="s">
        <v>17</v>
      </c>
      <c r="E23" s="3" t="s">
        <v>59</v>
      </c>
      <c r="F23" s="3">
        <v>1237709961</v>
      </c>
      <c r="G23" s="3" t="s">
        <v>29</v>
      </c>
      <c r="H23" s="3">
        <v>1</v>
      </c>
      <c r="I23" s="3" t="s">
        <v>14</v>
      </c>
      <c r="J23" s="3" t="s">
        <v>15</v>
      </c>
      <c r="K23" s="3">
        <v>13441</v>
      </c>
      <c r="L23" s="3">
        <v>2223453</v>
      </c>
      <c r="M23" s="3">
        <f>+VLOOKUP(E23,'[1]VALOR M'!A:C,2,FALSE)</f>
        <v>1</v>
      </c>
      <c r="N23" s="3">
        <f>+VLOOKUP(E23,'[1]VALOR M'!A:C,3,FALSE)</f>
        <v>0</v>
      </c>
      <c r="O23">
        <v>0</v>
      </c>
      <c r="P23">
        <v>165.42318</v>
      </c>
      <c r="Q23">
        <v>206.85356999999999</v>
      </c>
    </row>
    <row r="24" spans="1:17" x14ac:dyDescent="0.35">
      <c r="A24" s="3">
        <v>2025</v>
      </c>
      <c r="B24" s="3">
        <v>12</v>
      </c>
      <c r="C24" s="3">
        <v>901588412</v>
      </c>
      <c r="D24" s="3" t="s">
        <v>17</v>
      </c>
      <c r="E24" s="3" t="s">
        <v>60</v>
      </c>
      <c r="F24" s="3">
        <v>1237704056</v>
      </c>
      <c r="G24" s="3" t="s">
        <v>61</v>
      </c>
      <c r="H24" s="3">
        <v>1</v>
      </c>
      <c r="I24" s="3" t="s">
        <v>14</v>
      </c>
      <c r="J24" s="3" t="s">
        <v>15</v>
      </c>
      <c r="K24" s="3">
        <v>8143</v>
      </c>
      <c r="L24" s="3">
        <v>2021318</v>
      </c>
      <c r="M24" s="3">
        <f>+VLOOKUP(E24,'[1]VALOR M'!A:C,2,FALSE)</f>
        <v>1</v>
      </c>
      <c r="N24" s="3">
        <f>+VLOOKUP(E24,'[1]VALOR M'!A:C,3,FALSE)</f>
        <v>9</v>
      </c>
      <c r="O24">
        <v>0</v>
      </c>
      <c r="P24">
        <v>248.22771</v>
      </c>
      <c r="Q24">
        <v>289.65809999999999</v>
      </c>
    </row>
    <row r="25" spans="1:17" x14ac:dyDescent="0.35">
      <c r="A25" s="3">
        <v>2025</v>
      </c>
      <c r="B25" s="3">
        <v>12</v>
      </c>
      <c r="C25" s="3">
        <v>901588412</v>
      </c>
      <c r="D25" s="3" t="s">
        <v>17</v>
      </c>
      <c r="E25" s="3" t="s">
        <v>62</v>
      </c>
      <c r="F25" s="3">
        <v>1289145380</v>
      </c>
      <c r="G25" s="3" t="s">
        <v>63</v>
      </c>
      <c r="H25" s="3">
        <v>1</v>
      </c>
      <c r="I25" s="3" t="s">
        <v>14</v>
      </c>
      <c r="J25" s="3" t="s">
        <v>15</v>
      </c>
      <c r="K25" s="3">
        <v>7789</v>
      </c>
      <c r="L25" s="3">
        <v>1288481</v>
      </c>
      <c r="M25" s="3">
        <f>+VLOOKUP(E25,'[1]VALOR M'!A:C,2,FALSE)</f>
        <v>1</v>
      </c>
      <c r="N25" s="3">
        <f>+VLOOKUP(E25,'[1]VALOR M'!A:C,3,FALSE)</f>
        <v>6</v>
      </c>
      <c r="O25">
        <f>_xlfn.XLOOKUP(E25,Hoja1!E:E,Hoja1!K:K)</f>
        <v>1471</v>
      </c>
      <c r="P25">
        <v>165.42318</v>
      </c>
      <c r="Q25">
        <f>_xlfn.XLOOKUP(E25,Hoja1!E:E,Hoja1!P:P)</f>
        <v>206.85356999999999</v>
      </c>
    </row>
    <row r="26" spans="1:17" x14ac:dyDescent="0.35">
      <c r="A26" s="3">
        <v>2025</v>
      </c>
      <c r="B26" s="3">
        <v>12</v>
      </c>
      <c r="C26" s="3">
        <v>901588412</v>
      </c>
      <c r="D26" s="3" t="s">
        <v>17</v>
      </c>
      <c r="E26" s="3" t="s">
        <v>64</v>
      </c>
      <c r="F26" s="3">
        <v>1237776823</v>
      </c>
      <c r="G26" s="3" t="s">
        <v>65</v>
      </c>
      <c r="H26" s="3">
        <v>1</v>
      </c>
      <c r="I26" s="3" t="s">
        <v>14</v>
      </c>
      <c r="J26" s="3" t="s">
        <v>15</v>
      </c>
      <c r="K26" s="3">
        <v>4753</v>
      </c>
      <c r="L26" s="3">
        <v>1179826</v>
      </c>
      <c r="M26" s="3">
        <f>+VLOOKUP(E26,'[1]VALOR M'!A:C,2,FALSE)</f>
        <v>6</v>
      </c>
      <c r="N26" s="3">
        <f>+VLOOKUP(E26,'[1]VALOR M'!A:C,3,FALSE)</f>
        <v>26</v>
      </c>
      <c r="O26">
        <f>_xlfn.XLOOKUP(E26,Hoja1!E:E,Hoja1!K:K)</f>
        <v>434</v>
      </c>
      <c r="P26">
        <v>248.22771</v>
      </c>
      <c r="Q26">
        <f>_xlfn.XLOOKUP(E26,Hoja1!E:E,Hoja1!P:P)</f>
        <v>289.65809999999999</v>
      </c>
    </row>
    <row r="27" spans="1:17" x14ac:dyDescent="0.35">
      <c r="A27" s="3">
        <v>2025</v>
      </c>
      <c r="B27" s="3">
        <v>12</v>
      </c>
      <c r="C27" s="3">
        <v>901588412</v>
      </c>
      <c r="D27" s="3" t="s">
        <v>17</v>
      </c>
      <c r="E27" s="3" t="s">
        <v>66</v>
      </c>
      <c r="F27" s="3">
        <v>1295410370</v>
      </c>
      <c r="G27" s="3" t="s">
        <v>52</v>
      </c>
      <c r="H27" s="3">
        <v>3</v>
      </c>
      <c r="I27" s="3" t="s">
        <v>14</v>
      </c>
      <c r="J27" s="3" t="s">
        <v>15</v>
      </c>
      <c r="K27" s="3">
        <v>9863</v>
      </c>
      <c r="L27" s="3">
        <v>872251</v>
      </c>
      <c r="M27" s="3">
        <f>+VLOOKUP(E27,'[1]VALOR M'!A:C,2,FALSE)</f>
        <v>1</v>
      </c>
      <c r="N27" s="3">
        <f>+VLOOKUP(E27,'[1]VALOR M'!A:C,3,FALSE)</f>
        <v>2</v>
      </c>
      <c r="O27">
        <f>_xlfn.XLOOKUP(E27,Hoja1!E:E,Hoja1!K:K)</f>
        <v>2735</v>
      </c>
      <c r="P27">
        <v>88.436710000000005</v>
      </c>
      <c r="Q27">
        <f>_xlfn.XLOOKUP(E27,Hoja1!E:E,Hoja1!P:P)</f>
        <v>124.95822</v>
      </c>
    </row>
    <row r="28" spans="1:17" x14ac:dyDescent="0.35">
      <c r="A28" s="3">
        <v>2025</v>
      </c>
      <c r="B28" s="3">
        <v>12</v>
      </c>
      <c r="C28" s="3">
        <v>901588412</v>
      </c>
      <c r="D28" s="3" t="s">
        <v>17</v>
      </c>
      <c r="E28" s="3" t="s">
        <v>67</v>
      </c>
      <c r="F28" s="3">
        <v>1293156459</v>
      </c>
      <c r="G28" s="3" t="s">
        <v>16</v>
      </c>
      <c r="H28" s="3">
        <v>2</v>
      </c>
      <c r="I28" s="3" t="s">
        <v>14</v>
      </c>
      <c r="J28" s="3" t="s">
        <v>15</v>
      </c>
      <c r="K28" s="3">
        <v>6673</v>
      </c>
      <c r="L28" s="3">
        <v>1019448</v>
      </c>
      <c r="M28" s="3">
        <f>+VLOOKUP(E28,'[1]VALOR M'!A:C,2,FALSE)</f>
        <v>1</v>
      </c>
      <c r="N28" s="3">
        <f>+VLOOKUP(E28,'[1]VALOR M'!A:C,3,FALSE)</f>
        <v>4</v>
      </c>
      <c r="O28">
        <f>_xlfn.XLOOKUP(E28,Hoja1!E:E,Hoja1!K:K)</f>
        <v>534</v>
      </c>
      <c r="P28">
        <v>152.77200999999999</v>
      </c>
      <c r="Q28">
        <f>_xlfn.XLOOKUP(E28,Hoja1!E:E,Hoja1!P:P)</f>
        <v>189.56882999999999</v>
      </c>
    </row>
    <row r="29" spans="1:17" x14ac:dyDescent="0.35">
      <c r="A29" s="3">
        <v>2025</v>
      </c>
      <c r="B29" s="3">
        <v>12</v>
      </c>
      <c r="C29" s="3">
        <v>901588412</v>
      </c>
      <c r="D29" s="3" t="s">
        <v>17</v>
      </c>
      <c r="E29" s="3" t="s">
        <v>68</v>
      </c>
      <c r="F29" s="3">
        <v>1237694340</v>
      </c>
      <c r="G29" s="3" t="s">
        <v>69</v>
      </c>
      <c r="H29" s="3">
        <v>2</v>
      </c>
      <c r="I29" s="3" t="s">
        <v>14</v>
      </c>
      <c r="J29" s="3" t="s">
        <v>15</v>
      </c>
      <c r="K29" s="3">
        <v>15068</v>
      </c>
      <c r="L29" s="3">
        <v>2301968</v>
      </c>
      <c r="M29" s="3">
        <f>+VLOOKUP(E29,'[1]VALOR M'!A:C,2,FALSE)</f>
        <v>1</v>
      </c>
      <c r="N29" s="3">
        <f>+VLOOKUP(E29,'[1]VALOR M'!A:C,3,FALSE)</f>
        <v>0</v>
      </c>
      <c r="O29">
        <f>_xlfn.XLOOKUP(E29,Hoja1!E:E,Hoja1!K:K)</f>
        <v>104</v>
      </c>
      <c r="P29">
        <v>152.77200999999999</v>
      </c>
      <c r="Q29">
        <f>_xlfn.XLOOKUP(E29,Hoja1!E:E,Hoja1!P:P)</f>
        <v>189.56882999999999</v>
      </c>
    </row>
    <row r="30" spans="1:17" x14ac:dyDescent="0.35">
      <c r="A30" s="3">
        <v>2025</v>
      </c>
      <c r="B30" s="3">
        <v>12</v>
      </c>
      <c r="C30" s="3">
        <v>901588412</v>
      </c>
      <c r="D30" s="3" t="s">
        <v>17</v>
      </c>
      <c r="E30" s="3" t="s">
        <v>70</v>
      </c>
      <c r="F30" s="3">
        <v>1237707307</v>
      </c>
      <c r="G30" s="3" t="s">
        <v>71</v>
      </c>
      <c r="H30" s="3">
        <v>1</v>
      </c>
      <c r="I30" s="3" t="s">
        <v>14</v>
      </c>
      <c r="J30" s="3" t="s">
        <v>15</v>
      </c>
      <c r="K30" s="3">
        <v>13674</v>
      </c>
      <c r="L30" s="3">
        <v>2261997</v>
      </c>
      <c r="M30" s="3">
        <f>+VLOOKUP(E30,'[1]VALOR M'!A:C,2,FALSE)</f>
        <v>12</v>
      </c>
      <c r="N30" s="3">
        <f>+VLOOKUP(E30,'[1]VALOR M'!A:C,3,FALSE)</f>
        <v>42</v>
      </c>
      <c r="O30">
        <f>_xlfn.XLOOKUP(E30,Hoja1!E:E,Hoja1!K:K)</f>
        <v>195</v>
      </c>
      <c r="P30">
        <v>165.42318</v>
      </c>
      <c r="Q30">
        <f>_xlfn.XLOOKUP(E30,Hoja1!E:E,Hoja1!P:P)</f>
        <v>206.85356999999999</v>
      </c>
    </row>
    <row r="31" spans="1:17" x14ac:dyDescent="0.35">
      <c r="A31" s="3">
        <v>2025</v>
      </c>
      <c r="B31" s="3">
        <v>12</v>
      </c>
      <c r="C31" s="3">
        <v>901588412</v>
      </c>
      <c r="D31" s="3" t="s">
        <v>17</v>
      </c>
      <c r="E31" s="3" t="s">
        <v>72</v>
      </c>
      <c r="F31" s="3">
        <v>1291400885</v>
      </c>
      <c r="G31" s="3" t="s">
        <v>25</v>
      </c>
      <c r="H31" s="3">
        <v>1</v>
      </c>
      <c r="I31" s="3" t="s">
        <v>14</v>
      </c>
      <c r="J31" s="3" t="s">
        <v>15</v>
      </c>
      <c r="K31" s="3">
        <v>4634</v>
      </c>
      <c r="L31" s="3">
        <v>766571</v>
      </c>
      <c r="M31" s="3">
        <f>+VLOOKUP(E31,'[1]VALOR M'!A:C,2,FALSE)</f>
        <v>1</v>
      </c>
      <c r="N31" s="3">
        <f>+VLOOKUP(E31,'[1]VALOR M'!A:C,3,FALSE)</f>
        <v>5</v>
      </c>
      <c r="O31">
        <f>_xlfn.XLOOKUP(E31,Hoja1!E:E,Hoja1!K:K)</f>
        <v>1210</v>
      </c>
      <c r="P31">
        <v>165.42318</v>
      </c>
      <c r="Q31">
        <f>_xlfn.XLOOKUP(E31,Hoja1!E:E,Hoja1!P:P)</f>
        <v>206.85356999999999</v>
      </c>
    </row>
    <row r="32" spans="1:17" x14ac:dyDescent="0.35">
      <c r="A32" s="3">
        <v>2025</v>
      </c>
      <c r="B32" s="3">
        <v>12</v>
      </c>
      <c r="C32" s="3">
        <v>901588412</v>
      </c>
      <c r="D32" s="3" t="s">
        <v>17</v>
      </c>
      <c r="E32" s="3" t="s">
        <v>73</v>
      </c>
      <c r="F32" s="3">
        <v>1272280708</v>
      </c>
      <c r="G32" s="3" t="s">
        <v>74</v>
      </c>
      <c r="H32" s="3">
        <v>2</v>
      </c>
      <c r="I32" s="3" t="s">
        <v>14</v>
      </c>
      <c r="J32" s="3" t="s">
        <v>15</v>
      </c>
      <c r="K32" s="3">
        <v>37080</v>
      </c>
      <c r="L32" s="3">
        <v>5664786</v>
      </c>
      <c r="M32" s="3">
        <f>+VLOOKUP(E32,'[1]VALOR M'!A:C,2,FALSE)</f>
        <v>1</v>
      </c>
      <c r="N32" s="3">
        <f>+VLOOKUP(E32,'[1]VALOR M'!A:C,3,FALSE)</f>
        <v>0</v>
      </c>
      <c r="O32">
        <v>0</v>
      </c>
      <c r="P32">
        <v>152.77200999999999</v>
      </c>
      <c r="Q32">
        <v>189.56882999999999</v>
      </c>
    </row>
    <row r="33" spans="1:17" x14ac:dyDescent="0.35">
      <c r="A33" s="3">
        <v>2025</v>
      </c>
      <c r="B33" s="3">
        <v>12</v>
      </c>
      <c r="C33" s="3">
        <v>901588412</v>
      </c>
      <c r="D33" s="3" t="s">
        <v>17</v>
      </c>
      <c r="E33" s="3" t="s">
        <v>75</v>
      </c>
      <c r="F33" s="3">
        <v>1295006935</v>
      </c>
      <c r="G33" s="3" t="s">
        <v>76</v>
      </c>
      <c r="H33" s="3">
        <v>1</v>
      </c>
      <c r="I33" s="3" t="s">
        <v>14</v>
      </c>
      <c r="J33" s="3" t="s">
        <v>15</v>
      </c>
      <c r="K33" s="3">
        <v>2438</v>
      </c>
      <c r="L33" s="3">
        <v>605179</v>
      </c>
      <c r="M33" s="3">
        <f>+VLOOKUP(E33,'[1]VALOR M'!A:C,2,FALSE)</f>
        <v>1</v>
      </c>
      <c r="N33" s="3">
        <f>+VLOOKUP(E33,'[1]VALOR M'!A:C,3,FALSE)</f>
        <v>0</v>
      </c>
      <c r="O33">
        <v>0</v>
      </c>
      <c r="P33">
        <v>248.22771</v>
      </c>
      <c r="Q33">
        <v>289.65809999999999</v>
      </c>
    </row>
    <row r="34" spans="1:17" x14ac:dyDescent="0.35">
      <c r="A34" s="3">
        <v>2025</v>
      </c>
      <c r="B34" s="3">
        <v>12</v>
      </c>
      <c r="C34" s="3">
        <v>901588412</v>
      </c>
      <c r="D34" s="3" t="s">
        <v>17</v>
      </c>
      <c r="E34" s="3" t="s">
        <v>77</v>
      </c>
      <c r="F34" s="3">
        <v>1237705733</v>
      </c>
      <c r="G34" s="3" t="s">
        <v>78</v>
      </c>
      <c r="H34" s="3">
        <v>1</v>
      </c>
      <c r="I34" s="3" t="s">
        <v>14</v>
      </c>
      <c r="J34" s="3" t="s">
        <v>15</v>
      </c>
      <c r="K34" s="3">
        <v>5740</v>
      </c>
      <c r="L34" s="3">
        <v>949529</v>
      </c>
      <c r="M34" s="3">
        <f>+VLOOKUP(E34,'[1]VALOR M'!A:C,2,FALSE)</f>
        <v>12</v>
      </c>
      <c r="N34" s="3">
        <f>+VLOOKUP(E34,'[1]VALOR M'!A:C,3,FALSE)</f>
        <v>35</v>
      </c>
      <c r="O34">
        <f>_xlfn.XLOOKUP(E34,Hoja1!E:E,Hoja1!K:K)</f>
        <v>767</v>
      </c>
      <c r="P34">
        <v>165.42318</v>
      </c>
      <c r="Q34">
        <f>_xlfn.XLOOKUP(E34,Hoja1!E:E,Hoja1!P:P)</f>
        <v>206.85356999999999</v>
      </c>
    </row>
    <row r="35" spans="1:17" hidden="1" x14ac:dyDescent="0.35">
      <c r="A35" s="3">
        <v>2025</v>
      </c>
      <c r="B35" s="3">
        <v>12</v>
      </c>
      <c r="C35" s="3">
        <v>901588412</v>
      </c>
      <c r="D35" s="3" t="s">
        <v>17</v>
      </c>
      <c r="E35" s="3" t="s">
        <v>48</v>
      </c>
      <c r="F35" s="3">
        <v>1237744642</v>
      </c>
      <c r="G35" s="3" t="s">
        <v>35</v>
      </c>
      <c r="H35" s="3">
        <v>1</v>
      </c>
      <c r="I35" s="3" t="s">
        <v>79</v>
      </c>
      <c r="J35" s="3" t="s">
        <v>15</v>
      </c>
      <c r="K35" s="3">
        <v>266</v>
      </c>
      <c r="L35" s="3">
        <v>55062</v>
      </c>
      <c r="M35" s="3">
        <f>+VLOOKUP(E35,'[1]VALOR M'!A:C,2,FALSE)</f>
        <v>1</v>
      </c>
      <c r="N35" s="3">
        <f>+VLOOKUP(E35,'[1]VALOR M'!A:C,3,FALSE)</f>
        <v>0</v>
      </c>
    </row>
    <row r="36" spans="1:17" hidden="1" x14ac:dyDescent="0.35">
      <c r="A36" s="3">
        <v>2025</v>
      </c>
      <c r="B36" s="3">
        <v>12</v>
      </c>
      <c r="C36" s="3">
        <v>901588412</v>
      </c>
      <c r="D36" s="3" t="s">
        <v>17</v>
      </c>
      <c r="E36" s="3" t="s">
        <v>55</v>
      </c>
      <c r="F36" s="3">
        <v>1237697691</v>
      </c>
      <c r="G36" s="3" t="s">
        <v>56</v>
      </c>
      <c r="H36" s="3">
        <v>1</v>
      </c>
      <c r="I36" s="3" t="s">
        <v>79</v>
      </c>
      <c r="J36" s="3" t="s">
        <v>15</v>
      </c>
      <c r="K36" s="3">
        <v>9</v>
      </c>
      <c r="L36" s="3">
        <v>1862</v>
      </c>
      <c r="M36" s="3">
        <f>+VLOOKUP(E36,'[1]VALOR M'!A:C,2,FALSE)</f>
        <v>1</v>
      </c>
      <c r="N36" s="3">
        <f>+VLOOKUP(E36,'[1]VALOR M'!A:C,3,FALSE)</f>
        <v>0</v>
      </c>
    </row>
    <row r="37" spans="1:17" hidden="1" x14ac:dyDescent="0.35">
      <c r="A37" s="3">
        <v>2025</v>
      </c>
      <c r="B37" s="3">
        <v>12</v>
      </c>
      <c r="C37" s="3">
        <v>901588412</v>
      </c>
      <c r="D37" s="3" t="s">
        <v>17</v>
      </c>
      <c r="E37" s="3" t="s">
        <v>46</v>
      </c>
      <c r="F37" s="3">
        <v>1237716499</v>
      </c>
      <c r="G37" s="3" t="s">
        <v>47</v>
      </c>
      <c r="H37" s="3">
        <v>1</v>
      </c>
      <c r="I37" s="3" t="s">
        <v>79</v>
      </c>
      <c r="J37" s="3" t="s">
        <v>15</v>
      </c>
      <c r="K37" s="3">
        <v>194</v>
      </c>
      <c r="L37" s="3">
        <v>56194</v>
      </c>
      <c r="M37" s="3">
        <f>+VLOOKUP(E37,'[1]VALOR M'!A:C,2,FALSE)</f>
        <v>1</v>
      </c>
      <c r="N37" s="3">
        <f>+VLOOKUP(E37,'[1]VALOR M'!A:C,3,FALSE)</f>
        <v>0</v>
      </c>
    </row>
    <row r="38" spans="1:17" hidden="1" x14ac:dyDescent="0.35">
      <c r="A38" s="3">
        <v>2025</v>
      </c>
      <c r="B38" s="3">
        <v>12</v>
      </c>
      <c r="C38" s="3">
        <v>901588412</v>
      </c>
      <c r="D38" s="3" t="s">
        <v>17</v>
      </c>
      <c r="E38" s="3" t="s">
        <v>72</v>
      </c>
      <c r="F38" s="3">
        <v>1291400885</v>
      </c>
      <c r="G38" s="3" t="s">
        <v>25</v>
      </c>
      <c r="H38" s="3">
        <v>1</v>
      </c>
      <c r="I38" s="3" t="s">
        <v>79</v>
      </c>
      <c r="J38" s="3" t="s">
        <v>15</v>
      </c>
      <c r="K38" s="3">
        <v>1210</v>
      </c>
      <c r="L38" s="3">
        <v>250293</v>
      </c>
      <c r="M38" s="3">
        <f>+VLOOKUP(E38,'[1]VALOR M'!A:C,2,FALSE)</f>
        <v>1</v>
      </c>
      <c r="N38" s="3">
        <f>+VLOOKUP(E38,'[1]VALOR M'!A:C,3,FALSE)</f>
        <v>5</v>
      </c>
    </row>
    <row r="39" spans="1:17" hidden="1" x14ac:dyDescent="0.35">
      <c r="A39" s="3">
        <v>2025</v>
      </c>
      <c r="B39" s="3">
        <v>12</v>
      </c>
      <c r="C39" s="3">
        <v>901588412</v>
      </c>
      <c r="D39" s="3" t="s">
        <v>17</v>
      </c>
      <c r="E39" s="3" t="s">
        <v>62</v>
      </c>
      <c r="F39" s="3">
        <v>1289145380</v>
      </c>
      <c r="G39" s="3" t="s">
        <v>63</v>
      </c>
      <c r="H39" s="3">
        <v>1</v>
      </c>
      <c r="I39" s="3" t="s">
        <v>79</v>
      </c>
      <c r="J39" s="3" t="s">
        <v>15</v>
      </c>
      <c r="K39" s="3">
        <v>1471</v>
      </c>
      <c r="L39" s="3">
        <v>304282</v>
      </c>
      <c r="M39" s="3">
        <f>+VLOOKUP(E39,'[1]VALOR M'!A:C,2,FALSE)</f>
        <v>1</v>
      </c>
      <c r="N39" s="3">
        <f>+VLOOKUP(E39,'[1]VALOR M'!A:C,3,FALSE)</f>
        <v>6</v>
      </c>
    </row>
    <row r="40" spans="1:17" hidden="1" x14ac:dyDescent="0.35">
      <c r="A40" s="3">
        <v>2025</v>
      </c>
      <c r="B40" s="3">
        <v>12</v>
      </c>
      <c r="C40" s="3">
        <v>901588412</v>
      </c>
      <c r="D40" s="3" t="s">
        <v>17</v>
      </c>
      <c r="E40" s="3" t="s">
        <v>53</v>
      </c>
      <c r="F40" s="3">
        <v>1237706510</v>
      </c>
      <c r="G40" s="3" t="s">
        <v>54</v>
      </c>
      <c r="H40" s="3">
        <v>2</v>
      </c>
      <c r="I40" s="3" t="s">
        <v>79</v>
      </c>
      <c r="J40" s="3" t="s">
        <v>15</v>
      </c>
      <c r="K40" s="3">
        <v>18</v>
      </c>
      <c r="L40" s="3">
        <v>3412</v>
      </c>
      <c r="M40" s="3">
        <f>+VLOOKUP(E40,'[1]VALOR M'!A:C,2,FALSE)</f>
        <v>1</v>
      </c>
      <c r="N40" s="3">
        <f>+VLOOKUP(E40,'[1]VALOR M'!A:C,3,FALSE)</f>
        <v>0</v>
      </c>
    </row>
    <row r="41" spans="1:17" hidden="1" x14ac:dyDescent="0.35">
      <c r="A41" s="3">
        <v>2025</v>
      </c>
      <c r="B41" s="3">
        <v>12</v>
      </c>
      <c r="C41" s="3">
        <v>901588412</v>
      </c>
      <c r="D41" s="3" t="s">
        <v>17</v>
      </c>
      <c r="E41" s="3" t="s">
        <v>36</v>
      </c>
      <c r="F41" s="3">
        <v>1237737014</v>
      </c>
      <c r="G41" s="3" t="s">
        <v>37</v>
      </c>
      <c r="H41" s="3">
        <v>1</v>
      </c>
      <c r="I41" s="3" t="s">
        <v>79</v>
      </c>
      <c r="J41" s="3" t="s">
        <v>15</v>
      </c>
      <c r="K41" s="3">
        <v>528</v>
      </c>
      <c r="L41" s="3">
        <v>109219</v>
      </c>
      <c r="M41" s="3">
        <f>+VLOOKUP(E41,'[1]VALOR M'!A:C,2,FALSE)</f>
        <v>12</v>
      </c>
      <c r="N41" s="3">
        <f>+VLOOKUP(E41,'[1]VALOR M'!A:C,3,FALSE)</f>
        <v>60</v>
      </c>
    </row>
    <row r="42" spans="1:17" hidden="1" x14ac:dyDescent="0.35">
      <c r="A42" s="3">
        <v>2025</v>
      </c>
      <c r="B42" s="3">
        <v>12</v>
      </c>
      <c r="C42" s="3">
        <v>901588412</v>
      </c>
      <c r="D42" s="3" t="s">
        <v>17</v>
      </c>
      <c r="E42" s="3" t="s">
        <v>28</v>
      </c>
      <c r="F42" s="3">
        <v>1237710707</v>
      </c>
      <c r="G42" s="3" t="s">
        <v>29</v>
      </c>
      <c r="H42" s="3">
        <v>1</v>
      </c>
      <c r="I42" s="3" t="s">
        <v>79</v>
      </c>
      <c r="J42" s="3" t="s">
        <v>15</v>
      </c>
      <c r="K42" s="3">
        <v>30</v>
      </c>
      <c r="L42" s="3">
        <v>8690</v>
      </c>
      <c r="M42" s="3">
        <f>+VLOOKUP(E42,'[1]VALOR M'!A:C,2,FALSE)</f>
        <v>10</v>
      </c>
      <c r="N42" s="3">
        <f>+VLOOKUP(E42,'[1]VALOR M'!A:C,3,FALSE)</f>
        <v>32</v>
      </c>
    </row>
    <row r="43" spans="1:17" hidden="1" x14ac:dyDescent="0.35">
      <c r="A43" s="3">
        <v>2025</v>
      </c>
      <c r="B43" s="3">
        <v>12</v>
      </c>
      <c r="C43" s="3">
        <v>901588412</v>
      </c>
      <c r="D43" s="3" t="s">
        <v>17</v>
      </c>
      <c r="E43" s="3" t="s">
        <v>32</v>
      </c>
      <c r="F43" s="3">
        <v>1256411828</v>
      </c>
      <c r="G43" s="3" t="s">
        <v>33</v>
      </c>
      <c r="H43" s="3">
        <v>3</v>
      </c>
      <c r="I43" s="3" t="s">
        <v>79</v>
      </c>
      <c r="J43" s="3" t="s">
        <v>15</v>
      </c>
      <c r="K43" s="3">
        <v>11</v>
      </c>
      <c r="L43" s="3">
        <v>1375</v>
      </c>
      <c r="M43" s="3">
        <f>+VLOOKUP(E43,'[1]VALOR M'!A:C,2,FALSE)</f>
        <v>1</v>
      </c>
      <c r="N43" s="3">
        <f>+VLOOKUP(E43,'[1]VALOR M'!A:C,3,FALSE)</f>
        <v>3</v>
      </c>
    </row>
    <row r="44" spans="1:17" hidden="1" x14ac:dyDescent="0.35">
      <c r="A44" s="3">
        <v>2025</v>
      </c>
      <c r="B44" s="3">
        <v>12</v>
      </c>
      <c r="C44" s="3">
        <v>901588412</v>
      </c>
      <c r="D44" s="3" t="s">
        <v>17</v>
      </c>
      <c r="E44" s="3" t="s">
        <v>77</v>
      </c>
      <c r="F44" s="3">
        <v>1237705733</v>
      </c>
      <c r="G44" s="3" t="s">
        <v>78</v>
      </c>
      <c r="H44" s="3">
        <v>1</v>
      </c>
      <c r="I44" s="3" t="s">
        <v>79</v>
      </c>
      <c r="J44" s="3" t="s">
        <v>15</v>
      </c>
      <c r="K44" s="3">
        <v>9204</v>
      </c>
      <c r="L44" s="3">
        <v>1903881</v>
      </c>
      <c r="M44" s="3">
        <f>+VLOOKUP(E44,'[1]VALOR M'!A:C,2,FALSE)</f>
        <v>12</v>
      </c>
      <c r="N44" s="3">
        <f>+VLOOKUP(E44,'[1]VALOR M'!A:C,3,FALSE)</f>
        <v>35</v>
      </c>
    </row>
    <row r="45" spans="1:17" hidden="1" x14ac:dyDescent="0.35">
      <c r="A45" s="3">
        <v>2025</v>
      </c>
      <c r="B45" s="3">
        <v>12</v>
      </c>
      <c r="C45" s="3">
        <v>901588412</v>
      </c>
      <c r="D45" s="3" t="s">
        <v>17</v>
      </c>
      <c r="E45" s="3" t="s">
        <v>42</v>
      </c>
      <c r="F45" s="3">
        <v>1294995423</v>
      </c>
      <c r="G45" s="3" t="s">
        <v>43</v>
      </c>
      <c r="H45" s="3">
        <v>1</v>
      </c>
      <c r="I45" s="3" t="s">
        <v>79</v>
      </c>
      <c r="J45" s="3" t="s">
        <v>15</v>
      </c>
      <c r="K45" s="3">
        <v>12</v>
      </c>
      <c r="L45" s="3">
        <v>3476</v>
      </c>
      <c r="M45" s="3">
        <f>+VLOOKUP(E45,'[1]VALOR M'!A:C,2,FALSE)</f>
        <v>1</v>
      </c>
      <c r="N45" s="3">
        <f>+VLOOKUP(E45,'[1]VALOR M'!A:C,3,FALSE)</f>
        <v>2</v>
      </c>
    </row>
    <row r="46" spans="1:17" hidden="1" x14ac:dyDescent="0.35">
      <c r="A46" s="3">
        <v>2025</v>
      </c>
      <c r="B46" s="3">
        <v>12</v>
      </c>
      <c r="C46" s="3">
        <v>901588412</v>
      </c>
      <c r="D46" s="3" t="s">
        <v>17</v>
      </c>
      <c r="E46" s="3" t="s">
        <v>70</v>
      </c>
      <c r="F46" s="3">
        <v>1237707307</v>
      </c>
      <c r="G46" s="3" t="s">
        <v>71</v>
      </c>
      <c r="H46" s="3">
        <v>1</v>
      </c>
      <c r="I46" s="3" t="s">
        <v>79</v>
      </c>
      <c r="J46" s="3" t="s">
        <v>15</v>
      </c>
      <c r="K46" s="3">
        <v>2340</v>
      </c>
      <c r="L46" s="3">
        <v>484037</v>
      </c>
      <c r="M46" s="3">
        <f>+VLOOKUP(E46,'[1]VALOR M'!A:C,2,FALSE)</f>
        <v>12</v>
      </c>
      <c r="N46" s="3">
        <f>+VLOOKUP(E46,'[1]VALOR M'!A:C,3,FALSE)</f>
        <v>42</v>
      </c>
    </row>
    <row r="47" spans="1:17" hidden="1" x14ac:dyDescent="0.35">
      <c r="A47" s="3">
        <v>2025</v>
      </c>
      <c r="B47" s="3">
        <v>12</v>
      </c>
      <c r="C47" s="3">
        <v>901588412</v>
      </c>
      <c r="D47" s="3" t="s">
        <v>17</v>
      </c>
      <c r="E47" s="3" t="s">
        <v>24</v>
      </c>
      <c r="F47" s="3">
        <v>1291404003</v>
      </c>
      <c r="G47" s="3" t="s">
        <v>25</v>
      </c>
      <c r="H47" s="3">
        <v>1</v>
      </c>
      <c r="I47" s="3" t="s">
        <v>79</v>
      </c>
      <c r="J47" s="3" t="s">
        <v>15</v>
      </c>
      <c r="K47" s="3">
        <v>249</v>
      </c>
      <c r="L47" s="3">
        <v>51507</v>
      </c>
      <c r="M47" s="3">
        <f>+VLOOKUP(E47,'[1]VALOR M'!A:C,2,FALSE)</f>
        <v>1</v>
      </c>
      <c r="N47" s="3">
        <f>+VLOOKUP(E47,'[1]VALOR M'!A:C,3,FALSE)</f>
        <v>5</v>
      </c>
    </row>
    <row r="48" spans="1:17" hidden="1" x14ac:dyDescent="0.35">
      <c r="A48" s="3">
        <v>2025</v>
      </c>
      <c r="B48" s="3">
        <v>12</v>
      </c>
      <c r="C48" s="3">
        <v>901588412</v>
      </c>
      <c r="D48" s="3" t="s">
        <v>17</v>
      </c>
      <c r="E48" s="3" t="s">
        <v>67</v>
      </c>
      <c r="F48" s="3">
        <v>1293156459</v>
      </c>
      <c r="G48" s="3" t="s">
        <v>16</v>
      </c>
      <c r="H48" s="3">
        <v>2</v>
      </c>
      <c r="I48" s="3" t="s">
        <v>79</v>
      </c>
      <c r="J48" s="3" t="s">
        <v>15</v>
      </c>
      <c r="K48" s="3">
        <v>534</v>
      </c>
      <c r="L48" s="3">
        <v>101230</v>
      </c>
      <c r="M48" s="3">
        <f>+VLOOKUP(E48,'[1]VALOR M'!A:C,2,FALSE)</f>
        <v>1</v>
      </c>
      <c r="N48" s="3">
        <f>+VLOOKUP(E48,'[1]VALOR M'!A:C,3,FALSE)</f>
        <v>4</v>
      </c>
    </row>
    <row r="49" spans="1:14" hidden="1" x14ac:dyDescent="0.35">
      <c r="A49" s="3">
        <v>2025</v>
      </c>
      <c r="B49" s="3">
        <v>12</v>
      </c>
      <c r="C49" s="3">
        <v>901588412</v>
      </c>
      <c r="D49" s="3" t="s">
        <v>17</v>
      </c>
      <c r="E49" s="3" t="s">
        <v>30</v>
      </c>
      <c r="F49" s="3">
        <v>1256408428</v>
      </c>
      <c r="G49" s="3" t="s">
        <v>31</v>
      </c>
      <c r="H49" s="3">
        <v>2</v>
      </c>
      <c r="I49" s="3" t="s">
        <v>79</v>
      </c>
      <c r="J49" s="3" t="s">
        <v>15</v>
      </c>
      <c r="K49" s="3">
        <v>1092</v>
      </c>
      <c r="L49" s="3">
        <v>207009</v>
      </c>
      <c r="M49" s="3">
        <f>+VLOOKUP(E49,'[1]VALOR M'!A:C,2,FALSE)</f>
        <v>12</v>
      </c>
      <c r="N49" s="3">
        <f>+VLOOKUP(E49,'[1]VALOR M'!A:C,3,FALSE)</f>
        <v>60</v>
      </c>
    </row>
    <row r="50" spans="1:14" hidden="1" x14ac:dyDescent="0.35">
      <c r="A50" s="3">
        <v>2025</v>
      </c>
      <c r="B50" s="3">
        <v>12</v>
      </c>
      <c r="C50" s="3">
        <v>901588412</v>
      </c>
      <c r="D50" s="3" t="s">
        <v>17</v>
      </c>
      <c r="E50" s="3" t="s">
        <v>51</v>
      </c>
      <c r="F50" s="3">
        <v>1295421026</v>
      </c>
      <c r="G50" s="3" t="s">
        <v>52</v>
      </c>
      <c r="H50" s="3">
        <v>3</v>
      </c>
      <c r="I50" s="3" t="s">
        <v>79</v>
      </c>
      <c r="J50" s="3" t="s">
        <v>15</v>
      </c>
      <c r="K50" s="3">
        <v>311</v>
      </c>
      <c r="L50" s="3">
        <v>38862</v>
      </c>
      <c r="M50" s="3">
        <f>+VLOOKUP(E50,'[1]VALOR M'!A:C,2,FALSE)</f>
        <v>1</v>
      </c>
      <c r="N50" s="3">
        <f>+VLOOKUP(E50,'[1]VALOR M'!A:C,3,FALSE)</f>
        <v>1</v>
      </c>
    </row>
    <row r="51" spans="1:14" hidden="1" x14ac:dyDescent="0.35">
      <c r="A51" s="3">
        <v>2025</v>
      </c>
      <c r="B51" s="3">
        <v>12</v>
      </c>
      <c r="C51" s="3">
        <v>901588412</v>
      </c>
      <c r="D51" s="3" t="s">
        <v>17</v>
      </c>
      <c r="E51" s="3" t="s">
        <v>68</v>
      </c>
      <c r="F51" s="3">
        <v>1237694340</v>
      </c>
      <c r="G51" s="3" t="s">
        <v>69</v>
      </c>
      <c r="H51" s="3">
        <v>2</v>
      </c>
      <c r="I51" s="3" t="s">
        <v>79</v>
      </c>
      <c r="J51" s="3" t="s">
        <v>15</v>
      </c>
      <c r="K51" s="3">
        <v>104</v>
      </c>
      <c r="L51" s="3">
        <v>19715</v>
      </c>
      <c r="M51" s="3">
        <f>+VLOOKUP(E51,'[1]VALOR M'!A:C,2,FALSE)</f>
        <v>1</v>
      </c>
      <c r="N51" s="3">
        <f>+VLOOKUP(E51,'[1]VALOR M'!A:C,3,FALSE)</f>
        <v>0</v>
      </c>
    </row>
    <row r="52" spans="1:14" hidden="1" x14ac:dyDescent="0.35">
      <c r="A52" s="3">
        <v>2025</v>
      </c>
      <c r="B52" s="3">
        <v>12</v>
      </c>
      <c r="C52" s="3">
        <v>901588412</v>
      </c>
      <c r="D52" s="3" t="s">
        <v>17</v>
      </c>
      <c r="E52" s="3" t="s">
        <v>44</v>
      </c>
      <c r="F52" s="3">
        <v>1289115663</v>
      </c>
      <c r="G52" s="3" t="s">
        <v>45</v>
      </c>
      <c r="H52" s="3">
        <v>1</v>
      </c>
      <c r="I52" s="3" t="s">
        <v>79</v>
      </c>
      <c r="J52" s="3" t="s">
        <v>15</v>
      </c>
      <c r="K52" s="3">
        <v>109</v>
      </c>
      <c r="L52" s="3">
        <v>31573</v>
      </c>
      <c r="M52" s="3">
        <f>+VLOOKUP(E52,'[1]VALOR M'!A:C,2,FALSE)</f>
        <v>1</v>
      </c>
      <c r="N52" s="3">
        <f>+VLOOKUP(E52,'[1]VALOR M'!A:C,3,FALSE)</f>
        <v>6</v>
      </c>
    </row>
    <row r="53" spans="1:14" hidden="1" x14ac:dyDescent="0.35">
      <c r="A53" s="3">
        <v>2025</v>
      </c>
      <c r="B53" s="3">
        <v>12</v>
      </c>
      <c r="C53" s="3">
        <v>901588412</v>
      </c>
      <c r="D53" s="3" t="s">
        <v>17</v>
      </c>
      <c r="E53" s="3" t="s">
        <v>34</v>
      </c>
      <c r="F53" s="3">
        <v>1237742088</v>
      </c>
      <c r="G53" s="3" t="s">
        <v>35</v>
      </c>
      <c r="H53" s="3">
        <v>1</v>
      </c>
      <c r="I53" s="3" t="s">
        <v>79</v>
      </c>
      <c r="J53" s="3" t="s">
        <v>15</v>
      </c>
      <c r="K53" s="3">
        <v>72</v>
      </c>
      <c r="L53" s="3">
        <v>14893</v>
      </c>
      <c r="M53" s="3">
        <f>+VLOOKUP(E53,'[1]VALOR M'!A:C,2,FALSE)</f>
        <v>1</v>
      </c>
      <c r="N53" s="3">
        <f>+VLOOKUP(E53,'[1]VALOR M'!A:C,3,FALSE)</f>
        <v>0</v>
      </c>
    </row>
    <row r="54" spans="1:14" hidden="1" x14ac:dyDescent="0.35">
      <c r="A54" s="3">
        <v>2025</v>
      </c>
      <c r="B54" s="3">
        <v>12</v>
      </c>
      <c r="C54" s="3">
        <v>901588412</v>
      </c>
      <c r="D54" s="3" t="s">
        <v>17</v>
      </c>
      <c r="E54" s="3" t="s">
        <v>40</v>
      </c>
      <c r="F54" s="3">
        <v>1237700828</v>
      </c>
      <c r="G54" s="3" t="s">
        <v>41</v>
      </c>
      <c r="H54" s="3">
        <v>1</v>
      </c>
      <c r="I54" s="3" t="s">
        <v>79</v>
      </c>
      <c r="J54" s="3" t="s">
        <v>15</v>
      </c>
      <c r="K54" s="3">
        <v>4584</v>
      </c>
      <c r="L54" s="3">
        <v>948217</v>
      </c>
      <c r="M54" s="3">
        <f>+VLOOKUP(E54,'[1]VALOR M'!A:C,2,FALSE)</f>
        <v>12</v>
      </c>
      <c r="N54" s="3">
        <f>+VLOOKUP(E54,'[1]VALOR M'!A:C,3,FALSE)</f>
        <v>43</v>
      </c>
    </row>
    <row r="55" spans="1:14" hidden="1" x14ac:dyDescent="0.35">
      <c r="A55" s="3">
        <v>2025</v>
      </c>
      <c r="B55" s="3">
        <v>12</v>
      </c>
      <c r="C55" s="3">
        <v>901588412</v>
      </c>
      <c r="D55" s="3" t="s">
        <v>17</v>
      </c>
      <c r="E55" s="3" t="s">
        <v>38</v>
      </c>
      <c r="F55" s="3">
        <v>1237708184</v>
      </c>
      <c r="G55" s="3" t="s">
        <v>39</v>
      </c>
      <c r="H55" s="3">
        <v>1</v>
      </c>
      <c r="I55" s="3" t="s">
        <v>79</v>
      </c>
      <c r="J55" s="3" t="s">
        <v>15</v>
      </c>
      <c r="K55" s="3">
        <v>5</v>
      </c>
      <c r="L55" s="3">
        <v>1034</v>
      </c>
      <c r="M55" s="3">
        <f>+VLOOKUP(E55,'[1]VALOR M'!A:C,2,FALSE)</f>
        <v>1</v>
      </c>
      <c r="N55" s="3">
        <f>+VLOOKUP(E55,'[1]VALOR M'!A:C,3,FALSE)</f>
        <v>0</v>
      </c>
    </row>
    <row r="56" spans="1:14" hidden="1" x14ac:dyDescent="0.35">
      <c r="A56" s="3">
        <v>2025</v>
      </c>
      <c r="B56" s="3">
        <v>12</v>
      </c>
      <c r="C56" s="3">
        <v>901588412</v>
      </c>
      <c r="D56" s="3" t="s">
        <v>17</v>
      </c>
      <c r="E56" s="3" t="s">
        <v>49</v>
      </c>
      <c r="F56" s="3">
        <v>1291403226</v>
      </c>
      <c r="G56" s="3" t="s">
        <v>50</v>
      </c>
      <c r="H56" s="3">
        <v>1</v>
      </c>
      <c r="I56" s="3" t="s">
        <v>79</v>
      </c>
      <c r="J56" s="3" t="s">
        <v>15</v>
      </c>
      <c r="K56" s="3">
        <v>309</v>
      </c>
      <c r="L56" s="3">
        <v>89504</v>
      </c>
      <c r="M56" s="3">
        <f>+VLOOKUP(E56,'[1]VALOR M'!A:C,2,FALSE)</f>
        <v>1</v>
      </c>
      <c r="N56" s="3">
        <f>+VLOOKUP(E56,'[1]VALOR M'!A:C,3,FALSE)</f>
        <v>5</v>
      </c>
    </row>
    <row r="57" spans="1:14" hidden="1" x14ac:dyDescent="0.35">
      <c r="A57" s="3">
        <v>2025</v>
      </c>
      <c r="B57" s="3">
        <v>12</v>
      </c>
      <c r="C57" s="3">
        <v>901588412</v>
      </c>
      <c r="D57" s="3" t="s">
        <v>17</v>
      </c>
      <c r="E57" s="3" t="s">
        <v>64</v>
      </c>
      <c r="F57" s="3">
        <v>1237776823</v>
      </c>
      <c r="G57" s="3" t="s">
        <v>65</v>
      </c>
      <c r="H57" s="3">
        <v>1</v>
      </c>
      <c r="I57" s="3" t="s">
        <v>79</v>
      </c>
      <c r="J57" s="3" t="s">
        <v>15</v>
      </c>
      <c r="K57" s="3">
        <v>2604</v>
      </c>
      <c r="L57" s="3">
        <v>754270</v>
      </c>
      <c r="M57" s="3">
        <f>+VLOOKUP(E57,'[1]VALOR M'!A:C,2,FALSE)</f>
        <v>6</v>
      </c>
      <c r="N57" s="3">
        <f>+VLOOKUP(E57,'[1]VALOR M'!A:C,3,FALSE)</f>
        <v>26</v>
      </c>
    </row>
    <row r="58" spans="1:14" hidden="1" x14ac:dyDescent="0.35">
      <c r="A58" s="3">
        <v>2025</v>
      </c>
      <c r="B58" s="3">
        <v>12</v>
      </c>
      <c r="C58" s="3">
        <v>901588412</v>
      </c>
      <c r="D58" s="3" t="s">
        <v>17</v>
      </c>
      <c r="E58" s="3" t="s">
        <v>67</v>
      </c>
      <c r="F58" s="3">
        <v>1293156459</v>
      </c>
      <c r="G58" s="3" t="s">
        <v>16</v>
      </c>
      <c r="H58" s="3">
        <v>2</v>
      </c>
      <c r="I58" s="3" t="s">
        <v>79</v>
      </c>
      <c r="J58" s="3" t="s">
        <v>80</v>
      </c>
      <c r="K58" s="3">
        <v>2228</v>
      </c>
      <c r="L58" s="3">
        <v>422359</v>
      </c>
      <c r="M58" s="3">
        <f>+VLOOKUP(E58,'[1]VALOR M'!A:C,2,FALSE)</f>
        <v>1</v>
      </c>
      <c r="N58" s="3">
        <f>+VLOOKUP(E58,'[1]VALOR M'!A:C,3,FALSE)</f>
        <v>4</v>
      </c>
    </row>
    <row r="59" spans="1:14" hidden="1" x14ac:dyDescent="0.35">
      <c r="A59" s="3">
        <v>2025</v>
      </c>
      <c r="B59" s="3">
        <v>12</v>
      </c>
      <c r="C59" s="3">
        <v>901588412</v>
      </c>
      <c r="D59" s="3" t="s">
        <v>17</v>
      </c>
      <c r="E59" s="3" t="s">
        <v>66</v>
      </c>
      <c r="F59" s="3">
        <v>1295410370</v>
      </c>
      <c r="G59" s="3" t="s">
        <v>52</v>
      </c>
      <c r="H59" s="3">
        <v>3</v>
      </c>
      <c r="I59" s="3" t="s">
        <v>79</v>
      </c>
      <c r="J59" s="3" t="s">
        <v>80</v>
      </c>
      <c r="K59" s="3">
        <v>2735</v>
      </c>
      <c r="L59" s="3">
        <v>341761</v>
      </c>
      <c r="M59" s="3">
        <f>+VLOOKUP(E59,'[1]VALOR M'!A:C,2,FALSE)</f>
        <v>1</v>
      </c>
      <c r="N59" s="3">
        <f>+VLOOKUP(E59,'[1]VALOR M'!A:C,3,FALSE)</f>
        <v>2</v>
      </c>
    </row>
  </sheetData>
  <autoFilter ref="A1:Q59" xr:uid="{17984937-F97B-49CC-9719-77E24999B222}">
    <filterColumn colId="8">
      <filters>
        <filter val="ACTIV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6CF3-542A-49A7-8904-D12494D9C7B9}">
  <sheetPr filterMode="1"/>
  <dimension ref="A1:R26"/>
  <sheetViews>
    <sheetView workbookViewId="0">
      <selection activeCell="K25" sqref="K25"/>
    </sheetView>
  </sheetViews>
  <sheetFormatPr baseColWidth="10" defaultRowHeight="14.5" x14ac:dyDescent="0.35"/>
  <cols>
    <col min="13" max="13" width="12.54296875" style="9" bestFit="1" customWidth="1"/>
    <col min="16" max="16" width="12.36328125" bestFit="1" customWidth="1"/>
    <col min="18" max="18" width="12.54296875" bestFit="1" customWidth="1"/>
  </cols>
  <sheetData>
    <row r="1" spans="1:18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7" t="s">
        <v>11</v>
      </c>
      <c r="N1" s="1" t="s">
        <v>12</v>
      </c>
      <c r="O1" s="1" t="s">
        <v>13</v>
      </c>
      <c r="P1" s="1" t="s">
        <v>81</v>
      </c>
    </row>
    <row r="2" spans="1:18" hidden="1" x14ac:dyDescent="0.35">
      <c r="A2" s="3">
        <v>2025</v>
      </c>
      <c r="B2" s="3">
        <v>12</v>
      </c>
      <c r="C2" s="3">
        <v>901588412</v>
      </c>
      <c r="D2" s="3" t="s">
        <v>17</v>
      </c>
      <c r="E2" s="3" t="s">
        <v>48</v>
      </c>
      <c r="F2" s="3">
        <v>1237744642</v>
      </c>
      <c r="G2" s="3" t="s">
        <v>35</v>
      </c>
      <c r="H2" s="3">
        <v>1</v>
      </c>
      <c r="I2" s="3" t="s">
        <v>79</v>
      </c>
      <c r="J2" s="3" t="s">
        <v>15</v>
      </c>
      <c r="K2" s="3">
        <f>L2/N2</f>
        <v>266</v>
      </c>
      <c r="L2" s="3">
        <f>266/N2</f>
        <v>266</v>
      </c>
      <c r="M2" s="8">
        <v>55062</v>
      </c>
      <c r="N2" s="3">
        <v>1</v>
      </c>
      <c r="O2" s="3">
        <v>0</v>
      </c>
      <c r="P2" s="6">
        <v>206.85356999999999</v>
      </c>
    </row>
    <row r="3" spans="1:18" hidden="1" x14ac:dyDescent="0.35">
      <c r="A3" s="3">
        <v>2025</v>
      </c>
      <c r="B3" s="3">
        <v>12</v>
      </c>
      <c r="C3" s="3">
        <v>901588412</v>
      </c>
      <c r="D3" s="3" t="s">
        <v>17</v>
      </c>
      <c r="E3" s="3" t="s">
        <v>55</v>
      </c>
      <c r="F3" s="3">
        <v>1237697691</v>
      </c>
      <c r="G3" s="3" t="s">
        <v>56</v>
      </c>
      <c r="H3" s="3">
        <v>1</v>
      </c>
      <c r="I3" s="3" t="s">
        <v>79</v>
      </c>
      <c r="J3" s="3" t="s">
        <v>15</v>
      </c>
      <c r="K3" s="3">
        <f t="shared" ref="K3:K26" si="0">L3/N3</f>
        <v>9</v>
      </c>
      <c r="L3" s="3">
        <v>9</v>
      </c>
      <c r="M3" s="8">
        <v>1862</v>
      </c>
      <c r="N3" s="3">
        <v>1</v>
      </c>
      <c r="O3" s="3">
        <v>0</v>
      </c>
      <c r="P3" s="6">
        <v>206.85356999999999</v>
      </c>
    </row>
    <row r="4" spans="1:18" hidden="1" x14ac:dyDescent="0.35">
      <c r="A4" s="3">
        <v>2025</v>
      </c>
      <c r="B4" s="3">
        <v>12</v>
      </c>
      <c r="C4" s="3">
        <v>901588412</v>
      </c>
      <c r="D4" s="3" t="s">
        <v>17</v>
      </c>
      <c r="E4" s="3" t="s">
        <v>46</v>
      </c>
      <c r="F4" s="3">
        <v>1237716499</v>
      </c>
      <c r="G4" s="3" t="s">
        <v>47</v>
      </c>
      <c r="H4" s="3">
        <v>1</v>
      </c>
      <c r="I4" s="3" t="s">
        <v>79</v>
      </c>
      <c r="J4" s="3" t="s">
        <v>15</v>
      </c>
      <c r="K4" s="3">
        <f t="shared" si="0"/>
        <v>194</v>
      </c>
      <c r="L4" s="3">
        <v>194</v>
      </c>
      <c r="M4" s="8">
        <v>56194</v>
      </c>
      <c r="N4" s="3">
        <v>1</v>
      </c>
      <c r="O4" s="3">
        <v>0</v>
      </c>
      <c r="P4" s="5">
        <v>289.65809999999999</v>
      </c>
    </row>
    <row r="5" spans="1:18" hidden="1" x14ac:dyDescent="0.35">
      <c r="A5" s="3">
        <v>2025</v>
      </c>
      <c r="B5" s="3">
        <v>12</v>
      </c>
      <c r="C5" s="3">
        <v>901588412</v>
      </c>
      <c r="D5" s="3" t="s">
        <v>17</v>
      </c>
      <c r="E5" s="3" t="s">
        <v>72</v>
      </c>
      <c r="F5" s="3">
        <v>1291400885</v>
      </c>
      <c r="G5" s="3" t="s">
        <v>25</v>
      </c>
      <c r="H5" s="3">
        <v>1</v>
      </c>
      <c r="I5" s="3" t="s">
        <v>79</v>
      </c>
      <c r="J5" s="3" t="s">
        <v>15</v>
      </c>
      <c r="K5" s="3">
        <f t="shared" si="0"/>
        <v>1210</v>
      </c>
      <c r="L5" s="3">
        <v>1210</v>
      </c>
      <c r="M5" s="8">
        <v>250293</v>
      </c>
      <c r="N5" s="3">
        <v>1</v>
      </c>
      <c r="O5" s="3">
        <v>5</v>
      </c>
      <c r="P5" s="6">
        <v>206.85356999999999</v>
      </c>
    </row>
    <row r="6" spans="1:18" hidden="1" x14ac:dyDescent="0.35">
      <c r="A6" s="3">
        <v>2025</v>
      </c>
      <c r="B6" s="3">
        <v>12</v>
      </c>
      <c r="C6" s="3">
        <v>901588412</v>
      </c>
      <c r="D6" s="3" t="s">
        <v>17</v>
      </c>
      <c r="E6" s="3" t="s">
        <v>62</v>
      </c>
      <c r="F6" s="3">
        <v>1289145380</v>
      </c>
      <c r="G6" s="3" t="s">
        <v>63</v>
      </c>
      <c r="H6" s="3">
        <v>1</v>
      </c>
      <c r="I6" s="3" t="s">
        <v>79</v>
      </c>
      <c r="J6" s="3" t="s">
        <v>15</v>
      </c>
      <c r="K6" s="3">
        <f t="shared" si="0"/>
        <v>1471</v>
      </c>
      <c r="L6" s="3">
        <v>1471</v>
      </c>
      <c r="M6" s="8">
        <v>304282</v>
      </c>
      <c r="N6" s="3">
        <v>1</v>
      </c>
      <c r="O6" s="3">
        <v>6</v>
      </c>
      <c r="P6" s="6">
        <v>206.85356999999999</v>
      </c>
    </row>
    <row r="7" spans="1:18" hidden="1" x14ac:dyDescent="0.35">
      <c r="A7" s="3">
        <v>2025</v>
      </c>
      <c r="B7" s="3">
        <v>12</v>
      </c>
      <c r="C7" s="3">
        <v>901588412</v>
      </c>
      <c r="D7" s="3" t="s">
        <v>17</v>
      </c>
      <c r="E7" s="3" t="s">
        <v>53</v>
      </c>
      <c r="F7" s="3">
        <v>1237706510</v>
      </c>
      <c r="G7" s="3" t="s">
        <v>54</v>
      </c>
      <c r="H7" s="3">
        <v>2</v>
      </c>
      <c r="I7" s="3" t="s">
        <v>79</v>
      </c>
      <c r="J7" s="3" t="s">
        <v>15</v>
      </c>
      <c r="K7" s="3">
        <f t="shared" si="0"/>
        <v>18</v>
      </c>
      <c r="L7" s="3">
        <v>18</v>
      </c>
      <c r="M7" s="8">
        <v>3412</v>
      </c>
      <c r="N7" s="3">
        <v>1</v>
      </c>
      <c r="O7" s="3">
        <v>0</v>
      </c>
      <c r="P7" s="5">
        <v>189.56882999999999</v>
      </c>
    </row>
    <row r="8" spans="1:18" hidden="1" x14ac:dyDescent="0.35">
      <c r="A8" s="3">
        <v>2025</v>
      </c>
      <c r="B8" s="3">
        <v>12</v>
      </c>
      <c r="C8" s="3">
        <v>901588412</v>
      </c>
      <c r="D8" s="3" t="s">
        <v>17</v>
      </c>
      <c r="E8" s="3" t="s">
        <v>36</v>
      </c>
      <c r="F8" s="3">
        <v>1237737014</v>
      </c>
      <c r="G8" s="3" t="s">
        <v>37</v>
      </c>
      <c r="H8" s="3">
        <v>1</v>
      </c>
      <c r="I8" s="3" t="s">
        <v>79</v>
      </c>
      <c r="J8" s="3" t="s">
        <v>15</v>
      </c>
      <c r="K8" s="3">
        <f t="shared" si="0"/>
        <v>44</v>
      </c>
      <c r="L8" s="3">
        <v>528</v>
      </c>
      <c r="M8" s="8">
        <v>109219</v>
      </c>
      <c r="N8" s="3">
        <v>12</v>
      </c>
      <c r="O8" s="3">
        <v>60</v>
      </c>
      <c r="P8" s="6">
        <v>206.85356999999999</v>
      </c>
      <c r="R8" s="4"/>
    </row>
    <row r="9" spans="1:18" hidden="1" x14ac:dyDescent="0.35">
      <c r="A9" s="3">
        <v>2025</v>
      </c>
      <c r="B9" s="3">
        <v>12</v>
      </c>
      <c r="C9" s="3">
        <v>901588412</v>
      </c>
      <c r="D9" s="3" t="s">
        <v>17</v>
      </c>
      <c r="E9" s="3" t="s">
        <v>28</v>
      </c>
      <c r="F9" s="3">
        <v>1237710707</v>
      </c>
      <c r="G9" s="3" t="s">
        <v>29</v>
      </c>
      <c r="H9" s="3">
        <v>1</v>
      </c>
      <c r="I9" s="3" t="s">
        <v>79</v>
      </c>
      <c r="J9" s="3" t="s">
        <v>15</v>
      </c>
      <c r="K9" s="3">
        <f t="shared" si="0"/>
        <v>3</v>
      </c>
      <c r="L9" s="3">
        <v>30</v>
      </c>
      <c r="M9" s="8">
        <v>8690</v>
      </c>
      <c r="N9" s="3">
        <v>10</v>
      </c>
      <c r="O9" s="3">
        <v>32</v>
      </c>
      <c r="P9" s="5">
        <v>289.65809999999999</v>
      </c>
    </row>
    <row r="10" spans="1:18" hidden="1" x14ac:dyDescent="0.35">
      <c r="A10" s="3">
        <v>2025</v>
      </c>
      <c r="B10" s="3">
        <v>12</v>
      </c>
      <c r="C10" s="3">
        <v>901588412</v>
      </c>
      <c r="D10" s="3" t="s">
        <v>17</v>
      </c>
      <c r="E10" s="3" t="s">
        <v>32</v>
      </c>
      <c r="F10" s="3">
        <v>1256411828</v>
      </c>
      <c r="G10" s="3" t="s">
        <v>33</v>
      </c>
      <c r="H10" s="3">
        <v>3</v>
      </c>
      <c r="I10" s="3" t="s">
        <v>79</v>
      </c>
      <c r="J10" s="3" t="s">
        <v>15</v>
      </c>
      <c r="K10" s="3">
        <f t="shared" si="0"/>
        <v>11</v>
      </c>
      <c r="L10" s="3">
        <v>11</v>
      </c>
      <c r="M10" s="8">
        <v>1375</v>
      </c>
      <c r="N10" s="3">
        <v>1</v>
      </c>
      <c r="O10" s="3">
        <v>3</v>
      </c>
      <c r="P10" s="5">
        <v>124.95822</v>
      </c>
    </row>
    <row r="11" spans="1:18" hidden="1" x14ac:dyDescent="0.35">
      <c r="A11" s="3">
        <v>2025</v>
      </c>
      <c r="B11" s="3">
        <v>12</v>
      </c>
      <c r="C11" s="3">
        <v>901588412</v>
      </c>
      <c r="D11" s="3" t="s">
        <v>17</v>
      </c>
      <c r="E11" s="3" t="s">
        <v>77</v>
      </c>
      <c r="F11" s="3">
        <v>1237705733</v>
      </c>
      <c r="G11" s="3" t="s">
        <v>78</v>
      </c>
      <c r="H11" s="3">
        <v>1</v>
      </c>
      <c r="I11" s="3" t="s">
        <v>79</v>
      </c>
      <c r="J11" s="3" t="s">
        <v>15</v>
      </c>
      <c r="K11" s="3">
        <f t="shared" si="0"/>
        <v>767</v>
      </c>
      <c r="L11" s="3">
        <v>9204</v>
      </c>
      <c r="M11" s="8">
        <v>1903881</v>
      </c>
      <c r="N11" s="3">
        <v>12</v>
      </c>
      <c r="O11" s="3">
        <v>35</v>
      </c>
      <c r="P11" s="6">
        <v>206.85356999999999</v>
      </c>
    </row>
    <row r="12" spans="1:18" hidden="1" x14ac:dyDescent="0.35">
      <c r="A12" s="3">
        <v>2025</v>
      </c>
      <c r="B12" s="3">
        <v>12</v>
      </c>
      <c r="C12" s="3">
        <v>901588412</v>
      </c>
      <c r="D12" s="3" t="s">
        <v>17</v>
      </c>
      <c r="E12" s="3" t="s">
        <v>42</v>
      </c>
      <c r="F12" s="3">
        <v>1294995423</v>
      </c>
      <c r="G12" s="3" t="s">
        <v>43</v>
      </c>
      <c r="H12" s="3">
        <v>1</v>
      </c>
      <c r="I12" s="3" t="s">
        <v>79</v>
      </c>
      <c r="J12" s="3" t="s">
        <v>15</v>
      </c>
      <c r="K12" s="3">
        <f t="shared" si="0"/>
        <v>12</v>
      </c>
      <c r="L12" s="3">
        <v>12</v>
      </c>
      <c r="M12" s="8">
        <v>3476</v>
      </c>
      <c r="N12" s="3">
        <v>1</v>
      </c>
      <c r="O12" s="3">
        <v>2</v>
      </c>
      <c r="P12" s="5">
        <v>289.65809999999999</v>
      </c>
    </row>
    <row r="13" spans="1:18" hidden="1" x14ac:dyDescent="0.35">
      <c r="A13" s="3">
        <v>2025</v>
      </c>
      <c r="B13" s="3">
        <v>12</v>
      </c>
      <c r="C13" s="3">
        <v>901588412</v>
      </c>
      <c r="D13" s="3" t="s">
        <v>17</v>
      </c>
      <c r="E13" s="3" t="s">
        <v>70</v>
      </c>
      <c r="F13" s="3">
        <v>1237707307</v>
      </c>
      <c r="G13" s="3" t="s">
        <v>71</v>
      </c>
      <c r="H13" s="3">
        <v>1</v>
      </c>
      <c r="I13" s="3" t="s">
        <v>79</v>
      </c>
      <c r="J13" s="3" t="s">
        <v>15</v>
      </c>
      <c r="K13" s="3">
        <f t="shared" si="0"/>
        <v>195</v>
      </c>
      <c r="L13" s="3">
        <v>2340</v>
      </c>
      <c r="M13" s="8">
        <v>484037</v>
      </c>
      <c r="N13" s="3">
        <v>12</v>
      </c>
      <c r="O13" s="3">
        <v>42</v>
      </c>
      <c r="P13" s="6">
        <v>206.85356999999999</v>
      </c>
    </row>
    <row r="14" spans="1:18" hidden="1" x14ac:dyDescent="0.35">
      <c r="A14" s="3">
        <v>2025</v>
      </c>
      <c r="B14" s="3">
        <v>12</v>
      </c>
      <c r="C14" s="3">
        <v>901588412</v>
      </c>
      <c r="D14" s="3" t="s">
        <v>17</v>
      </c>
      <c r="E14" s="3" t="s">
        <v>24</v>
      </c>
      <c r="F14" s="3">
        <v>1291404003</v>
      </c>
      <c r="G14" s="3" t="s">
        <v>25</v>
      </c>
      <c r="H14" s="3">
        <v>1</v>
      </c>
      <c r="I14" s="3" t="s">
        <v>79</v>
      </c>
      <c r="J14" s="3" t="s">
        <v>15</v>
      </c>
      <c r="K14" s="3">
        <f t="shared" si="0"/>
        <v>249</v>
      </c>
      <c r="L14" s="3">
        <v>249</v>
      </c>
      <c r="M14" s="8">
        <v>51507</v>
      </c>
      <c r="N14" s="3">
        <v>1</v>
      </c>
      <c r="O14" s="3">
        <v>5</v>
      </c>
      <c r="P14" s="6">
        <v>206.85356999999999</v>
      </c>
    </row>
    <row r="15" spans="1:18" x14ac:dyDescent="0.35">
      <c r="A15" s="3">
        <v>2025</v>
      </c>
      <c r="B15" s="3">
        <v>12</v>
      </c>
      <c r="C15" s="3">
        <v>901588412</v>
      </c>
      <c r="D15" s="3" t="s">
        <v>17</v>
      </c>
      <c r="E15" s="3" t="s">
        <v>67</v>
      </c>
      <c r="F15" s="3">
        <v>1293156459</v>
      </c>
      <c r="G15" s="3" t="s">
        <v>16</v>
      </c>
      <c r="H15" s="3">
        <v>2</v>
      </c>
      <c r="I15" s="3" t="s">
        <v>79</v>
      </c>
      <c r="J15" s="3" t="s">
        <v>15</v>
      </c>
      <c r="K15" s="3">
        <f t="shared" si="0"/>
        <v>534</v>
      </c>
      <c r="L15" s="3">
        <v>534</v>
      </c>
      <c r="M15" s="8">
        <v>101230</v>
      </c>
      <c r="N15" s="3">
        <v>1</v>
      </c>
      <c r="O15" s="3">
        <v>4</v>
      </c>
      <c r="P15" s="5">
        <v>189.56882999999999</v>
      </c>
    </row>
    <row r="16" spans="1:18" hidden="1" x14ac:dyDescent="0.35">
      <c r="A16" s="3">
        <v>2025</v>
      </c>
      <c r="B16" s="3">
        <v>12</v>
      </c>
      <c r="C16" s="3">
        <v>901588412</v>
      </c>
      <c r="D16" s="3" t="s">
        <v>17</v>
      </c>
      <c r="E16" s="3" t="s">
        <v>30</v>
      </c>
      <c r="F16" s="3">
        <v>1256408428</v>
      </c>
      <c r="G16" s="3" t="s">
        <v>31</v>
      </c>
      <c r="H16" s="3">
        <v>2</v>
      </c>
      <c r="I16" s="3" t="s">
        <v>79</v>
      </c>
      <c r="J16" s="3" t="s">
        <v>15</v>
      </c>
      <c r="K16" s="3">
        <f t="shared" si="0"/>
        <v>91</v>
      </c>
      <c r="L16" s="3">
        <v>1092</v>
      </c>
      <c r="M16" s="8">
        <v>207009</v>
      </c>
      <c r="N16" s="3">
        <v>12</v>
      </c>
      <c r="O16" s="3">
        <v>60</v>
      </c>
      <c r="P16" s="5">
        <v>189.56882999999999</v>
      </c>
    </row>
    <row r="17" spans="1:16" hidden="1" x14ac:dyDescent="0.35">
      <c r="A17" s="3">
        <v>2025</v>
      </c>
      <c r="B17" s="3">
        <v>12</v>
      </c>
      <c r="C17" s="3">
        <v>901588412</v>
      </c>
      <c r="D17" s="3" t="s">
        <v>17</v>
      </c>
      <c r="E17" s="3" t="s">
        <v>51</v>
      </c>
      <c r="F17" s="3">
        <v>1295421026</v>
      </c>
      <c r="G17" s="3" t="s">
        <v>52</v>
      </c>
      <c r="H17" s="3">
        <v>3</v>
      </c>
      <c r="I17" s="3" t="s">
        <v>79</v>
      </c>
      <c r="J17" s="3" t="s">
        <v>15</v>
      </c>
      <c r="K17" s="3">
        <f t="shared" si="0"/>
        <v>311</v>
      </c>
      <c r="L17" s="3">
        <v>311</v>
      </c>
      <c r="M17" s="8">
        <v>38862</v>
      </c>
      <c r="N17" s="3">
        <v>1</v>
      </c>
      <c r="O17" s="3">
        <v>1</v>
      </c>
      <c r="P17" s="5">
        <v>124.95822</v>
      </c>
    </row>
    <row r="18" spans="1:16" hidden="1" x14ac:dyDescent="0.35">
      <c r="A18" s="3">
        <v>2025</v>
      </c>
      <c r="B18" s="3">
        <v>12</v>
      </c>
      <c r="C18" s="3">
        <v>901588412</v>
      </c>
      <c r="D18" s="3" t="s">
        <v>17</v>
      </c>
      <c r="E18" s="3" t="s">
        <v>68</v>
      </c>
      <c r="F18" s="3">
        <v>1237694340</v>
      </c>
      <c r="G18" s="3" t="s">
        <v>69</v>
      </c>
      <c r="H18" s="3">
        <v>2</v>
      </c>
      <c r="I18" s="3" t="s">
        <v>79</v>
      </c>
      <c r="J18" s="3" t="s">
        <v>15</v>
      </c>
      <c r="K18" s="3">
        <f t="shared" si="0"/>
        <v>104</v>
      </c>
      <c r="L18" s="3">
        <v>104</v>
      </c>
      <c r="M18" s="8">
        <v>19715</v>
      </c>
      <c r="N18" s="3">
        <v>1</v>
      </c>
      <c r="O18" s="3">
        <v>0</v>
      </c>
      <c r="P18" s="5">
        <v>189.56882999999999</v>
      </c>
    </row>
    <row r="19" spans="1:16" hidden="1" x14ac:dyDescent="0.35">
      <c r="A19" s="3">
        <v>2025</v>
      </c>
      <c r="B19" s="3">
        <v>12</v>
      </c>
      <c r="C19" s="3">
        <v>901588412</v>
      </c>
      <c r="D19" s="3" t="s">
        <v>17</v>
      </c>
      <c r="E19" s="3" t="s">
        <v>44</v>
      </c>
      <c r="F19" s="3">
        <v>1289115663</v>
      </c>
      <c r="G19" s="3" t="s">
        <v>45</v>
      </c>
      <c r="H19" s="3">
        <v>1</v>
      </c>
      <c r="I19" s="3" t="s">
        <v>79</v>
      </c>
      <c r="J19" s="3" t="s">
        <v>15</v>
      </c>
      <c r="K19" s="3">
        <f t="shared" si="0"/>
        <v>109</v>
      </c>
      <c r="L19" s="3">
        <v>109</v>
      </c>
      <c r="M19" s="8">
        <v>31573</v>
      </c>
      <c r="N19" s="3">
        <v>1</v>
      </c>
      <c r="O19" s="3">
        <v>6</v>
      </c>
      <c r="P19" s="5">
        <v>289.65809999999999</v>
      </c>
    </row>
    <row r="20" spans="1:16" hidden="1" x14ac:dyDescent="0.35">
      <c r="A20" s="3">
        <v>2025</v>
      </c>
      <c r="B20" s="3">
        <v>12</v>
      </c>
      <c r="C20" s="3">
        <v>901588412</v>
      </c>
      <c r="D20" s="3" t="s">
        <v>17</v>
      </c>
      <c r="E20" s="3" t="s">
        <v>34</v>
      </c>
      <c r="F20" s="3">
        <v>1237742088</v>
      </c>
      <c r="G20" s="3" t="s">
        <v>35</v>
      </c>
      <c r="H20" s="3">
        <v>1</v>
      </c>
      <c r="I20" s="3" t="s">
        <v>79</v>
      </c>
      <c r="J20" s="3" t="s">
        <v>15</v>
      </c>
      <c r="K20" s="3">
        <f t="shared" si="0"/>
        <v>72</v>
      </c>
      <c r="L20" s="3">
        <v>72</v>
      </c>
      <c r="M20" s="8">
        <v>14893</v>
      </c>
      <c r="N20" s="3">
        <v>1</v>
      </c>
      <c r="O20" s="3">
        <v>0</v>
      </c>
      <c r="P20" s="6">
        <v>206.85356999999999</v>
      </c>
    </row>
    <row r="21" spans="1:16" hidden="1" x14ac:dyDescent="0.35">
      <c r="A21" s="3">
        <v>2025</v>
      </c>
      <c r="B21" s="3">
        <v>12</v>
      </c>
      <c r="C21" s="3">
        <v>901588412</v>
      </c>
      <c r="D21" s="3" t="s">
        <v>17</v>
      </c>
      <c r="E21" s="3" t="s">
        <v>40</v>
      </c>
      <c r="F21" s="3">
        <v>1237700828</v>
      </c>
      <c r="G21" s="3" t="s">
        <v>41</v>
      </c>
      <c r="H21" s="3">
        <v>1</v>
      </c>
      <c r="I21" s="3" t="s">
        <v>79</v>
      </c>
      <c r="J21" s="3" t="s">
        <v>15</v>
      </c>
      <c r="K21" s="3">
        <f t="shared" si="0"/>
        <v>382</v>
      </c>
      <c r="L21" s="3">
        <v>4584</v>
      </c>
      <c r="M21" s="8">
        <v>948217</v>
      </c>
      <c r="N21" s="3">
        <v>12</v>
      </c>
      <c r="O21" s="3">
        <v>43</v>
      </c>
      <c r="P21" s="6">
        <v>206.85356999999999</v>
      </c>
    </row>
    <row r="22" spans="1:16" hidden="1" x14ac:dyDescent="0.35">
      <c r="A22" s="3">
        <v>2025</v>
      </c>
      <c r="B22" s="3">
        <v>12</v>
      </c>
      <c r="C22" s="3">
        <v>901588412</v>
      </c>
      <c r="D22" s="3" t="s">
        <v>17</v>
      </c>
      <c r="E22" s="3" t="s">
        <v>38</v>
      </c>
      <c r="F22" s="3">
        <v>1237708184</v>
      </c>
      <c r="G22" s="3" t="s">
        <v>39</v>
      </c>
      <c r="H22" s="3">
        <v>1</v>
      </c>
      <c r="I22" s="3" t="s">
        <v>79</v>
      </c>
      <c r="J22" s="3" t="s">
        <v>15</v>
      </c>
      <c r="K22" s="3">
        <f t="shared" si="0"/>
        <v>5</v>
      </c>
      <c r="L22" s="3">
        <v>5</v>
      </c>
      <c r="M22" s="8">
        <v>1034</v>
      </c>
      <c r="N22" s="3">
        <v>1</v>
      </c>
      <c r="O22" s="3">
        <v>0</v>
      </c>
      <c r="P22" s="6">
        <v>206.85356999999999</v>
      </c>
    </row>
    <row r="23" spans="1:16" hidden="1" x14ac:dyDescent="0.35">
      <c r="A23" s="3">
        <v>2025</v>
      </c>
      <c r="B23" s="3">
        <v>12</v>
      </c>
      <c r="C23" s="3">
        <v>901588412</v>
      </c>
      <c r="D23" s="3" t="s">
        <v>17</v>
      </c>
      <c r="E23" s="3" t="s">
        <v>49</v>
      </c>
      <c r="F23" s="3">
        <v>1291403226</v>
      </c>
      <c r="G23" s="3" t="s">
        <v>50</v>
      </c>
      <c r="H23" s="3">
        <v>1</v>
      </c>
      <c r="I23" s="3" t="s">
        <v>79</v>
      </c>
      <c r="J23" s="3" t="s">
        <v>15</v>
      </c>
      <c r="K23" s="3">
        <f t="shared" si="0"/>
        <v>309</v>
      </c>
      <c r="L23" s="3">
        <v>309</v>
      </c>
      <c r="M23" s="8">
        <v>89504</v>
      </c>
      <c r="N23" s="3">
        <v>1</v>
      </c>
      <c r="O23" s="3">
        <v>5</v>
      </c>
      <c r="P23" s="5">
        <v>289.65809999999999</v>
      </c>
    </row>
    <row r="24" spans="1:16" hidden="1" x14ac:dyDescent="0.35">
      <c r="A24" s="3">
        <v>2025</v>
      </c>
      <c r="B24" s="3">
        <v>12</v>
      </c>
      <c r="C24" s="3">
        <v>901588412</v>
      </c>
      <c r="D24" s="3" t="s">
        <v>17</v>
      </c>
      <c r="E24" s="3" t="s">
        <v>64</v>
      </c>
      <c r="F24" s="3">
        <v>1237776823</v>
      </c>
      <c r="G24" s="3" t="s">
        <v>65</v>
      </c>
      <c r="H24" s="3">
        <v>1</v>
      </c>
      <c r="I24" s="3" t="s">
        <v>79</v>
      </c>
      <c r="J24" s="3" t="s">
        <v>15</v>
      </c>
      <c r="K24" s="3">
        <f t="shared" si="0"/>
        <v>434</v>
      </c>
      <c r="L24" s="3">
        <v>2604</v>
      </c>
      <c r="M24" s="8">
        <v>754270</v>
      </c>
      <c r="N24" s="3">
        <v>6</v>
      </c>
      <c r="O24" s="3">
        <v>26</v>
      </c>
      <c r="P24" s="5">
        <v>289.65809999999999</v>
      </c>
    </row>
    <row r="25" spans="1:16" x14ac:dyDescent="0.35">
      <c r="A25" s="3">
        <v>2025</v>
      </c>
      <c r="B25" s="3">
        <v>12</v>
      </c>
      <c r="C25" s="3">
        <v>901588412</v>
      </c>
      <c r="D25" s="3" t="s">
        <v>17</v>
      </c>
      <c r="E25" s="3" t="s">
        <v>67</v>
      </c>
      <c r="F25" s="3">
        <v>1293156459</v>
      </c>
      <c r="G25" s="3" t="s">
        <v>16</v>
      </c>
      <c r="H25" s="3">
        <v>2</v>
      </c>
      <c r="I25" s="3" t="s">
        <v>79</v>
      </c>
      <c r="J25" s="3" t="s">
        <v>80</v>
      </c>
      <c r="K25" s="3">
        <f t="shared" si="0"/>
        <v>2228</v>
      </c>
      <c r="L25" s="3">
        <v>2228</v>
      </c>
      <c r="M25" s="8">
        <v>422359</v>
      </c>
      <c r="N25" s="3">
        <v>1</v>
      </c>
      <c r="O25" s="3">
        <v>4</v>
      </c>
      <c r="P25" s="5">
        <v>189.56882999999999</v>
      </c>
    </row>
    <row r="26" spans="1:16" hidden="1" x14ac:dyDescent="0.35">
      <c r="A26" s="3">
        <v>2025</v>
      </c>
      <c r="B26" s="3">
        <v>12</v>
      </c>
      <c r="C26" s="3">
        <v>901588412</v>
      </c>
      <c r="D26" s="3" t="s">
        <v>17</v>
      </c>
      <c r="E26" s="3" t="s">
        <v>66</v>
      </c>
      <c r="F26" s="3">
        <v>1295410370</v>
      </c>
      <c r="G26" s="3" t="s">
        <v>52</v>
      </c>
      <c r="H26" s="3">
        <v>3</v>
      </c>
      <c r="I26" s="3" t="s">
        <v>79</v>
      </c>
      <c r="J26" s="3" t="s">
        <v>80</v>
      </c>
      <c r="K26" s="3">
        <f t="shared" si="0"/>
        <v>2735</v>
      </c>
      <c r="L26" s="3">
        <v>2735</v>
      </c>
      <c r="M26" s="8">
        <v>341761</v>
      </c>
      <c r="N26" s="3">
        <v>1</v>
      </c>
      <c r="O26" s="3">
        <v>2</v>
      </c>
      <c r="P26" s="5">
        <v>124.95822</v>
      </c>
    </row>
  </sheetData>
  <autoFilter ref="A1:P26" xr:uid="{83356CF3-542A-49A7-8904-D12494D9C7B9}">
    <filterColumn colId="4">
      <filters>
        <filter val="Frt78456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Fuente resumen_peajes SIEC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Guataqui C.</dc:creator>
  <cp:lastModifiedBy>Customer Experience</cp:lastModifiedBy>
  <dcterms:created xsi:type="dcterms:W3CDTF">2026-01-08T14:07:13Z</dcterms:created>
  <dcterms:modified xsi:type="dcterms:W3CDTF">2026-01-09T22:06:44Z</dcterms:modified>
</cp:coreProperties>
</file>