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LIQUIDACIONES\PRELIQUIDACIONES SDL\13. Consumos Diciembre\"/>
    </mc:Choice>
  </mc:AlternateContent>
  <xr:revisionPtr revIDLastSave="0" documentId="8_{FD75A72F-CE86-4CDE-A923-76C4B9BF1B2D}" xr6:coauthVersionLast="47" xr6:coauthVersionMax="47" xr10:uidLastSave="{00000000-0000-0000-0000-000000000000}"/>
  <bookViews>
    <workbookView xWindow="-108" yWindow="-108" windowWidth="23256" windowHeight="12456" xr2:uid="{6BD176D3-AC39-435A-9E3B-56987CA35EFE}"/>
  </bookViews>
  <sheets>
    <sheet name="DETALLE FACT PEAJES" sheetId="5" r:id="rId1"/>
    <sheet name="CONSOLIDADO PEAJES" sheetId="1" r:id="rId2"/>
  </sheets>
  <definedNames>
    <definedName name="_xlnm._FilterDatabase" localSheetId="1" hidden="1">'CONSOLIDADO PEAJES'!$A$1:$AD$1910</definedName>
    <definedName name="_xlnm._FilterDatabase" localSheetId="0" hidden="1">'DETALLE FACT PEAJES'!$A$1:$P$516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6" i="5" l="1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5" i="5"/>
  <c r="Q4" i="5"/>
  <c r="Q3" i="5"/>
  <c r="Q2" i="5"/>
  <c r="N2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M516" i="5"/>
  <c r="M483" i="5"/>
  <c r="M482" i="5"/>
  <c r="M515" i="5"/>
  <c r="N515" i="5" s="1"/>
  <c r="M514" i="5"/>
  <c r="N514" i="5" s="1"/>
  <c r="M513" i="5"/>
  <c r="N513" i="5" s="1"/>
  <c r="M481" i="5"/>
  <c r="M480" i="5"/>
  <c r="M479" i="5"/>
  <c r="M478" i="5"/>
  <c r="M477" i="5"/>
  <c r="M476" i="5"/>
  <c r="M475" i="5"/>
  <c r="M474" i="5"/>
  <c r="M473" i="5"/>
  <c r="M472" i="5"/>
  <c r="M471" i="5"/>
  <c r="M512" i="5"/>
  <c r="N512" i="5" s="1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N456" i="5" s="1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N442" i="5" s="1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N427" i="5" s="1"/>
  <c r="M426" i="5"/>
  <c r="M425" i="5"/>
  <c r="M424" i="5"/>
  <c r="M423" i="5"/>
  <c r="M422" i="5"/>
  <c r="M421" i="5"/>
  <c r="M420" i="5"/>
  <c r="M511" i="5"/>
  <c r="N511" i="5" s="1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510" i="5"/>
  <c r="N510" i="5" s="1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509" i="5"/>
  <c r="N509" i="5" s="1"/>
  <c r="M508" i="5"/>
  <c r="N508" i="5" s="1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507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506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505" i="5"/>
  <c r="M310" i="5"/>
  <c r="M309" i="5"/>
  <c r="M308" i="5"/>
  <c r="M307" i="5"/>
  <c r="M306" i="5"/>
  <c r="M305" i="5"/>
  <c r="N305" i="5" s="1"/>
  <c r="M304" i="5"/>
  <c r="N304" i="5" s="1"/>
  <c r="M303" i="5"/>
  <c r="M302" i="5"/>
  <c r="M301" i="5"/>
  <c r="M300" i="5"/>
  <c r="M299" i="5"/>
  <c r="M298" i="5"/>
  <c r="M297" i="5"/>
  <c r="M296" i="5"/>
  <c r="M295" i="5"/>
  <c r="M294" i="5"/>
  <c r="M293" i="5"/>
  <c r="N293" i="5" s="1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504" i="5"/>
  <c r="M274" i="5"/>
  <c r="M273" i="5"/>
  <c r="M272" i="5"/>
  <c r="M271" i="5"/>
  <c r="M270" i="5"/>
  <c r="M269" i="5"/>
  <c r="M268" i="5"/>
  <c r="N268" i="5" s="1"/>
  <c r="M267" i="5"/>
  <c r="N267" i="5" s="1"/>
  <c r="M266" i="5"/>
  <c r="M265" i="5"/>
  <c r="M264" i="5"/>
  <c r="M263" i="5"/>
  <c r="M262" i="5"/>
  <c r="M261" i="5"/>
  <c r="M260" i="5"/>
  <c r="N260" i="5" s="1"/>
  <c r="M259" i="5"/>
  <c r="M258" i="5"/>
  <c r="N258" i="5" s="1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503" i="5"/>
  <c r="M241" i="5"/>
  <c r="M240" i="5"/>
  <c r="M502" i="5"/>
  <c r="N502" i="5" s="1"/>
  <c r="M239" i="5"/>
  <c r="M238" i="5"/>
  <c r="M237" i="5"/>
  <c r="M236" i="5"/>
  <c r="M235" i="5"/>
  <c r="M234" i="5"/>
  <c r="M233" i="5"/>
  <c r="M232" i="5"/>
  <c r="M231" i="5"/>
  <c r="M230" i="5"/>
  <c r="M501" i="5"/>
  <c r="N501" i="5" s="1"/>
  <c r="M229" i="5"/>
  <c r="M500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499" i="5"/>
  <c r="M498" i="5"/>
  <c r="N498" i="5" s="1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497" i="5"/>
  <c r="N497" i="5" s="1"/>
  <c r="M197" i="5"/>
  <c r="M196" i="5"/>
  <c r="M195" i="5"/>
  <c r="M496" i="5"/>
  <c r="N496" i="5" s="1"/>
  <c r="M194" i="5"/>
  <c r="M495" i="5"/>
  <c r="N495" i="5" s="1"/>
  <c r="M193" i="5"/>
  <c r="M192" i="5"/>
  <c r="M191" i="5"/>
  <c r="M190" i="5"/>
  <c r="M189" i="5"/>
  <c r="M188" i="5"/>
  <c r="M187" i="5"/>
  <c r="M186" i="5"/>
  <c r="M185" i="5"/>
  <c r="M184" i="5"/>
  <c r="M183" i="5"/>
  <c r="M494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49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2" i="5"/>
  <c r="N492" i="5" s="1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491" i="5"/>
  <c r="N491" i="5" s="1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490" i="5"/>
  <c r="M14" i="5"/>
  <c r="M13" i="5"/>
  <c r="M12" i="5"/>
  <c r="M11" i="5"/>
  <c r="M10" i="5"/>
  <c r="M9" i="5"/>
  <c r="N9" i="5" s="1"/>
  <c r="M489" i="5"/>
  <c r="N489" i="5" s="1"/>
  <c r="M488" i="5"/>
  <c r="N488" i="5" s="1"/>
  <c r="M487" i="5"/>
  <c r="N487" i="5" s="1"/>
  <c r="M486" i="5"/>
  <c r="N486" i="5" s="1"/>
  <c r="M8" i="5"/>
  <c r="N8" i="5" s="1"/>
  <c r="M7" i="5"/>
  <c r="M6" i="5"/>
  <c r="N6" i="5" s="1"/>
  <c r="M5" i="5"/>
  <c r="M4" i="5"/>
  <c r="M3" i="5"/>
  <c r="N3" i="5" s="1"/>
  <c r="M485" i="5"/>
  <c r="N485" i="5" s="1"/>
  <c r="M2" i="5"/>
  <c r="M484" i="5"/>
  <c r="N484" i="5" s="1"/>
  <c r="L516" i="5"/>
  <c r="L483" i="5"/>
  <c r="L482" i="5"/>
  <c r="L515" i="5"/>
  <c r="L514" i="5"/>
  <c r="L513" i="5"/>
  <c r="L481" i="5"/>
  <c r="L480" i="5"/>
  <c r="L479" i="5"/>
  <c r="L478" i="5"/>
  <c r="L477" i="5"/>
  <c r="L476" i="5"/>
  <c r="L475" i="5"/>
  <c r="L474" i="5"/>
  <c r="L473" i="5"/>
  <c r="L472" i="5"/>
  <c r="L471" i="5"/>
  <c r="L512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511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510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509" i="5"/>
  <c r="L508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507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506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505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504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503" i="5"/>
  <c r="L241" i="5"/>
  <c r="L240" i="5"/>
  <c r="L502" i="5"/>
  <c r="L239" i="5"/>
  <c r="L238" i="5"/>
  <c r="L237" i="5"/>
  <c r="L236" i="5"/>
  <c r="L235" i="5"/>
  <c r="L234" i="5"/>
  <c r="L233" i="5"/>
  <c r="L232" i="5"/>
  <c r="L231" i="5"/>
  <c r="L230" i="5"/>
  <c r="L501" i="5"/>
  <c r="L229" i="5"/>
  <c r="L500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499" i="5"/>
  <c r="L498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497" i="5"/>
  <c r="L197" i="5"/>
  <c r="L196" i="5"/>
  <c r="L195" i="5"/>
  <c r="L496" i="5"/>
  <c r="L194" i="5"/>
  <c r="L495" i="5"/>
  <c r="L193" i="5"/>
  <c r="L192" i="5"/>
  <c r="L191" i="5"/>
  <c r="L190" i="5"/>
  <c r="L189" i="5"/>
  <c r="L188" i="5"/>
  <c r="L187" i="5"/>
  <c r="L186" i="5"/>
  <c r="L185" i="5"/>
  <c r="L184" i="5"/>
  <c r="L183" i="5"/>
  <c r="L494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49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2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491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490" i="5"/>
  <c r="L14" i="5"/>
  <c r="L13" i="5"/>
  <c r="L12" i="5"/>
  <c r="L11" i="5"/>
  <c r="L10" i="5"/>
  <c r="L9" i="5"/>
  <c r="L489" i="5"/>
  <c r="L488" i="5"/>
  <c r="L487" i="5"/>
  <c r="L486" i="5"/>
  <c r="L8" i="5"/>
  <c r="L7" i="5"/>
  <c r="L6" i="5"/>
  <c r="L5" i="5"/>
  <c r="L4" i="5"/>
  <c r="L3" i="5"/>
  <c r="L485" i="5"/>
  <c r="L2" i="5"/>
  <c r="L48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tc={50181876-5D34-4411-97C0-06F67166DC36}</author>
    <author>tc={54D3229F-8091-4266-8F84-701D0C8CAF92}</author>
  </authors>
  <commentList>
    <comment ref="L1" authorId="0" shapeId="0" xr:uid="{50181876-5D34-4411-97C0-06F67166DC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Penalización a cargar para dar el valor total de la M aplicada</t>
      </text>
    </comment>
    <comment ref="M1" authorId="1" shapeId="0" xr:uid="{54D3229F-8091-4266-8F84-701D0C8CAF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Penalización con la M aplicada total valor</t>
      </text>
    </comment>
  </commentList>
</comments>
</file>

<file path=xl/sharedStrings.xml><?xml version="1.0" encoding="utf-8"?>
<sst xmlns="http://schemas.openxmlformats.org/spreadsheetml/2006/main" count="24005" uniqueCount="1658">
  <si>
    <t>LIQ_NUM_FACTURA</t>
  </si>
  <si>
    <t>SUMI_COD_FENIX</t>
  </si>
  <si>
    <t>CLAS_DESCRIP</t>
  </si>
  <si>
    <t>CONT_NUMERO</t>
  </si>
  <si>
    <t>COD_SUI</t>
  </si>
  <si>
    <t>COD_NIU</t>
  </si>
  <si>
    <t>PROPIEDAD_ACTIVOS</t>
  </si>
  <si>
    <t>NH</t>
  </si>
  <si>
    <t>PEAJE NO REGULADO</t>
  </si>
  <si>
    <t>NORMAL</t>
  </si>
  <si>
    <t>CARTAGENA</t>
  </si>
  <si>
    <t>INJERMAN GARCIA</t>
  </si>
  <si>
    <t>PEAJES REGIONALES NO REGULADOS OTRO</t>
  </si>
  <si>
    <t>MAXIMA</t>
  </si>
  <si>
    <t>SV120</t>
  </si>
  <si>
    <t>CONSUMO BASE</t>
  </si>
  <si>
    <t>MEDIA</t>
  </si>
  <si>
    <t>MONTERIA</t>
  </si>
  <si>
    <t>Aproximacion a decenas Energia</t>
  </si>
  <si>
    <t>PEN. ENERGIA REACTIVA PEAJES</t>
  </si>
  <si>
    <t>MORROA</t>
  </si>
  <si>
    <t>MOMIL</t>
  </si>
  <si>
    <t>Frt28526</t>
  </si>
  <si>
    <t>048 EURO SUPERMERCADO - INVERSIONES EURO SA - MONTERIA</t>
  </si>
  <si>
    <t>BIA ENERGY S.A.S. E.S.P</t>
  </si>
  <si>
    <t>BIA 48</t>
  </si>
  <si>
    <t>Frt45137</t>
  </si>
  <si>
    <t>305 PAISAR SAS</t>
  </si>
  <si>
    <t>BIA 305</t>
  </si>
  <si>
    <t>ARJONA</t>
  </si>
  <si>
    <t>LORICA</t>
  </si>
  <si>
    <t>TURBACO</t>
  </si>
  <si>
    <t>CERETE</t>
  </si>
  <si>
    <t>PLANETA RICA</t>
  </si>
  <si>
    <t>SINCELEJO</t>
  </si>
  <si>
    <t>SAN MARCOS</t>
  </si>
  <si>
    <t>AGUSTIN CODAZZI</t>
  </si>
  <si>
    <t>COVE�AS</t>
  </si>
  <si>
    <t>TOLUVIEJO</t>
  </si>
  <si>
    <t>COROZAL</t>
  </si>
  <si>
    <t>VALLEDUPAR</t>
  </si>
  <si>
    <t>CIENAGA DE ORO</t>
  </si>
  <si>
    <t>MAGANGUE</t>
  </si>
  <si>
    <t>MONTELIBANO</t>
  </si>
  <si>
    <t>EL PASO</t>
  </si>
  <si>
    <t>EL BANCO</t>
  </si>
  <si>
    <t>EL COPEY</t>
  </si>
  <si>
    <t>Frt29125</t>
  </si>
  <si>
    <t>049 INVERSIONES EURO SA LO NUESTRO MONTERIA</t>
  </si>
  <si>
    <t>BIA 49</t>
  </si>
  <si>
    <t>Frt40029</t>
  </si>
  <si>
    <t>079 SITES GROUP S.A.S. - HOTEL SITES RECREO</t>
  </si>
  <si>
    <t>BIA 79</t>
  </si>
  <si>
    <t>BOSCONIA</t>
  </si>
  <si>
    <t>SAN ONOFRE</t>
  </si>
  <si>
    <t>CHINU</t>
  </si>
  <si>
    <t>SAN JUAN NEPOMUCENO</t>
  </si>
  <si>
    <t>LA JAGUA DE IBIRICO</t>
  </si>
  <si>
    <t>Frt66036</t>
  </si>
  <si>
    <t>242 CENTRO PORTAL DE SAN FELIPE CL 30 17-140 OFI 1 PIE DE LA POPA</t>
  </si>
  <si>
    <t>BIA 242</t>
  </si>
  <si>
    <t>CURUMANI</t>
  </si>
  <si>
    <t>SAHAGUN</t>
  </si>
  <si>
    <t>Frt66050</t>
  </si>
  <si>
    <t>237 MEGAURGENCIAS BLAS DE LEZO TR 54 ISS4</t>
  </si>
  <si>
    <t>BIA 237</t>
  </si>
  <si>
    <t>NO REGULADO</t>
  </si>
  <si>
    <t>PEAJES REGIONALES REGULADOS OTROS</t>
  </si>
  <si>
    <t>EL CARMEN DE BOLIVAR</t>
  </si>
  <si>
    <t>Frt78424</t>
  </si>
  <si>
    <t>504 MODA ENTERPRISE SAS 2 CL 25 54-20 P 1 LOC 1</t>
  </si>
  <si>
    <t>BIA 504</t>
  </si>
  <si>
    <t>Frt74848</t>
  </si>
  <si>
    <t>397 DISTRIBUCIONES PHARMASER LIMITADA CR 2 12A-35</t>
  </si>
  <si>
    <t>BIA 397</t>
  </si>
  <si>
    <t>PUERTO ESCONDIDO</t>
  </si>
  <si>
    <t>Frt59463</t>
  </si>
  <si>
    <t>146 COPSERVIR LTDA TR 3B 15-5</t>
  </si>
  <si>
    <t>BIA 146</t>
  </si>
  <si>
    <t>Frt74488</t>
  </si>
  <si>
    <t>385 DISTRIBUCIONES PHARMASER LIMITADA CL 23 56-70 P 1 APTO 2</t>
  </si>
  <si>
    <t>BIA 385</t>
  </si>
  <si>
    <t>PUEBLO NUEVO</t>
  </si>
  <si>
    <t>SAN DIEGO</t>
  </si>
  <si>
    <t>Frt74031</t>
  </si>
  <si>
    <t>414 ASOCIADOS GARCIA CASTRO CR 50 25 35</t>
  </si>
  <si>
    <t>BIA 414</t>
  </si>
  <si>
    <t>Frt60938</t>
  </si>
  <si>
    <t>198 IPS INTEGRAL CLINICAL CARE S.A.S CL 16 9A-131 P1 APTO 1</t>
  </si>
  <si>
    <t>BIA 198</t>
  </si>
  <si>
    <t>Frt75935</t>
  </si>
  <si>
    <t>463 ITALCOL 3 CL 20 8 100</t>
  </si>
  <si>
    <t>BIA 463</t>
  </si>
  <si>
    <t>Frt67002</t>
  </si>
  <si>
    <t>291 TELEF�NICACL 3 9-96</t>
  </si>
  <si>
    <t>BIA 291</t>
  </si>
  <si>
    <t>Frt67376</t>
  </si>
  <si>
    <t>297 KOAJ EXP AFINIA CL 18 CR 20-8 APTO 01</t>
  </si>
  <si>
    <t>BIA 297</t>
  </si>
  <si>
    <t>TIERRALTA</t>
  </si>
  <si>
    <t>Frt72436</t>
  </si>
  <si>
    <t>345 DISTRIBUCIONES PHARMASER LIMITADA CL 17 25A-39 APTO 102</t>
  </si>
  <si>
    <t>BIA 345</t>
  </si>
  <si>
    <t>Frt54099</t>
  </si>
  <si>
    <t>045 ACONDESA MERCAPOLLO SCJ</t>
  </si>
  <si>
    <t>BIA 45</t>
  </si>
  <si>
    <t>Frt83976</t>
  </si>
  <si>
    <t>525 CUCINARE SAS SALVATORS CL 28 CR 25-365 LOC 2258 BARRIO BOSTON</t>
  </si>
  <si>
    <t>BIA 525</t>
  </si>
  <si>
    <t>Frt67577</t>
  </si>
  <si>
    <t>324 TELEF�NICACL 10 27A-25</t>
  </si>
  <si>
    <t>BIA 324</t>
  </si>
  <si>
    <t>Frt84059</t>
  </si>
  <si>
    <t>524 CUCINARE SAS SALVATORS CL 28 CR 25-365 LOC 1014 BARRIO BOSTON</t>
  </si>
  <si>
    <t>BIA 524</t>
  </si>
  <si>
    <t>Frt74507</t>
  </si>
  <si>
    <t>418 DISTRIBUCIONES PHARMASER LIMITADA CR 14 15-4 LOC 07</t>
  </si>
  <si>
    <t>BIA 418</t>
  </si>
  <si>
    <t>Frt74536</t>
  </si>
  <si>
    <t>395 SAFELA GROUP CL 28 CR 25B - 365 LOC 2289 BARRIO BOSTON SINCELEJO CC GUACARI</t>
  </si>
  <si>
    <t>BIA 395</t>
  </si>
  <si>
    <t>Frt72430</t>
  </si>
  <si>
    <t>369 RENZO AFINIA CL 28 CR 25B-365 LOC 2291</t>
  </si>
  <si>
    <t>BIA 369</t>
  </si>
  <si>
    <t>Frt67348</t>
  </si>
  <si>
    <t>294 TELEF�NICACL 40A 20-5 LOC 02</t>
  </si>
  <si>
    <t>BIA 294</t>
  </si>
  <si>
    <t>Frt71047</t>
  </si>
  <si>
    <t>321 PROMOTORA DE COMERCIOS TURBACO SAS CL 17 17A 6 CALLE REAL</t>
  </si>
  <si>
    <t>BIA 321</t>
  </si>
  <si>
    <t>Frt70692</t>
  </si>
  <si>
    <t>307 EMPRESA DE SERVICIO ESPECIAL DE TRANSPORTE MAMONAL SAS SECTOR LOS NARANJOS K</t>
  </si>
  <si>
    <t>BIA 307</t>
  </si>
  <si>
    <t>Frt66903</t>
  </si>
  <si>
    <t>273 TELEF�NICACL 31 MZ 1-20 INT 2</t>
  </si>
  <si>
    <t>BIA 273</t>
  </si>
  <si>
    <t>Frt71509</t>
  </si>
  <si>
    <t>361 VP GLOBAL TR 31 33 81 BARRIO BOSTON</t>
  </si>
  <si>
    <t>BIA 361</t>
  </si>
  <si>
    <t>Frt59353</t>
  </si>
  <si>
    <t>142 EMPRESA DE SERVICIO ESPECIAL DE TRANSPORTE MAMONAL S.A.S. SECTOR LOS NARANJO</t>
  </si>
  <si>
    <t>BIA 142</t>
  </si>
  <si>
    <t>Frt59348</t>
  </si>
  <si>
    <t>141 EMPRESA DE SERVICIO ESPECIAL DE TRANSPORTE MAMONAL S.A.S. SECTOR LOS NARANJO</t>
  </si>
  <si>
    <t>BIA 141</t>
  </si>
  <si>
    <t>Frt57304</t>
  </si>
  <si>
    <t>068 PAN KING TURBACO- JAIME GIRALDO SECTOR 1 MZ A-111 LOC 1</t>
  </si>
  <si>
    <t>BIA 68</t>
  </si>
  <si>
    <t>Frt71017</t>
  </si>
  <si>
    <t>320 RENZO AFINIA CL 28 CR 25B-365 LOC 2290</t>
  </si>
  <si>
    <t>BIA 320</t>
  </si>
  <si>
    <t>Frt64301</t>
  </si>
  <si>
    <t>230 MR BONO CL 28 CR 25B-365 LOC 2254</t>
  </si>
  <si>
    <t>BIA 230</t>
  </si>
  <si>
    <t>Frt68528</t>
  </si>
  <si>
    <t>300 DISMEL LIMITADA DG 31 100-115 P 1 BDGA 2 B TERNERA TURBACO</t>
  </si>
  <si>
    <t>BIA 300</t>
  </si>
  <si>
    <t>Frt60103</t>
  </si>
  <si>
    <t>160 CLASSIC JEANS SHOPS S.A.S. CL 28 CR 25B-365 LOC 1175</t>
  </si>
  <si>
    <t>BIA 160</t>
  </si>
  <si>
    <t>Frt64015</t>
  </si>
  <si>
    <t>229 EUROSTYLE DG 31 100-115 P 1 LOC 32</t>
  </si>
  <si>
    <t>BIA 229</t>
  </si>
  <si>
    <t>Frt63955</t>
  </si>
  <si>
    <t>225 EMPRESA DE TRANSPORTE MAMONAL-SECTOR LOS NARANJOS KM 7-64 INT 3</t>
  </si>
  <si>
    <t>BIA 225</t>
  </si>
  <si>
    <t>Frt60923</t>
  </si>
  <si>
    <t>197 NEGOCIOS MULTIDIMENCIONALES S.A.S CR 15 24-227 P 1 APTO 1</t>
  </si>
  <si>
    <t>BIA 197</t>
  </si>
  <si>
    <t>Frt58899</t>
  </si>
  <si>
    <t>113 COPSERVIR LTDA CL 17 19-6</t>
  </si>
  <si>
    <t>BIA 113</t>
  </si>
  <si>
    <t>SAN ANTERO</t>
  </si>
  <si>
    <t>Frt59944</t>
  </si>
  <si>
    <t>156 NCS S. A. S. CL 28 CR 25B-365 LOC 2304</t>
  </si>
  <si>
    <t>BIA 156</t>
  </si>
  <si>
    <t>Frt58778</t>
  </si>
  <si>
    <t>087 COPSERVIR LTDA CL 28 16A-20 APTO 01</t>
  </si>
  <si>
    <t>BIA 87</t>
  </si>
  <si>
    <t>Frt72433</t>
  </si>
  <si>
    <t>343 DISTRIBUCIONES PHARMASER LIMITADA CL 12 20-52</t>
  </si>
  <si>
    <t>BIA 343</t>
  </si>
  <si>
    <t>LOS PALMITOS</t>
  </si>
  <si>
    <t>Frt57348</t>
  </si>
  <si>
    <t>073 BESPOKE COLOMBIA SAS CL 28 10B-56</t>
  </si>
  <si>
    <t>BIA 73</t>
  </si>
  <si>
    <t>Frt58723</t>
  </si>
  <si>
    <t>082 COPSERVIR LTDA CR 15 10-15 P 1 APTO 1</t>
  </si>
  <si>
    <t>BIA 82</t>
  </si>
  <si>
    <t>MARIA LA BAJA</t>
  </si>
  <si>
    <t>Frt57768</t>
  </si>
  <si>
    <t>075 REPOSTERIA ELY SAS CL 7 CR 2-50 P 1 LOC 6</t>
  </si>
  <si>
    <t>BIA 75</t>
  </si>
  <si>
    <t>Frt58820</t>
  </si>
  <si>
    <t>098 COPSERVIR LTDA CR 1 10-130 P 1 LOC 1</t>
  </si>
  <si>
    <t>BIA 98</t>
  </si>
  <si>
    <t>Frt58782</t>
  </si>
  <si>
    <t>090 COPSERVIR LTDA CL 29D 20A-101 P 1 LOC 2</t>
  </si>
  <si>
    <t>BIA 90</t>
  </si>
  <si>
    <t>Frt58766</t>
  </si>
  <si>
    <t>085 COPSERVIR LTDA CR 50 29E-26 P 1 LOC 2</t>
  </si>
  <si>
    <t>BIA 85</t>
  </si>
  <si>
    <t>Frt59464</t>
  </si>
  <si>
    <t>147 DE MODA SAS CR 2 34-61 LOC 101</t>
  </si>
  <si>
    <t>BIA 147</t>
  </si>
  <si>
    <t>Frt60057</t>
  </si>
  <si>
    <t>159 CLASSIC JEANS SHOPS S.A.S. CR 6 68-72 LOC 240</t>
  </si>
  <si>
    <t>BIA 159</t>
  </si>
  <si>
    <t>Frt63461</t>
  </si>
  <si>
    <t>210 COPSERVIR LTDA CR 5 15-117</t>
  </si>
  <si>
    <t>BIA 210</t>
  </si>
  <si>
    <t>Frt63223</t>
  </si>
  <si>
    <t>206 FEMSA - CEDI - MONTERIA</t>
  </si>
  <si>
    <t>BIA 206</t>
  </si>
  <si>
    <t>Frt58897</t>
  </si>
  <si>
    <t>111 PREMIUM CARE HOSPITALITY S.A.S. CR 112-120 TORR H2 APTO 1705</t>
  </si>
  <si>
    <t>BIA 111</t>
  </si>
  <si>
    <t>Frt58932</t>
  </si>
  <si>
    <t>123 FRIO COSTA S. A. DG 21 # 48-51 EL BOSQUE CARTAGENA</t>
  </si>
  <si>
    <t>BIA 123</t>
  </si>
  <si>
    <t>Frt59340</t>
  </si>
  <si>
    <t>139 EMPRESA DE SERVICIO ESPECIAL DE TRANSPORTE MAMONAL S.A.S. CR 91 34A-36</t>
  </si>
  <si>
    <t>BIA 139</t>
  </si>
  <si>
    <t>Frt58902</t>
  </si>
  <si>
    <t>116 COPSERVIR LTDA CL 31 MZ4-11 P 1 LOC 2</t>
  </si>
  <si>
    <t>BIA 116</t>
  </si>
  <si>
    <t>Frt66866</t>
  </si>
  <si>
    <t>269 GRUPO MIS SOCIEDAD POR ACCIONES SIMPLIFICADA AFINIA CL 29 CR 20-337 LOC 263</t>
  </si>
  <si>
    <t>BIA 269</t>
  </si>
  <si>
    <t>Frt59510</t>
  </si>
  <si>
    <t>152 COPSERVIR LTDA CR 2 7-61 APTO 02</t>
  </si>
  <si>
    <t>BIA 152</t>
  </si>
  <si>
    <t>Frt59335</t>
  </si>
  <si>
    <t>137 EMPRESA DE SERVICIO ESPECIAL DE TRANSPORTE MAMONAL S.A.S. SECTOR LOS NARANJO</t>
  </si>
  <si>
    <t>BIA 137</t>
  </si>
  <si>
    <t>Frt72531</t>
  </si>
  <si>
    <t>349 DISTRIBUCIONES PHARMASER LIMITADA CL 26 3-38 LOC 01</t>
  </si>
  <si>
    <t>BIA 349</t>
  </si>
  <si>
    <t>Frt72554</t>
  </si>
  <si>
    <t>350 DISTRIBUCIONES PHARMASER LIMITADA CL 26 3-38 LOC 04</t>
  </si>
  <si>
    <t>BIA 350</t>
  </si>
  <si>
    <t>Frt71367</t>
  </si>
  <si>
    <t>355 DISTRIBUCIONES PHARMASER LIMITADA CR 6 25-43 OFI 101</t>
  </si>
  <si>
    <t>BIA 355</t>
  </si>
  <si>
    <t>Frt71584</t>
  </si>
  <si>
    <t>364 ASOCIADOS GARCIA CASTRO CR 6 68 72 LOC 215</t>
  </si>
  <si>
    <t>BIA 364</t>
  </si>
  <si>
    <t>Frt72312</t>
  </si>
  <si>
    <t>403 DISTRIBUCIONES PHARMASER LIMITADA CR 4 CL 6-32 P 1 LOC 3</t>
  </si>
  <si>
    <t>BIA 403</t>
  </si>
  <si>
    <t>Frt68880</t>
  </si>
  <si>
    <t>326 TELEF�NICASECTOR 1 MZ 49-3</t>
  </si>
  <si>
    <t>BIA 326</t>
  </si>
  <si>
    <t>Frt74071</t>
  </si>
  <si>
    <t>415 SAFELA GROUP CL 44 10 57 LOC 57 BARRIO ALAMEDAS DEL SINU</t>
  </si>
  <si>
    <t>BIA 415</t>
  </si>
  <si>
    <t>Frt49106</t>
  </si>
  <si>
    <t>424 PROYECTOS E INVERSIONES M Y C SAS - BENEDETTO RISTORANTE</t>
  </si>
  <si>
    <t>BIA 424</t>
  </si>
  <si>
    <t>Frt75466</t>
  </si>
  <si>
    <t>442 DROMEDICAS DEL ORIENTE CR 1W 37A 9 BARRIO JUAN XXIII</t>
  </si>
  <si>
    <t>BIA 442</t>
  </si>
  <si>
    <t>Frt71371</t>
  </si>
  <si>
    <t>356 DISTRIBUCIONES PHARMASER LIMITADA CR 6 25-41 P 1 LOC 1</t>
  </si>
  <si>
    <t>BIA 356</t>
  </si>
  <si>
    <t>Frt72663</t>
  </si>
  <si>
    <t>379 GRUPO MIS SOCIEDAD POR ACCIONES SIMPLIFICADA AFINIA CL 44 8 43 LOC A207 BARR</t>
  </si>
  <si>
    <t>BIA 379</t>
  </si>
  <si>
    <t>Frt36869</t>
  </si>
  <si>
    <t>389 NCS S. A. S. CL 44 8 43 LOC A189</t>
  </si>
  <si>
    <t>BIA 389</t>
  </si>
  <si>
    <t>Frt75348</t>
  </si>
  <si>
    <t>440 DROMEDICAS DEL ORIENTE SECTOR 1 MZ40 1 LOC 01 BARRIO LA PRADERA</t>
  </si>
  <si>
    <t>BIA 440</t>
  </si>
  <si>
    <t>Frt74725</t>
  </si>
  <si>
    <t>434 DROMEDICAS DEL ORIENTE TR 5 4 18 BARRIO LA GRANJA</t>
  </si>
  <si>
    <t>BIA 434</t>
  </si>
  <si>
    <t>Frt74954</t>
  </si>
  <si>
    <t>437 DROMEDICAS DEL ORIENTE CL 41 5 2 BARRIO NARI�O</t>
  </si>
  <si>
    <t>BIA 437</t>
  </si>
  <si>
    <t>Frt50921</t>
  </si>
  <si>
    <t>06 ACONDESA MERCAPOLLO LC1 MTR</t>
  </si>
  <si>
    <t>BIA 06</t>
  </si>
  <si>
    <t>Frt50975</t>
  </si>
  <si>
    <t>07 ACONDESA MERCAPOLLO LC2 MTR</t>
  </si>
  <si>
    <t>BIA 07</t>
  </si>
  <si>
    <t>Frt43156</t>
  </si>
  <si>
    <t>032 BANCO DAVIVIENDA SA</t>
  </si>
  <si>
    <t>BIA 32</t>
  </si>
  <si>
    <t>SAN ANDRES SOTAVENTO</t>
  </si>
  <si>
    <t>Frt75836</t>
  </si>
  <si>
    <t>461 DISTRIBUCIONES PHARMASER LIMITADA DG 6 9-35</t>
  </si>
  <si>
    <t>BIA 461</t>
  </si>
  <si>
    <t>SANTA ROSA</t>
  </si>
  <si>
    <t>Frt60126</t>
  </si>
  <si>
    <t>165 DEL SOL S.A.S CR 2 33-24 P 1 APTO 01</t>
  </si>
  <si>
    <t>BIA 165</t>
  </si>
  <si>
    <t>Frt60132</t>
  </si>
  <si>
    <t>167 NCS S. A. S. CL 29D 22-170 P 1 LOC 39</t>
  </si>
  <si>
    <t>BIA 167</t>
  </si>
  <si>
    <t>SAMPUES</t>
  </si>
  <si>
    <t>Frt75562</t>
  </si>
  <si>
    <t>451 DISTRIBUCIONES PHARMASER LIMITADA CR 19A CL 21-7</t>
  </si>
  <si>
    <t>BIA 451</t>
  </si>
  <si>
    <t>Frt71545</t>
  </si>
  <si>
    <t>337 ASOCIADOS GARCIA CASTRO CL 29 24 60</t>
  </si>
  <si>
    <t>BIA 337</t>
  </si>
  <si>
    <t>Frt72566</t>
  </si>
  <si>
    <t>353 DISTRIBUCIONES PHARMASER LIMITADA CL 15 14A-148</t>
  </si>
  <si>
    <t>BIA 353</t>
  </si>
  <si>
    <t>COTORRA</t>
  </si>
  <si>
    <t>Frt71577</t>
  </si>
  <si>
    <t>404 DISTRIBUCIONES PHARMASER LIMITADA CR 24 32-9</t>
  </si>
  <si>
    <t>BIA 404</t>
  </si>
  <si>
    <t>Frt60367</t>
  </si>
  <si>
    <t>183 NCS S. A. S. CL 31 82-327 LOC 217</t>
  </si>
  <si>
    <t>BIA 183</t>
  </si>
  <si>
    <t>Frt60410</t>
  </si>
  <si>
    <t>184 FOODOLOGY 2 CR 20 CL 24-180 TORR 2 LOC 6</t>
  </si>
  <si>
    <t>BIA 184</t>
  </si>
  <si>
    <t>Frt60456</t>
  </si>
  <si>
    <t>191 HOTEL CASA DILUCA SAS CL EL COLEGIO 34 37</t>
  </si>
  <si>
    <t>BIA 191</t>
  </si>
  <si>
    <t>Frt60970</t>
  </si>
  <si>
    <t>199 HOTEL ZION LUXURY CL 5 CR3 14</t>
  </si>
  <si>
    <t>BIA 199</t>
  </si>
  <si>
    <t>ASTREA</t>
  </si>
  <si>
    <t>Frt60189</t>
  </si>
  <si>
    <t>185 REPOSTERIA ELY SAS TR 33A 19-40</t>
  </si>
  <si>
    <t>BIA 185</t>
  </si>
  <si>
    <t>Frt61005</t>
  </si>
  <si>
    <t>200 AUTO TROPICAL CARTAGENA CR 25 CL 26-65 P 1</t>
  </si>
  <si>
    <t>BIA 200</t>
  </si>
  <si>
    <t>Frt72302</t>
  </si>
  <si>
    <t>402 DISTRIBUCIONES PHARMASER LIMITADA TR 9A 10-40 LOC 02</t>
  </si>
  <si>
    <t>BIA 402</t>
  </si>
  <si>
    <t>SAN JUAN DE BETULIA</t>
  </si>
  <si>
    <t>Frt60505</t>
  </si>
  <si>
    <t>192 GRUPO M CL 6 CR 3-24 P 1 LOC 1</t>
  </si>
  <si>
    <t>BIA 192</t>
  </si>
  <si>
    <t>Frt59426</t>
  </si>
  <si>
    <t>144 COPSERVIR LTDA CL 7 CR 2A-56</t>
  </si>
  <si>
    <t>BIA 144</t>
  </si>
  <si>
    <t>Frt75743</t>
  </si>
  <si>
    <t>458 DROMEDICAS DEL ORIENTE CR 15 9 44 CIENAGA DE ORO</t>
  </si>
  <si>
    <t>BIA 458</t>
  </si>
  <si>
    <t>Frt73454</t>
  </si>
  <si>
    <t>384 DISTRIBUCIONES PHARMASER LIMITADA CR 4 20-65 P 1 APTO 1</t>
  </si>
  <si>
    <t>BIA 384</t>
  </si>
  <si>
    <t>CALAMAR</t>
  </si>
  <si>
    <t>Frt63894</t>
  </si>
  <si>
    <t>223 LA LICORERA GETSEMANI BAR RESTAURANTE / BODEGA GETSEMANI</t>
  </si>
  <si>
    <t>BIA 223</t>
  </si>
  <si>
    <t>OVEJAS</t>
  </si>
  <si>
    <t>Frt63460</t>
  </si>
  <si>
    <t>209 MR BONO CL 28 CR 25-53 P 1 LOC 6</t>
  </si>
  <si>
    <t>BIA 209</t>
  </si>
  <si>
    <t>Frt60290</t>
  </si>
  <si>
    <t>179 DIALNET 2 CR 22 7-57</t>
  </si>
  <si>
    <t>BIA 179</t>
  </si>
  <si>
    <t>Frt63702</t>
  </si>
  <si>
    <t>216 MR BONO CL 29D 22-150 LOC 0</t>
  </si>
  <si>
    <t>BIA 216</t>
  </si>
  <si>
    <t>Frt63836</t>
  </si>
  <si>
    <t>218 MR BONO CL 31 71-132 LOC ISLA</t>
  </si>
  <si>
    <t>BIA 218</t>
  </si>
  <si>
    <t>Frt64348</t>
  </si>
  <si>
    <t>234 MR BONO CL STOS DE PIEDRA 34-64 P 1 LOC 1</t>
  </si>
  <si>
    <t>BIA 234</t>
  </si>
  <si>
    <t>SAN BERNARDO DEL VIENTO</t>
  </si>
  <si>
    <t>Frt66602</t>
  </si>
  <si>
    <t>247 HOTELES ROYAL INN SAS CL DE LA CRUZ 9-41</t>
  </si>
  <si>
    <t>BIA 247</t>
  </si>
  <si>
    <t>Frt65998</t>
  </si>
  <si>
    <t>240 DEL SOL SAS CL DEL ARZOBISPADO 34-64</t>
  </si>
  <si>
    <t>BIA 240</t>
  </si>
  <si>
    <t>Frt66606</t>
  </si>
  <si>
    <t>248 CASA CRUXADA CL SANTO DOMINGO 3-30 P 1 APTO 03</t>
  </si>
  <si>
    <t>BIA 248</t>
  </si>
  <si>
    <t>Frt66601</t>
  </si>
  <si>
    <t>246 CASA CRUXADA CL SANTO DOMINGO 3-30 P 1 APTO 6</t>
  </si>
  <si>
    <t>BIA 246</t>
  </si>
  <si>
    <t>Frt66697</t>
  </si>
  <si>
    <t>259 MR BONO CL 29D 22-150 P 0 LOC 17</t>
  </si>
  <si>
    <t>BIA 259</t>
  </si>
  <si>
    <t>Frt66693</t>
  </si>
  <si>
    <t>258 RENZO AFINIA CL 29D 22-150 P 1 LOC 76</t>
  </si>
  <si>
    <t>BIA 258</t>
  </si>
  <si>
    <t>Frt66716</t>
  </si>
  <si>
    <t>261 COLEGIO MONTESSORI CARTAGENA SAS CL 25 18-101</t>
  </si>
  <si>
    <t>BIA 261</t>
  </si>
  <si>
    <t>Frt66780</t>
  </si>
  <si>
    <t>267 KETTY TINOCO CR 3 46-57 OFI 1601 MARBELLA</t>
  </si>
  <si>
    <t>BIA 267</t>
  </si>
  <si>
    <t>Frt66904</t>
  </si>
  <si>
    <t>274 TELEF�NICACL 7 56-18 P 1 INT 2</t>
  </si>
  <si>
    <t>BIA 274</t>
  </si>
  <si>
    <t>Frt66927</t>
  </si>
  <si>
    <t>279 REPUBLICA CARTAGENA SAS CL 2A DE BADILLO 36-45 P 0 APTO 00</t>
  </si>
  <si>
    <t>BIA 279</t>
  </si>
  <si>
    <t>Frt66962</t>
  </si>
  <si>
    <t>280 TELEF�NICACR 6 16-37 INT 1</t>
  </si>
  <si>
    <t>BIA 280</t>
  </si>
  <si>
    <t>Frt66983</t>
  </si>
  <si>
    <t>287 ADRIANA SANTOS MORA CATERING EVENTOS  UPSELLING CR 23 CL 25-121 P 1 LOC</t>
  </si>
  <si>
    <t>BIA 287</t>
  </si>
  <si>
    <t>Frt66759</t>
  </si>
  <si>
    <t>264 FUNDACI�N JUANFE CL 31 91-80 TERNERA</t>
  </si>
  <si>
    <t>BIA 264</t>
  </si>
  <si>
    <t>Frt66977</t>
  </si>
  <si>
    <t>284 TELEF�NICACL 21E MZ38-2 INT 1</t>
  </si>
  <si>
    <t>BIA 284</t>
  </si>
  <si>
    <t>Frt67375</t>
  </si>
  <si>
    <t>296 HOTEL PLAYA CLUB CARTAGENA CL DE LA MONEDA 7-10 P 2 APTO 2</t>
  </si>
  <si>
    <t>BIA 296</t>
  </si>
  <si>
    <t>Frt71098</t>
  </si>
  <si>
    <t>322 PROMOTORA CASA DE LAS PUERTAS CL 30 9-40 P 1 LOC 2 GETSEMANI</t>
  </si>
  <si>
    <t>BIA 322</t>
  </si>
  <si>
    <t>Frt68962</t>
  </si>
  <si>
    <t>331 TELEF�NICACR 15 31-48 APTO 2</t>
  </si>
  <si>
    <t>BIA 331</t>
  </si>
  <si>
    <t>Frt26506</t>
  </si>
  <si>
    <t>341 INVERSIONES EN RECREACION, DEPORTE Y SALUD S.A. - EJECUTIVOS</t>
  </si>
  <si>
    <t>BIA 341</t>
  </si>
  <si>
    <t>Frt71459</t>
  </si>
  <si>
    <t>336 FEDELSA HOSTELS GROUP SAS 2 CL LARGA 10 - 12 P 1 APTO 02</t>
  </si>
  <si>
    <t>BIA 336</t>
  </si>
  <si>
    <t>Frt72563</t>
  </si>
  <si>
    <t>352 DISTRIBUCIONES PHARMASER LIMITADA CR 18 56-6 APTO 2</t>
  </si>
  <si>
    <t>BIA 352</t>
  </si>
  <si>
    <t>Frt71489</t>
  </si>
  <si>
    <t>360 INSTITUCION PRESTADORA DE SERVICIOS DE SALUD CUIDADO SEGURO EN CASA SA CR 49</t>
  </si>
  <si>
    <t>BIA 360</t>
  </si>
  <si>
    <t>Frt72438</t>
  </si>
  <si>
    <t>370 VIAJERO HOSTELS CL 38 9-45 P 1 SAN DIEGO APTO 02</t>
  </si>
  <si>
    <t>BIA 370</t>
  </si>
  <si>
    <t>Frt72569</t>
  </si>
  <si>
    <t>354 EBANO CL 1RA DE LA MAGDALENA 9 67</t>
  </si>
  <si>
    <t>BIA 354</t>
  </si>
  <si>
    <t>Frt68949</t>
  </si>
  <si>
    <t>376 TELEF�NICACL 29E 20-141 P 7 INT 1</t>
  </si>
  <si>
    <t>BIA 376</t>
  </si>
  <si>
    <t>Frt68950</t>
  </si>
  <si>
    <t>377 TELEF�NICACR 17 CL 25-90 P 8 INT 1</t>
  </si>
  <si>
    <t>BIA 377</t>
  </si>
  <si>
    <t>Frt72675</t>
  </si>
  <si>
    <t>409 SAFELA GROUP CL 31 71 132 P 1 APTO 61 SANTA MONICA SECT LA PLAZ CARTAGENA OF</t>
  </si>
  <si>
    <t>BIA 409</t>
  </si>
  <si>
    <t>Frt71603</t>
  </si>
  <si>
    <t>365 INV BEM SLOT CL DEL COBO 10-75 P1</t>
  </si>
  <si>
    <t>BIA 365</t>
  </si>
  <si>
    <t>Frt68331</t>
  </si>
  <si>
    <t>373 HOLDING J  C SAS CR 2 8 50 P 1 LOC 2</t>
  </si>
  <si>
    <t>BIA 373</t>
  </si>
  <si>
    <t>Frt07175</t>
  </si>
  <si>
    <t>423 INVERSIONES EN RECREACION, DEPORTE Y SALUD S.A. - PLAZUELA</t>
  </si>
  <si>
    <t>BIA 423</t>
  </si>
  <si>
    <t>Frt74873</t>
  </si>
  <si>
    <t>398 DISTRIBUCIONES PHARMASER LIMITADA CL 15 MZ H-10</t>
  </si>
  <si>
    <t>BIA 398</t>
  </si>
  <si>
    <t>Frt74533</t>
  </si>
  <si>
    <t>390 DISTRIBUCIONES PHARMASER LIMITADA TR 73 52-82 P 1 APTO 1</t>
  </si>
  <si>
    <t>BIA 390</t>
  </si>
  <si>
    <t>Frt75448</t>
  </si>
  <si>
    <t>441 SAFELA GROUP CL 31 64-100 P1 LOC 69 URBVILLA SANDRA CARTAGENA CENTRO COMERCI</t>
  </si>
  <si>
    <t>BIA 441</t>
  </si>
  <si>
    <t>Frt74088</t>
  </si>
  <si>
    <t>427 VP GLOBAL TR 48 21 117 P 1 APTO 1</t>
  </si>
  <si>
    <t>BIA 427</t>
  </si>
  <si>
    <t>Frt75341</t>
  </si>
  <si>
    <t>439 NATALIA MARTINEZ CR 23 CL 25-121 P 1 LOC 1 MANGA</t>
  </si>
  <si>
    <t>BIA 439</t>
  </si>
  <si>
    <t>Frt75367</t>
  </si>
  <si>
    <t>444 FRUTAS Y PANADERIA ANDRES - CASA CENTENARIO GETSEMANI CL DE SAN ANDRES 30 29</t>
  </si>
  <si>
    <t>BIA 444</t>
  </si>
  <si>
    <t>Frt75558</t>
  </si>
  <si>
    <t>450 DISTRIBUCIONES PHARMASER LIMITADA CL 21 13-34 APTO 01</t>
  </si>
  <si>
    <t>BIA 450</t>
  </si>
  <si>
    <t>Frt78181</t>
  </si>
  <si>
    <t>483 LEAN SOLUTIONS GROUP CL 28 CR 27-39 OFI 2501</t>
  </si>
  <si>
    <t>BIA 483</t>
  </si>
  <si>
    <t>Frt78196</t>
  </si>
  <si>
    <t>489 LEAN SOLUTIONS GROUP CL 28 CR 25-53 P 16 OFI 05</t>
  </si>
  <si>
    <t>BIA 489</t>
  </si>
  <si>
    <t>Frt78199</t>
  </si>
  <si>
    <t>509 TERPEL CL 20 16-66 TORR 1 LOC 1</t>
  </si>
  <si>
    <t>BIA 509</t>
  </si>
  <si>
    <t>Frt78192</t>
  </si>
  <si>
    <t>503 LEAN SOLUTIONS GROUP CL 28 CR 25-53 P 1 LOC 4</t>
  </si>
  <si>
    <t>BIA 503</t>
  </si>
  <si>
    <t>Frt78314</t>
  </si>
  <si>
    <t>496 LEAN SOLUTIONS GROUP CL 28 CR 25-53 P 16 OFI 06</t>
  </si>
  <si>
    <t>BIA 496</t>
  </si>
  <si>
    <t>Frt78322</t>
  </si>
  <si>
    <t>498 LEAN SOLUTIONS GROUP CL 28 CR 25-53 P 14 OFI 08</t>
  </si>
  <si>
    <t>BIA 498</t>
  </si>
  <si>
    <t>Frt76964</t>
  </si>
  <si>
    <t>476 LEAN SOLUTIONS GROUP CL 28 CR 25-53 P 14 OFI 03</t>
  </si>
  <si>
    <t>BIA 476</t>
  </si>
  <si>
    <t>Frt78194</t>
  </si>
  <si>
    <t>488 LEAN SOLUTIONS GROUP CL 28 CR 25-53 P 14 OFI 01</t>
  </si>
  <si>
    <t>BIA 488</t>
  </si>
  <si>
    <t>Frt78425</t>
  </si>
  <si>
    <t>505 CONDOR LABS SAS CR 3 9-30 P 17 OFI 17</t>
  </si>
  <si>
    <t>BIA 505</t>
  </si>
  <si>
    <t>Frt78159</t>
  </si>
  <si>
    <t>479 LEAN SOLUTIONS GROUP CL 28 CR 25-53 P 14 OFI 02</t>
  </si>
  <si>
    <t>BIA 479</t>
  </si>
  <si>
    <t>Frt78201</t>
  </si>
  <si>
    <t>510 LEAN SOLUTIONS GROUP CL 28 CR 25-53 P 11</t>
  </si>
  <si>
    <t>BIA 510</t>
  </si>
  <si>
    <t>Frt78191</t>
  </si>
  <si>
    <t>487 LEAN SOLUTIONS GROUP CL 28 CR 25-53 P 14 OFI 11</t>
  </si>
  <si>
    <t>BIA 487</t>
  </si>
  <si>
    <t>Frt78210</t>
  </si>
  <si>
    <t>493 LEAN SOLUTIONS GROUP CL 28 CR 25-53 P 16 OFI 07</t>
  </si>
  <si>
    <t>BIA 493</t>
  </si>
  <si>
    <t>Frt78324</t>
  </si>
  <si>
    <t>499 LEAN SOLUTIONS GROUP CL 28 CR 27-39 OFI 2402</t>
  </si>
  <si>
    <t>BIA 499</t>
  </si>
  <si>
    <t>Frt82547</t>
  </si>
  <si>
    <t>516 G SPATH SAS SECTOR PARQUIAMERICA MZ A 1 LOC 3</t>
  </si>
  <si>
    <t>BIA 516</t>
  </si>
  <si>
    <t>Frt50896</t>
  </si>
  <si>
    <t>04 FUNDACION RONALD MC DONALD SEDE CARTAGENA</t>
  </si>
  <si>
    <t>BIA 04</t>
  </si>
  <si>
    <t>Frt83779</t>
  </si>
  <si>
    <t>521 CC SAN FERNANDO CALLE 31 82 327</t>
  </si>
  <si>
    <t>BIA 521</t>
  </si>
  <si>
    <t>Frt52723</t>
  </si>
  <si>
    <t>040 BELLATRIX SAN AGUSTIN</t>
  </si>
  <si>
    <t>BIA 40</t>
  </si>
  <si>
    <t>Frt83962</t>
  </si>
  <si>
    <t>522 CUCINARE SAS SALVATORS CL 29D 22-150 P 2 LOC 1A PIE DE LA POPA</t>
  </si>
  <si>
    <t>BIA 522</t>
  </si>
  <si>
    <t>Frt84611</t>
  </si>
  <si>
    <t>530 DREAMS COLOMBIA SAS CR 78D 30A 23 LOC 201 SANTA MONICA</t>
  </si>
  <si>
    <t>BIA 530</t>
  </si>
  <si>
    <t>Frt85042</t>
  </si>
  <si>
    <t>526 DREAMS COLOMBIA SAS CL 31 CR 58 118 P 1 LOC 129 LOS EJECUTIVOS</t>
  </si>
  <si>
    <t>BIA 526</t>
  </si>
  <si>
    <t>Frt51792</t>
  </si>
  <si>
    <t>013 WYNWOOD 1202 CTG</t>
  </si>
  <si>
    <t>BIA 13</t>
  </si>
  <si>
    <t>Frt51820</t>
  </si>
  <si>
    <t>018 WYNWOOD 901 CTG</t>
  </si>
  <si>
    <t>BIA 18</t>
  </si>
  <si>
    <t>Frt51821</t>
  </si>
  <si>
    <t>019 WYNWOOD 1001 CTG</t>
  </si>
  <si>
    <t>BIA 19</t>
  </si>
  <si>
    <t>Frt87757</t>
  </si>
  <si>
    <t>534 BANCO POPULAR CL 30 17-140 P 1 LOC 40 PIE DE LA POPA CARTAGENA CENTRO C PORT</t>
  </si>
  <si>
    <t>BIA 534</t>
  </si>
  <si>
    <t>Frt51819</t>
  </si>
  <si>
    <t>017 WYNWOOD 701 CTG</t>
  </si>
  <si>
    <t>BIA 17</t>
  </si>
  <si>
    <t>Frt41384</t>
  </si>
  <si>
    <t>024 BANCO DAVIVIENDA SA</t>
  </si>
  <si>
    <t>BIA 24</t>
  </si>
  <si>
    <t>Frt42285</t>
  </si>
  <si>
    <t>028 BANCO DAVIVIENDA SA</t>
  </si>
  <si>
    <t>BIA 28</t>
  </si>
  <si>
    <t>Frt52794</t>
  </si>
  <si>
    <t>041 FEMSA - CEDI - CARTAGENA</t>
  </si>
  <si>
    <t>BIA 41</t>
  </si>
  <si>
    <t>Frt56501</t>
  </si>
  <si>
    <t>052 JUANAUTOS EL CERRO SAS CR 17 29B-89 LOC 3</t>
  </si>
  <si>
    <t>BIA 52</t>
  </si>
  <si>
    <t>Frt57280</t>
  </si>
  <si>
    <t>066 REPOSTERIA ELY SAS CL 7 CR 2-50 P 1 LOC 2</t>
  </si>
  <si>
    <t>BIA 66</t>
  </si>
  <si>
    <t>Frt45072</t>
  </si>
  <si>
    <t>058 HL OPERADORES S.A.S (SEDE 5)</t>
  </si>
  <si>
    <t>BIA 58</t>
  </si>
  <si>
    <t>Frt56814</t>
  </si>
  <si>
    <t>057 REPOSTERIA ELY SAS CL 7 CR 2-50 P 1 LOC 3</t>
  </si>
  <si>
    <t>BIA 57</t>
  </si>
  <si>
    <t>Frt57237</t>
  </si>
  <si>
    <t>065 CLASSIC JEANS SHOPS S.A.S. CL 31 64-100 P 1 LOC 83</t>
  </si>
  <si>
    <t>BIA 65</t>
  </si>
  <si>
    <t>Frt54899</t>
  </si>
  <si>
    <t>047 NOCABO SAS</t>
  </si>
  <si>
    <t>BIA 47</t>
  </si>
  <si>
    <t>Frt60291</t>
  </si>
  <si>
    <t>180 DIALNET 2 CL 6 CR 8-50</t>
  </si>
  <si>
    <t>BIA 180</t>
  </si>
  <si>
    <t>ALGARROBO</t>
  </si>
  <si>
    <t>Frt60232</t>
  </si>
  <si>
    <t>175 BESPOKE COLOMBIA SAS CR 3 14-137</t>
  </si>
  <si>
    <t>BIA 175</t>
  </si>
  <si>
    <t>MOMPOS</t>
  </si>
  <si>
    <t>Frt74816</t>
  </si>
  <si>
    <t>425 DISTRIBUCIONES PHARMASER LIMITADA CR 26 CL 18A-115 LOC 02</t>
  </si>
  <si>
    <t>BIA 425</t>
  </si>
  <si>
    <t>SAN JACINTO</t>
  </si>
  <si>
    <t>SAN PELAYO</t>
  </si>
  <si>
    <t>Frt58725</t>
  </si>
  <si>
    <t>080 COPSERVIR LTDA CR 19 7-14</t>
  </si>
  <si>
    <t>BIA 80</t>
  </si>
  <si>
    <t>Frt58984</t>
  </si>
  <si>
    <t>128 TEXVIGAR SAS DG 10 6N-15 LOC 114</t>
  </si>
  <si>
    <t>BIA 128</t>
  </si>
  <si>
    <t>Frt59318</t>
  </si>
  <si>
    <t>130 REPRESENTACIONES VILLAZON-GARCIA Y CIA. LTDA. CL 31 6A-133 LOC 73</t>
  </si>
  <si>
    <t>BIA 130</t>
  </si>
  <si>
    <t>Frt59478</t>
  </si>
  <si>
    <t>151 MINISO COLOMBIA S.A DG 10 6N-15 LOC 1029</t>
  </si>
  <si>
    <t>BIA 151</t>
  </si>
  <si>
    <t>Frt72400</t>
  </si>
  <si>
    <t>367 DISTRIBUCIONES PHARMASER LIMITADA CL 19 2-60 P 1 LOC 2</t>
  </si>
  <si>
    <t>BIA 367</t>
  </si>
  <si>
    <t>Frt71590</t>
  </si>
  <si>
    <t>401 DISTRIBUCIONES PHARMASER LIMITADA CR 6 19-23</t>
  </si>
  <si>
    <t>BIA 401</t>
  </si>
  <si>
    <t>SAN PEDRO</t>
  </si>
  <si>
    <t>Frt75768</t>
  </si>
  <si>
    <t>456 DISTRIBUCIONES PHARMASER LIMITADA CR 12 CL 11-41 APTO 03</t>
  </si>
  <si>
    <t>BIA 456</t>
  </si>
  <si>
    <t>Frt45865</t>
  </si>
  <si>
    <t>055 SATI BRO S.A.S</t>
  </si>
  <si>
    <t>BIA 55</t>
  </si>
  <si>
    <t>Frt68529</t>
  </si>
  <si>
    <t>301 KOAJ EXP AFINIA CR 16 CL 15-7 LOC 3</t>
  </si>
  <si>
    <t>BIA 301</t>
  </si>
  <si>
    <t>Frt57958</t>
  </si>
  <si>
    <t>078 AVIPOULET DE LA COSTA CR 15 20B-41 P 1 LOC 161</t>
  </si>
  <si>
    <t>BIA 78</t>
  </si>
  <si>
    <t>Frt66972</t>
  </si>
  <si>
    <t>281 TELEF�NICACR 42 DG 11B-99</t>
  </si>
  <si>
    <t>BIA 281</t>
  </si>
  <si>
    <t>Frt67006</t>
  </si>
  <si>
    <t>293 TELEF�NICACR 43 3C-1</t>
  </si>
  <si>
    <t>BIA 293</t>
  </si>
  <si>
    <t>Frt58818</t>
  </si>
  <si>
    <t>096 COPSERVIR LTDA CL 1 CR 25-85 LOC 10</t>
  </si>
  <si>
    <t>BIA 96</t>
  </si>
  <si>
    <t>Frt73448</t>
  </si>
  <si>
    <t>393 DISTRIBUCIONES PHARMASER LIMITADA CL 14 17-469</t>
  </si>
  <si>
    <t>BIA 393</t>
  </si>
  <si>
    <t>VILLANUEVA</t>
  </si>
  <si>
    <t>Frt77564</t>
  </si>
  <si>
    <t>502 SAFELA GROUP DG 10 6N-15 LOC 207 VILLALBA VALLEDUPAR CC GUATAPURI PLAZA</t>
  </si>
  <si>
    <t>BIA 502</t>
  </si>
  <si>
    <t>Frt58866</t>
  </si>
  <si>
    <t>108 NCS S. A. S. DG 10 6N-15 LOC 1002</t>
  </si>
  <si>
    <t>BIA 108</t>
  </si>
  <si>
    <t>Frt59551</t>
  </si>
  <si>
    <t>154 CLASSIC JEANS SHOPS S.A.S. CL 31 6A-133 LOC 116</t>
  </si>
  <si>
    <t>BIA 154</t>
  </si>
  <si>
    <t>Frt60128</t>
  </si>
  <si>
    <t>166 BAGUER S.A.S CR 7 16A-40 LOC 01</t>
  </si>
  <si>
    <t>BIA 166</t>
  </si>
  <si>
    <t>Frt60056</t>
  </si>
  <si>
    <t>158 BAGUER S.A.S DG 10 6N-15 LOC B-6</t>
  </si>
  <si>
    <t>BIA 158</t>
  </si>
  <si>
    <t>CLEMENCIA</t>
  </si>
  <si>
    <t>Frt62988</t>
  </si>
  <si>
    <t>205 MR BONO CL 31 6A-133 LOC 70</t>
  </si>
  <si>
    <t>BIA 205</t>
  </si>
  <si>
    <t>Frt40322</t>
  </si>
  <si>
    <t>022 BANCO DAVIVIENDA SA</t>
  </si>
  <si>
    <t>BIA 22</t>
  </si>
  <si>
    <t>Frt43157</t>
  </si>
  <si>
    <t>033 BANCO DAVIVIENDA SA</t>
  </si>
  <si>
    <t>BIA 33</t>
  </si>
  <si>
    <t>Frt68303</t>
  </si>
  <si>
    <t>252 TELEF�NICACL 56 25-40</t>
  </si>
  <si>
    <t>BIA 252</t>
  </si>
  <si>
    <t>Frt66893</t>
  </si>
  <si>
    <t>271 MR BONO CL 6A 9-41 LOC S02</t>
  </si>
  <si>
    <t>BIA 271</t>
  </si>
  <si>
    <t>Frt68520</t>
  </si>
  <si>
    <t>303 RENZO AFINIA CL 31 6A-133 LOC 106</t>
  </si>
  <si>
    <t>BIA 303</t>
  </si>
  <si>
    <t>Frt76814</t>
  </si>
  <si>
    <t>468 DISTRIBUCIONES PHARMASER LIMITADA CR 7 CL 4-34</t>
  </si>
  <si>
    <t>BIA 468</t>
  </si>
  <si>
    <t>CORDOBA</t>
  </si>
  <si>
    <t>SANTA ANA</t>
  </si>
  <si>
    <t>Frt69692</t>
  </si>
  <si>
    <t>313 TELEF�NICACL 16 30-5</t>
  </si>
  <si>
    <t>BIA 313</t>
  </si>
  <si>
    <t>Frt76513</t>
  </si>
  <si>
    <t>465 DROMEDICAS DEL ORIENTE CR 14 CL 16 10 P 1 APTO 1 SAN JOSE</t>
  </si>
  <si>
    <t>BIA 465</t>
  </si>
  <si>
    <t>Frt75480</t>
  </si>
  <si>
    <t>459 DROMEDICAS DEL ORIENTE CR 35 CL 16 5 SAN MATEO BCH</t>
  </si>
  <si>
    <t>BIA 459</t>
  </si>
  <si>
    <t>Frt75447</t>
  </si>
  <si>
    <t>446 DROMEDICAS DEL ORIENTE CR 13C CL 16C 7 APTO 1 SAN JOSE</t>
  </si>
  <si>
    <t>BIA 446</t>
  </si>
  <si>
    <t>Frt73444</t>
  </si>
  <si>
    <t>392 DISTRIBUCIONES PHARMASER LIMITADA CL 16 CR 16-382 APTO 1</t>
  </si>
  <si>
    <t>BIA 392</t>
  </si>
  <si>
    <t>Frt74487</t>
  </si>
  <si>
    <t>429 DISTRIBUCIONES PHARMASER LIMITADA CR 39 47-1 P 1 LOC 2</t>
  </si>
  <si>
    <t>BIA 429</t>
  </si>
  <si>
    <t>Frt18685</t>
  </si>
  <si>
    <t>038 INDUSTRIA COLOMBIANA DE CONFECCIONES S.A. INCOCO S.A. ALM NO 27</t>
  </si>
  <si>
    <t>BIA 38</t>
  </si>
  <si>
    <t>Frt25486</t>
  </si>
  <si>
    <t>09 INDUSTRIA COLOMBIANA DE CONFECCIONES SA</t>
  </si>
  <si>
    <t>BIA 09</t>
  </si>
  <si>
    <t>Frt75479</t>
  </si>
  <si>
    <t>448 DROMEDICAS DEL ORIENTE CL 25 27 8 LOC 03 BARRIO LAS PE�ITAS</t>
  </si>
  <si>
    <t>BIA 448</t>
  </si>
  <si>
    <t>Frt68852</t>
  </si>
  <si>
    <t>325 TELEF�NICACL 2 21-</t>
  </si>
  <si>
    <t>BIA 325</t>
  </si>
  <si>
    <t>Frt73445</t>
  </si>
  <si>
    <t>391 DISTRIBUCIONES PHARMASER LIMITADA CR 12 8-63</t>
  </si>
  <si>
    <t>BIA 391</t>
  </si>
  <si>
    <t>Frt60455</t>
  </si>
  <si>
    <t>190 JUANAUTOS EL CERRO SAS SECTOR 1 CL 1-10</t>
  </si>
  <si>
    <t>BIA 190</t>
  </si>
  <si>
    <t>Frt60366</t>
  </si>
  <si>
    <t>182 PAN KING 2 -JOSE ALEJANDRO GIRALDO CR 16 CL 17-93</t>
  </si>
  <si>
    <t>BIA 182</t>
  </si>
  <si>
    <t>Frt57337</t>
  </si>
  <si>
    <t>069 GIGAZ SAS CR 15 21-94 P1 APT3</t>
  </si>
  <si>
    <t>BIA 69</t>
  </si>
  <si>
    <t>Frt63818</t>
  </si>
  <si>
    <t>231 NUR TRADING S.A.S. CR 21 CL 21-70</t>
  </si>
  <si>
    <t>BIA 231</t>
  </si>
  <si>
    <t>Frt64009</t>
  </si>
  <si>
    <t>228 DE MODA SAS CL 22 20-84 P 1 LOC 1</t>
  </si>
  <si>
    <t>BIA 228</t>
  </si>
  <si>
    <t>Frt71012</t>
  </si>
  <si>
    <t>319 KINGSPAN SECTOR 1 2-5 BDGA 66 ZONA FRANCA PARQUE CENTRAL</t>
  </si>
  <si>
    <t>BIA 319</t>
  </si>
  <si>
    <t>Frt58801</t>
  </si>
  <si>
    <t>092 COPSERVIR LTDA CL 25 25-221 LOC 02</t>
  </si>
  <si>
    <t>BIA 92</t>
  </si>
  <si>
    <t>Frt63714</t>
  </si>
  <si>
    <t>217 SOLGAST SAS CL 35 A MZ N-3 URB LA GRANJA</t>
  </si>
  <si>
    <t>BIA 217</t>
  </si>
  <si>
    <t>Frt58721</t>
  </si>
  <si>
    <t>081 DE MODA SAS CL 22 20-82 BR LAS ANGUSTIAS</t>
  </si>
  <si>
    <t>BIA 81</t>
  </si>
  <si>
    <t>Frt60158</t>
  </si>
  <si>
    <t>168 CLASSIC JEANS SHOPS S.A.S. CL 28 CR 25B-365 LOC 1176</t>
  </si>
  <si>
    <t>BIA 168</t>
  </si>
  <si>
    <t>Frt57787</t>
  </si>
  <si>
    <t>077 RESTAURANTE EUREKA</t>
  </si>
  <si>
    <t>BIA 77</t>
  </si>
  <si>
    <t>Frt76604</t>
  </si>
  <si>
    <t>467 DISTRIBUCIONES PHARMASER LIMITADA CR 8 CL 23 31</t>
  </si>
  <si>
    <t>BIA 467</t>
  </si>
  <si>
    <t>Frt57338</t>
  </si>
  <si>
    <t>070 HM ENTERPRISES S.A.S. SECTOR URB BARU MZA-1 LA CONCEPCION</t>
  </si>
  <si>
    <t>BIA 70</t>
  </si>
  <si>
    <t>Frt57340</t>
  </si>
  <si>
    <t>072 OPORTUNIDAD DE FEDELSA HOSTELS GROUP S.A.S CL 26 25-95</t>
  </si>
  <si>
    <t>BIA 72</t>
  </si>
  <si>
    <t>Frt58829</t>
  </si>
  <si>
    <t>102 COPSERVIR LTDA CR 14 24-17</t>
  </si>
  <si>
    <t>BIA 102</t>
  </si>
  <si>
    <t>Frt58779</t>
  </si>
  <si>
    <t>088 COPSERVIR LTDA CR 3 5A-16 P 1 LOC 1</t>
  </si>
  <si>
    <t>BIA 88</t>
  </si>
  <si>
    <t>Frt57786</t>
  </si>
  <si>
    <t>076 JUANAUTOS EL CERRO SAS CL 29B 18A-209</t>
  </si>
  <si>
    <t>BIA 76</t>
  </si>
  <si>
    <t>Frt58783</t>
  </si>
  <si>
    <t>091 COPSERVIR LTDA AV TERM DE TRANSP 54-70 P 1 LOC 6 SECTOR DONA MANUELA</t>
  </si>
  <si>
    <t>BIA 91</t>
  </si>
  <si>
    <t>Frt60196</t>
  </si>
  <si>
    <t>173 AMBER MEDICINA Y REHABILITACION SAS CR 11 62A-57</t>
  </si>
  <si>
    <t>BIA 173</t>
  </si>
  <si>
    <t>Frt59542</t>
  </si>
  <si>
    <t>153 TEXVIGAR SAS CR 6 68-72 LOC 123</t>
  </si>
  <si>
    <t>BIA 153</t>
  </si>
  <si>
    <t>Frt60418</t>
  </si>
  <si>
    <t>189 HUGO FLOREZ MENDOZA  CR 14 # 41-24</t>
  </si>
  <si>
    <t>BIA 189</t>
  </si>
  <si>
    <t>Frt60621</t>
  </si>
  <si>
    <t>194 MINISO COLOMBIA S.A CL 44 10-91 LOC 40A</t>
  </si>
  <si>
    <t>BIA 194</t>
  </si>
  <si>
    <t>Frt64476</t>
  </si>
  <si>
    <t>235 MTR GROUP5 S.A.S CL 60 #6-17</t>
  </si>
  <si>
    <t>BIA 235</t>
  </si>
  <si>
    <t>Frt58864</t>
  </si>
  <si>
    <t>106 COPSERVIR LTDA CL 31 30D-50 LOC 1</t>
  </si>
  <si>
    <t>BIA 106</t>
  </si>
  <si>
    <t>Frt59352</t>
  </si>
  <si>
    <t>133 COPSERVIR LTDA CR 88 MZ 177-9 LOC 101</t>
  </si>
  <si>
    <t>BIA 133</t>
  </si>
  <si>
    <t>Frt59356</t>
  </si>
  <si>
    <t>135 TEXVIGAR SAS CL 31 64-100 P 1 LOC 55</t>
  </si>
  <si>
    <t>BIA 135</t>
  </si>
  <si>
    <t>Frt59339</t>
  </si>
  <si>
    <t>138 PLASTICOS DE COLOMBIA CB S.A.S. CR 67B 4B-75</t>
  </si>
  <si>
    <t>BIA 138</t>
  </si>
  <si>
    <t>Frt58898</t>
  </si>
  <si>
    <t>112 PREMIUM CARE HOSPITALITY S.A.S. CR 112-120TORR H2 APTO 2308</t>
  </si>
  <si>
    <t>BIA 112</t>
  </si>
  <si>
    <t>Frt58903</t>
  </si>
  <si>
    <t>117 COPSERVIR LTDA CL 70 4-8 P 1 APTO 1</t>
  </si>
  <si>
    <t>BIA 117</t>
  </si>
  <si>
    <t>Frt58929</t>
  </si>
  <si>
    <t>126 INVERSIONES HOTELERAS WG CARTAGENA SAS.  CR 1 62-69 P 1 APTO 2</t>
  </si>
  <si>
    <t>BIA 126</t>
  </si>
  <si>
    <t>Frt59373</t>
  </si>
  <si>
    <t>136 JUANAUTOS EL CERRO SAS SECTOR 1 LOTE-1 AGUAS PRIETAS</t>
  </si>
  <si>
    <t>BIA 136</t>
  </si>
  <si>
    <t>Frt58904</t>
  </si>
  <si>
    <t>118 COPSERVIR LTDA CL 31 54-215 BLOQ 2 P1 LOC 63</t>
  </si>
  <si>
    <t>BIA 118</t>
  </si>
  <si>
    <t>Frt58912</t>
  </si>
  <si>
    <t>121 IPS INTEGRAL CLINICAL CARE S.A.S CR 26 MZ E-25 P 2 APTO 2</t>
  </si>
  <si>
    <t>BIA 121</t>
  </si>
  <si>
    <t>Frt67003</t>
  </si>
  <si>
    <t>292 TELEF�NICACR 15D 34-36</t>
  </si>
  <si>
    <t>BIA 292</t>
  </si>
  <si>
    <t>Frt72518</t>
  </si>
  <si>
    <t>348 DISTRIBUCIONES PHARMASER LIMITADA CL 8 10-34</t>
  </si>
  <si>
    <t>BIA 348</t>
  </si>
  <si>
    <t>Frt06150</t>
  </si>
  <si>
    <t>420 ACADEMIA DE BELLEZA SANDRA</t>
  </si>
  <si>
    <t>BIA 420</t>
  </si>
  <si>
    <t>Frt72447</t>
  </si>
  <si>
    <t>346 DISTRIBUCIONES PHARMASER LIMITADA TR 9 1-98 LOC 1</t>
  </si>
  <si>
    <t>BIA 346</t>
  </si>
  <si>
    <t>Frt75029</t>
  </si>
  <si>
    <t>432 DROMEDICAS DEL ORIENTE CL 41 6 38 BARRIO NARI�O</t>
  </si>
  <si>
    <t>BIA 432</t>
  </si>
  <si>
    <t>Frt83964</t>
  </si>
  <si>
    <t>523 CUCINARE SAS SALVATORS CL 44 8 43 LOC 201- BARRIO ALAMEDAS DEL SINU</t>
  </si>
  <si>
    <t>BIA 523</t>
  </si>
  <si>
    <t>Frt74038</t>
  </si>
  <si>
    <t>381 DISTRIBUCIONES PHARMASER LIMITADA CL 1B CR 1D 38</t>
  </si>
  <si>
    <t>BIA 381</t>
  </si>
  <si>
    <t>ARROYO HONDO</t>
  </si>
  <si>
    <t>Frt59996</t>
  </si>
  <si>
    <t>157 PREMIUM CARE MEDICAL SUITES CR 4 CALLE 7 145</t>
  </si>
  <si>
    <t>BIA 157</t>
  </si>
  <si>
    <t>Frt57210</t>
  </si>
  <si>
    <t>063 CLASSIC JEANS SHOPS S.A.S. CR 2 31-12</t>
  </si>
  <si>
    <t>BIA 63</t>
  </si>
  <si>
    <t>Frt60194</t>
  </si>
  <si>
    <t>172 PREMIUM CARE HOSPITALITY S.A.S. CR 112-120TORR H2 APTO 2205</t>
  </si>
  <si>
    <t>BIA 172</t>
  </si>
  <si>
    <t>Frt60238</t>
  </si>
  <si>
    <t>176 HOTEL CASA DILUCA SAS  CRA 13 B 26 78</t>
  </si>
  <si>
    <t>BIA 176</t>
  </si>
  <si>
    <t>Frt60270</t>
  </si>
  <si>
    <t>177 HOTEL CASA DILUCA SAS  CL COLEGIO 34 37</t>
  </si>
  <si>
    <t>BIA 177</t>
  </si>
  <si>
    <t>Frt70944</t>
  </si>
  <si>
    <t>315 TELEF�NICACR 6 8G-64</t>
  </si>
  <si>
    <t>BIA 315</t>
  </si>
  <si>
    <t>Frt75515</t>
  </si>
  <si>
    <t>449 DISTRIBUCIONES PHARMASER LIMITADA TR 2 10-80 DUP 2</t>
  </si>
  <si>
    <t>BIA 449</t>
  </si>
  <si>
    <t>SOPLAVIENTO</t>
  </si>
  <si>
    <t>Frt60414</t>
  </si>
  <si>
    <t>187 CORPORACION MATIMBA CLUB &amp; SPA CL 7 CR 5 - 513 BARU</t>
  </si>
  <si>
    <t>BIA 187</t>
  </si>
  <si>
    <t>Frt71423</t>
  </si>
  <si>
    <t>358 DISTRIBUCIONES PHARMASER LIMITADA CR 6 CL 11-58</t>
  </si>
  <si>
    <t>BIA 358</t>
  </si>
  <si>
    <t>TALAIGUA NUEVO</t>
  </si>
  <si>
    <t>Frt72398</t>
  </si>
  <si>
    <t>339 DISTRIBUCIONES PHARMASER LIMITADA CR 16 8 74 P 1 LOC 1</t>
  </si>
  <si>
    <t>BIA 339</t>
  </si>
  <si>
    <t>Frt87852</t>
  </si>
  <si>
    <t>538 CAMINO PALMERO COVE�AS CL 5 21 36 P 1 APTO 01 SECTOR PRIMERA ENSENADA</t>
  </si>
  <si>
    <t>BIA 538</t>
  </si>
  <si>
    <t>Frt54361</t>
  </si>
  <si>
    <t>046 FEMSA - CEDI - COROZAL</t>
  </si>
  <si>
    <t>BIA 46</t>
  </si>
  <si>
    <t>Frt60547</t>
  </si>
  <si>
    <t>193 GRUPO M CR 4 5A-53 P 1 LOC 1</t>
  </si>
  <si>
    <t>BIA 193</t>
  </si>
  <si>
    <t>Frt68305</t>
  </si>
  <si>
    <t>253 TELEF�NICACR 1 CL 7-26 INT 1</t>
  </si>
  <si>
    <t>BIA 253</t>
  </si>
  <si>
    <t>Frt63813</t>
  </si>
  <si>
    <t>219 MR BONO CL 31 82-327 LOC 131</t>
  </si>
  <si>
    <t>BIA 219</t>
  </si>
  <si>
    <t>Frt63815</t>
  </si>
  <si>
    <t>220 MR BONO CL 29D 22-150 P 2 LOC 77B</t>
  </si>
  <si>
    <t>BIA 220</t>
  </si>
  <si>
    <t>Frt63816</t>
  </si>
  <si>
    <t>221 MR BONO CL 30 17-140 P 1 LOC 9</t>
  </si>
  <si>
    <t>BIA 221</t>
  </si>
  <si>
    <t>Frt31432</t>
  </si>
  <si>
    <t>236 PROMOTORA BELLATRIX SAS</t>
  </si>
  <si>
    <t>BIA 236</t>
  </si>
  <si>
    <t>Frt67694</t>
  </si>
  <si>
    <t>250 HOTEL PLAYA CLUB CARTAGENA CR 2 CL 4-87 P 1 SEGE</t>
  </si>
  <si>
    <t>BIA 250</t>
  </si>
  <si>
    <t>Frt66867</t>
  </si>
  <si>
    <t>270 BONCHEBAR AV DEL PEDREGAL 29-47 GETSEMANI</t>
  </si>
  <si>
    <t>BIA 270</t>
  </si>
  <si>
    <t>Frt66905</t>
  </si>
  <si>
    <t>275 FENIX BEACH CARTAGENA -REGULADO CL 2 6A-28 PUNTA ARENA</t>
  </si>
  <si>
    <t>BIA 275</t>
  </si>
  <si>
    <t>Frt67000</t>
  </si>
  <si>
    <t>290 TELEF�NICACL 5A 12-38 PH 1</t>
  </si>
  <si>
    <t>BIA 290</t>
  </si>
  <si>
    <t>Frt66988</t>
  </si>
  <si>
    <t>288 MR BONO CR 83B DG 36B-920 LOC 145</t>
  </si>
  <si>
    <t>BIA 288</t>
  </si>
  <si>
    <t>Frt66690</t>
  </si>
  <si>
    <t>312 MERCA PEZ DE COLOMBIA 10 56B-197 EL CAMPESTRE</t>
  </si>
  <si>
    <t>BIA 312</t>
  </si>
  <si>
    <t>Frt68882</t>
  </si>
  <si>
    <t>327 LE�N PROPERTIES SAS CL DE AYOS 4-29 P 1 APTO 1</t>
  </si>
  <si>
    <t>BIA 327</t>
  </si>
  <si>
    <t>Frt68997</t>
  </si>
  <si>
    <t>334 HOLDING J C SAS CR 2 8 50 BOCAGRANDE</t>
  </si>
  <si>
    <t>BIA 334</t>
  </si>
  <si>
    <t>Frt71515</t>
  </si>
  <si>
    <t>362 PROMOTORA CASA DE LAS CARRETAS CARRERA 13B  26 78 PISO 3 ED CHAMBACU</t>
  </si>
  <si>
    <t>BIA 362</t>
  </si>
  <si>
    <t>Frt72583</t>
  </si>
  <si>
    <t>408 SAFELA GROUP DG 38A TR82-12 LOC 172 URB LA CAROLINA CARTAGENA CENTRO COMER G</t>
  </si>
  <si>
    <t>BIA 408</t>
  </si>
  <si>
    <t>Frt26688</t>
  </si>
  <si>
    <t>368 INVERSIONES EN RECREACIION DEPORTE Y SALUD S.A. - BODYTECH CARIBE PLAZA</t>
  </si>
  <si>
    <t>BIA 368</t>
  </si>
  <si>
    <t>Frt72676</t>
  </si>
  <si>
    <t>410 DISTRIBUCIONES PHARMASER LIMITADA CR 14 CL 19-219 LOC 113</t>
  </si>
  <si>
    <t>BIA 410</t>
  </si>
  <si>
    <t>Frt74713</t>
  </si>
  <si>
    <t>422 AUTOCENTRO LA ESTACION SAS CL 3 CR7 136</t>
  </si>
  <si>
    <t>BIA 422</t>
  </si>
  <si>
    <t>Frt74948</t>
  </si>
  <si>
    <t>430 SAFELA GROUP CL 31 64-100 P1 LOC 24 URB VILLA SANDRA CARTAGENA CENTRO COMERC</t>
  </si>
  <si>
    <t>VATIA 430</t>
  </si>
  <si>
    <t>Frt74698</t>
  </si>
  <si>
    <t>419 DISTRIBUCIONES PHARMASER LIMITADA DG 31B  71B 122 P 1 LOC 1 LA CONCEPCION CA</t>
  </si>
  <si>
    <t>BIA 419</t>
  </si>
  <si>
    <t>Frt74087</t>
  </si>
  <si>
    <t>426 DISTRIBUCIONES PHARMASER LIMITADA CL 11 8-32</t>
  </si>
  <si>
    <t>BIA 426</t>
  </si>
  <si>
    <t>Frt75761</t>
  </si>
  <si>
    <t>455 SISTEMAS GLOBALES CTG SAS TR54CR64 43P 1APTO 1 LAS DELICIAS</t>
  </si>
  <si>
    <t>BIA 455</t>
  </si>
  <si>
    <t>Frt74951</t>
  </si>
  <si>
    <t>436 BKAL SAS CL 29D 22 150 P 2 LOC 83 CENTRO COMERCIAL CARIBE PLAZA</t>
  </si>
  <si>
    <t>BIA 436</t>
  </si>
  <si>
    <t>Frt78140</t>
  </si>
  <si>
    <t>500 LEAN SOLUTIONS GROUP CL 28 CR 25-53 P 1 LOC 3</t>
  </si>
  <si>
    <t>BIA 500</t>
  </si>
  <si>
    <t>Frt78163</t>
  </si>
  <si>
    <t>481 LEAN SOLUTIONS GROUP CL 28 CR 27-39 OFI 2403</t>
  </si>
  <si>
    <t>BIA 481</t>
  </si>
  <si>
    <t>Frt75860</t>
  </si>
  <si>
    <t>470 LEAN SOLUTIONS GROUP CL 28 CR 25-53 P 1 LOC</t>
  </si>
  <si>
    <t>BIA 470</t>
  </si>
  <si>
    <t>Frt78371</t>
  </si>
  <si>
    <t>507 NIA BAKERY CL 33 4 28 P 1 APTO 1</t>
  </si>
  <si>
    <t>BIA 507</t>
  </si>
  <si>
    <t>Frt78153</t>
  </si>
  <si>
    <t>478 LEAN SOLUTIONS GROUP CL 28 CR 25-53 P 14 OFI 06</t>
  </si>
  <si>
    <t>BIA 478</t>
  </si>
  <si>
    <t>Frt78162</t>
  </si>
  <si>
    <t>480 LEAN SOLUTIONS GROUP CL 28 CR 27-39 OFI 2503</t>
  </si>
  <si>
    <t>BIA 480</t>
  </si>
  <si>
    <t>Frt78190</t>
  </si>
  <si>
    <t>486 LEAN SOLUTIONS GROUP CL 28 CR 27-39 OFI 2401</t>
  </si>
  <si>
    <t>BIA 486</t>
  </si>
  <si>
    <t>Frt78264</t>
  </si>
  <si>
    <t>494 TERPEL CR 2 7-16 P 1 LOC 3</t>
  </si>
  <si>
    <t>BIA 494</t>
  </si>
  <si>
    <t>Frt76966</t>
  </si>
  <si>
    <t>474 LEAN SOLUTIONS GROUP CL 28 CR 25-53 P 11 OFI 01</t>
  </si>
  <si>
    <t>BIA 474</t>
  </si>
  <si>
    <t>Frt78189</t>
  </si>
  <si>
    <t>485 LEAN SOLUTIONS GROUP CL 28 CR 25-53 P 14 OFI 10</t>
  </si>
  <si>
    <t>BIA 485</t>
  </si>
  <si>
    <t>Frt82163</t>
  </si>
  <si>
    <t>514 BANCO POPULAR CR 1 12 120 ENTR BG2 LOC 004 BOCAGRANDE CARTAGENA C C PLAZA BO</t>
  </si>
  <si>
    <t>BIA 514</t>
  </si>
  <si>
    <t>Frt83730</t>
  </si>
  <si>
    <t>518 DROGUERIAS Y FARMACIAS CRUZ VERDE SAS CL 26 21 45 APTO 2 MANGA CARTAGENA URB</t>
  </si>
  <si>
    <t>BIA 518</t>
  </si>
  <si>
    <t>Frt84058</t>
  </si>
  <si>
    <t>529 DE LAS INDIAS SAS BIC AV DEL CENTENARIO 30 58 P 1 APTO 1</t>
  </si>
  <si>
    <t>BIA 529</t>
  </si>
  <si>
    <t>Frt18958</t>
  </si>
  <si>
    <t>08 INDUSTRIA COLOMBIANA DE CONFECCIONES S.A. INCOCO S.A. ALM NO 25</t>
  </si>
  <si>
    <t>BIA 08</t>
  </si>
  <si>
    <t>Frt50758</t>
  </si>
  <si>
    <t>02 GALAVANTA TRAVEL SAS</t>
  </si>
  <si>
    <t>BIA 02</t>
  </si>
  <si>
    <t>Frt51793</t>
  </si>
  <si>
    <t>014 WYNWOOD 1201 CTG</t>
  </si>
  <si>
    <t>BIA 14</t>
  </si>
  <si>
    <t>Frt87760</t>
  </si>
  <si>
    <t>535 TERPEL MAMONAL - CARRETERA PRINCIPAL 75B - 3 LOC 103</t>
  </si>
  <si>
    <t>BIA 535</t>
  </si>
  <si>
    <t>Frt52796</t>
  </si>
  <si>
    <t>042 EL TEMPLO DE LA MODA FRESCA SAS CL 32 24-38 P 1 LOC 1</t>
  </si>
  <si>
    <t>BIA 42</t>
  </si>
  <si>
    <t>Frt51790</t>
  </si>
  <si>
    <t>011 WYNWOOD 1402 CTG</t>
  </si>
  <si>
    <t>BIA 11</t>
  </si>
  <si>
    <t>Frt56522</t>
  </si>
  <si>
    <t>053 JUANAUTOS EL CERRO SAS CR 71 26-236 BLOQ 2 P1 LOC 19</t>
  </si>
  <si>
    <t>BIA 53</t>
  </si>
  <si>
    <t>Frt51818</t>
  </si>
  <si>
    <t>016 WYNWOOD 1101 CTG</t>
  </si>
  <si>
    <t>BIA 16</t>
  </si>
  <si>
    <t>Frt51822</t>
  </si>
  <si>
    <t>020 WYNWOOD 1002 CTG</t>
  </si>
  <si>
    <t>BIA 20</t>
  </si>
  <si>
    <t>Frt41402</t>
  </si>
  <si>
    <t>027 BANCO DAVIVIENDA SA</t>
  </si>
  <si>
    <t>BIA 27</t>
  </si>
  <si>
    <t>Frt56570</t>
  </si>
  <si>
    <t>056 JUANAUTOS EL CERRO SAS CR 71 26-236 BLOQ 2 P1 LOC 18</t>
  </si>
  <si>
    <t>BIA 56</t>
  </si>
  <si>
    <t>Frt56581</t>
  </si>
  <si>
    <t>054 ASHA CR 22 28-7 P 1 APTO 02</t>
  </si>
  <si>
    <t>BIA 54</t>
  </si>
  <si>
    <t>Frt57211</t>
  </si>
  <si>
    <t>064 REPOSTERIA ELY SAS CL 31 64-100 P 1 LOC 63</t>
  </si>
  <si>
    <t>BIA 64</t>
  </si>
  <si>
    <t>Frt72434</t>
  </si>
  <si>
    <t>344 DISTRIBUCIONES PHARMASER LIMITADA CL 4 CR 6-70</t>
  </si>
  <si>
    <t>BIA 344</t>
  </si>
  <si>
    <t>Frt58824</t>
  </si>
  <si>
    <t>100 COPSERVIR LTDA CR 18D 22C-6</t>
  </si>
  <si>
    <t>BIA 100</t>
  </si>
  <si>
    <t>Frt61017</t>
  </si>
  <si>
    <t>201 FEMSA - CEDI - VALLEDUPAR</t>
  </si>
  <si>
    <t>BIA 201</t>
  </si>
  <si>
    <t>Frt63678</t>
  </si>
  <si>
    <t>213 MR BONO DG 10 6N-15 LOC B-5</t>
  </si>
  <si>
    <t>BIA 213</t>
  </si>
  <si>
    <t>Frt72499</t>
  </si>
  <si>
    <t>347 DISTRIBUCIONES PHARMASER LIMITADA CL 16 CR 11-10 APTO 1</t>
  </si>
  <si>
    <t>BIA 347</t>
  </si>
  <si>
    <t>Frt63679</t>
  </si>
  <si>
    <t>214 MR BONO DG 10 6N-15 BDGA 10</t>
  </si>
  <si>
    <t>BIA 214</t>
  </si>
  <si>
    <t>Frt72479</t>
  </si>
  <si>
    <t>371 TELEF�NICACL 8 8-178</t>
  </si>
  <si>
    <t>BIA 371</t>
  </si>
  <si>
    <t>Frt70954</t>
  </si>
  <si>
    <t>318 ANDRES RIBERO GARCIA CR 2 CL 2 825</t>
  </si>
  <si>
    <t>BIA 318</t>
  </si>
  <si>
    <t>Frt65651</t>
  </si>
  <si>
    <t>256 RENZO AFINIA DG 10 6N-15 LOC 240</t>
  </si>
  <si>
    <t>BIA 256</t>
  </si>
  <si>
    <t>Frt28163</t>
  </si>
  <si>
    <t>323 INVERSIONES ROFI SAS - CINELAND VALLEDUPAR</t>
  </si>
  <si>
    <t>BIA 323</t>
  </si>
  <si>
    <t>Frt58842</t>
  </si>
  <si>
    <t>103 NCS S. A. S. CR 8 17-17 ENTR A P 1 LOC 23</t>
  </si>
  <si>
    <t>BIA 103</t>
  </si>
  <si>
    <t>Frt58843</t>
  </si>
  <si>
    <t>104 NCS S. A. S. CR 8 17-17 ENTR A P 1 LOC 22</t>
  </si>
  <si>
    <t>BIA 104</t>
  </si>
  <si>
    <t>Frt77058</t>
  </si>
  <si>
    <t>501 SAFELA GROUP DG 10 6N - 15 LOC 239 VILLALBA VALLEDUPAR CC GUATAPURI PLAZA</t>
  </si>
  <si>
    <t>BIA 501</t>
  </si>
  <si>
    <t>Frt60275</t>
  </si>
  <si>
    <t>178 DE MODA SAS CR 7 16B-64</t>
  </si>
  <si>
    <t>BIA 178</t>
  </si>
  <si>
    <t>Frt60394</t>
  </si>
  <si>
    <t>186 WEBSYS CL 5 MZ E-3 CONJ CERRADO CITARINGA</t>
  </si>
  <si>
    <t>BIA 186</t>
  </si>
  <si>
    <t>Frt85052</t>
  </si>
  <si>
    <t>532 CUCINARE SAS SALVATORS 2 DG 10 6N 15 LOC 2036</t>
  </si>
  <si>
    <t>BIA 532</t>
  </si>
  <si>
    <t>Frt36870</t>
  </si>
  <si>
    <t>215 NCS MODA SAS</t>
  </si>
  <si>
    <t>BIA 215</t>
  </si>
  <si>
    <t>Frt51650</t>
  </si>
  <si>
    <t>010 LITOGRAF�A JULIO GAMEZ VALLEDUPAR</t>
  </si>
  <si>
    <t>BIA 10</t>
  </si>
  <si>
    <t>Frt75826</t>
  </si>
  <si>
    <t>460 DISTRIBUCIONES PHARMASER LIMITADA CR 7 CL 5-18</t>
  </si>
  <si>
    <t>BIA 460</t>
  </si>
  <si>
    <t>Frt74517</t>
  </si>
  <si>
    <t>394 ASOCIADOS GARCIA CASTRO CL 11A 3 37</t>
  </si>
  <si>
    <t>BIA 394</t>
  </si>
  <si>
    <t>Frt75477</t>
  </si>
  <si>
    <t>469 CEMEX COLOMBIA SA KM 28 VIA LA CORDIAL PAR IND C</t>
  </si>
  <si>
    <t>BIA 469</t>
  </si>
  <si>
    <t>Frt76489</t>
  </si>
  <si>
    <t>464 DISTRIBUCIONES PHARMASER LIMITADA CL 5 8-458</t>
  </si>
  <si>
    <t>BIA 464</t>
  </si>
  <si>
    <t>Frt74497</t>
  </si>
  <si>
    <t>417 DISTRIBUCIONES PHARMASER LIMITADA CL 13 9-31 LOC 2</t>
  </si>
  <si>
    <t>BIA 417</t>
  </si>
  <si>
    <t>Frt58777</t>
  </si>
  <si>
    <t>086 COPSERVIR LTDA CR 25 14-32</t>
  </si>
  <si>
    <t>BIA 86</t>
  </si>
  <si>
    <t>Frt80407</t>
  </si>
  <si>
    <t>513 SAFELA GROUP LOC 2288 CC GUACARI</t>
  </si>
  <si>
    <t>BIA 513</t>
  </si>
  <si>
    <t>Frt72498</t>
  </si>
  <si>
    <t>386 ASOCIADOS GARCIA CASTRO CR 6 16V10 P 1 LOC 01</t>
  </si>
  <si>
    <t>BIA 386</t>
  </si>
  <si>
    <t>Frt78139</t>
  </si>
  <si>
    <t>477 GRUPO MIS SOCIEDAD POR ACCIONES SIMPLIFICADA AFINIA CL 28 CR 25B-365 LOC 226</t>
  </si>
  <si>
    <t>BIA 477</t>
  </si>
  <si>
    <t>Frt63463</t>
  </si>
  <si>
    <t>211 COPSERVIR LTDA CL 16 10-12</t>
  </si>
  <si>
    <t>BIA 211</t>
  </si>
  <si>
    <t>Frt74950</t>
  </si>
  <si>
    <t>431 ASOCIADOS GARCIA CASTRO CL 28 CR 25B 365 LOC 2307</t>
  </si>
  <si>
    <t>431 BIA</t>
  </si>
  <si>
    <t>Frt74610</t>
  </si>
  <si>
    <t>396 SISTEMAS GLOBALES CTG SAS SECTOR 1 LOCAL 1 UNIDAD RES CATALINA</t>
  </si>
  <si>
    <t>BIA 396</t>
  </si>
  <si>
    <t>Frt66865</t>
  </si>
  <si>
    <t>268 EUROSTYLE DG 31 100-115 P 1 LOC 47</t>
  </si>
  <si>
    <t>BIA 268</t>
  </si>
  <si>
    <t>Frt66761</t>
  </si>
  <si>
    <t>266 EUROSTYLE DG 31 100-115 P 1 APTO 31</t>
  </si>
  <si>
    <t>BIA 266</t>
  </si>
  <si>
    <t>Frt60116</t>
  </si>
  <si>
    <t>163 RETAIL ANDINO SAS CR 15 23-81</t>
  </si>
  <si>
    <t>BIA 163</t>
  </si>
  <si>
    <t>Frt63457</t>
  </si>
  <si>
    <t>207 MR BONO CL 28 CR 25B-365 LOC 1025</t>
  </si>
  <si>
    <t>BIA 207</t>
  </si>
  <si>
    <t>Frt63944</t>
  </si>
  <si>
    <t>244 COPSERVIR LTDA CR 25 25-18 P 1 LOC 1</t>
  </si>
  <si>
    <t>BIA 224</t>
  </si>
  <si>
    <t>Frt63515</t>
  </si>
  <si>
    <t>212 MR BONO CL 28 CR 25B-365 LOC 1196</t>
  </si>
  <si>
    <t>BIA 212</t>
  </si>
  <si>
    <t>Frt66976</t>
  </si>
  <si>
    <t>283 TELEF�NICACR 2 CL 1-95</t>
  </si>
  <si>
    <t>BIA 283</t>
  </si>
  <si>
    <t>Frt83733</t>
  </si>
  <si>
    <t>520 DROGUERIAS Y FARMACIAS CRUZ VERDE SAS CL 16A 19A 25 P 1 LOC 01 BARRIO LA FOR</t>
  </si>
  <si>
    <t>BIA 520</t>
  </si>
  <si>
    <t>Frt86836</t>
  </si>
  <si>
    <t>537 GECOLSA TURBACO CARRT POZON - POLICARPA KM 2 - 300 VARIANTE POZON POLICARPA</t>
  </si>
  <si>
    <t>BIA 537</t>
  </si>
  <si>
    <t>Frt57339</t>
  </si>
  <si>
    <t>071 HM ENTERPRISES S.A.S. SECTOR URB BARU MZ E-5 P 1 LOC 1 LA CONCEPCION</t>
  </si>
  <si>
    <t>BIA 71</t>
  </si>
  <si>
    <t>Frt57404</t>
  </si>
  <si>
    <t>074 KARINA CR 9A 22-666 P 2 APTO 23</t>
  </si>
  <si>
    <t>BIA 74</t>
  </si>
  <si>
    <t>Frt68498</t>
  </si>
  <si>
    <t>302 DISMEL LIMITADA DG 31 100-115 P 1 BDGA 3 B SAN JOSE DE LOS CAMPANOS TURBACO</t>
  </si>
  <si>
    <t>BIA 302</t>
  </si>
  <si>
    <t>Frt58803</t>
  </si>
  <si>
    <t>093 COPSERVIR LTDA CL 13 7-84</t>
  </si>
  <si>
    <t>BIA 93</t>
  </si>
  <si>
    <t>Frt66926</t>
  </si>
  <si>
    <t>278 EMPRESA DE SERVICIO ESPECIAL DE TRANSPORTE MAMONAL SECTOR LOS NARANJOS KM</t>
  </si>
  <si>
    <t>BIA 278</t>
  </si>
  <si>
    <t>Frt66594</t>
  </si>
  <si>
    <t>245 ALTYCOMBPO SAS AFINIA TR 28A 27A-61 P 1 LOC 02 BARRIO EL SOCORRO</t>
  </si>
  <si>
    <t>BIA 245</t>
  </si>
  <si>
    <t>Frt66760</t>
  </si>
  <si>
    <t>265 EUROSTYLE DG 31 100-115 D P 1 APTO 41</t>
  </si>
  <si>
    <t>BIA 265</t>
  </si>
  <si>
    <t>Frt59941</t>
  </si>
  <si>
    <t>155 MINISO COLOMBIA S.A CL 28 CR 25B-365 LOC 1137</t>
  </si>
  <si>
    <t>BIA 155</t>
  </si>
  <si>
    <t>Frt58805</t>
  </si>
  <si>
    <t>094 COPSERVIR LTDA CL 47 3-620 LOC 2</t>
  </si>
  <si>
    <t>BIA 94</t>
  </si>
  <si>
    <t>Frt59465</t>
  </si>
  <si>
    <t>148 DE MODA SAS CR 2 34-61 LOC 111</t>
  </si>
  <si>
    <t>BIA 148</t>
  </si>
  <si>
    <t>Frt58895</t>
  </si>
  <si>
    <t>109 PREMIUM CARE HOSPITALITY S.A.S. CR 112-120TORR H2 APTO 2705</t>
  </si>
  <si>
    <t>BIA 109</t>
  </si>
  <si>
    <t>Frt58896</t>
  </si>
  <si>
    <t>110 PREMIUM CARE HOSPITALITY S.A.S. CR 112-120TORR H2 APTO 2106</t>
  </si>
  <si>
    <t>BIA 110</t>
  </si>
  <si>
    <t>Frt58905</t>
  </si>
  <si>
    <t>119 COPSERVIR LTDA CL 25 17-26 P 1 APTO 01</t>
  </si>
  <si>
    <t>BIA 119</t>
  </si>
  <si>
    <t>Frt58959</t>
  </si>
  <si>
    <t>127  IPS INTEGRAL CLINICAL CARE S.A.S CR 21 A 29B - 22</t>
  </si>
  <si>
    <t>BIA 127</t>
  </si>
  <si>
    <t>Frt74902</t>
  </si>
  <si>
    <t>438 DROMEDICAS DEL ORIENTE SECTOR 11 MZ56 31 BARRIO LA PRADERA</t>
  </si>
  <si>
    <t>BIA 438</t>
  </si>
  <si>
    <t>Frt58901</t>
  </si>
  <si>
    <t>115 COPSERVIR LTDA CR 56B MZ F-16 P 1 LOC 1</t>
  </si>
  <si>
    <t>BIA 115</t>
  </si>
  <si>
    <t>Frt67923</t>
  </si>
  <si>
    <t>299 MR BONO CL 44 8-43 LOC B185</t>
  </si>
  <si>
    <t>BIA 299</t>
  </si>
  <si>
    <t>Frt72424</t>
  </si>
  <si>
    <t>342 DISTRIBUCIONES PHARMASER LIMITADA CL 66 5-70 APTO 202</t>
  </si>
  <si>
    <t>BIA 342</t>
  </si>
  <si>
    <t>Frt86198</t>
  </si>
  <si>
    <t>536 FRIO COSTA SA CARRT VIA A LOS PERICOS KM 5-1410 BDGA FRIO MONTER�A</t>
  </si>
  <si>
    <t>BIA 536</t>
  </si>
  <si>
    <t>Frt43194</t>
  </si>
  <si>
    <t>034 BANCO DAVIVIENDA SA</t>
  </si>
  <si>
    <t>BIA 34</t>
  </si>
  <si>
    <t>Frt74095</t>
  </si>
  <si>
    <t>416 DISTRIBUCIONES PHARMASER LIMITADA CR 13A CL 16-56 P 1 APTO 2</t>
  </si>
  <si>
    <t>BIA 416</t>
  </si>
  <si>
    <t>CICUCO</t>
  </si>
  <si>
    <t>Frt60636</t>
  </si>
  <si>
    <t>196 AUTOCENTRO LA ESTACION S.A.S. CL 31 46-30</t>
  </si>
  <si>
    <t>BIA 196</t>
  </si>
  <si>
    <t>Frt60108</t>
  </si>
  <si>
    <t>161 EL BESO COMPANY SAS CL SAN ANTONIO 25-27</t>
  </si>
  <si>
    <t>BIA 161</t>
  </si>
  <si>
    <t>Frt63952</t>
  </si>
  <si>
    <t>226 MORROS 922 CR 9A 22 666</t>
  </si>
  <si>
    <t>BIA 226</t>
  </si>
  <si>
    <t>Frt61115</t>
  </si>
  <si>
    <t>204 GRUPO MIS SOCIEDAD POR ACCIONES SIMPLIFICADA (AFINIA) CL 29D 22-150 P 2 LOC</t>
  </si>
  <si>
    <t>BIA 204</t>
  </si>
  <si>
    <t>Frt61107</t>
  </si>
  <si>
    <t>203 FUNDACI�N OFTALMOL�GICA DEL CARIBE CL 5A CR 6-76</t>
  </si>
  <si>
    <t>BIA 203</t>
  </si>
  <si>
    <t>Frt63954</t>
  </si>
  <si>
    <t>227 LA LICORERA GETSEMANI BAR RESTAURANTE / BODEGA</t>
  </si>
  <si>
    <t>BIA 227</t>
  </si>
  <si>
    <t>Frt65716</t>
  </si>
  <si>
    <t>238 MR BONO CL STOS DE PIEDRA 34-64 P 2 LOC 1</t>
  </si>
  <si>
    <t>BIA 238</t>
  </si>
  <si>
    <t>Frt66671</t>
  </si>
  <si>
    <t>249 HOTEL CASA DILUCA SAS CRA 13 B 26 78</t>
  </si>
  <si>
    <t>BIA 249</t>
  </si>
  <si>
    <t>Frt65717</t>
  </si>
  <si>
    <t>239 AUTOCENTRO LA ESTACION SAS CL 7 CR 5-590</t>
  </si>
  <si>
    <t>BIA 239</t>
  </si>
  <si>
    <t>Frt66686</t>
  </si>
  <si>
    <t>257 FUNDACI�N PERSEVERAR POR COLOMBIA TR 74A COLEG-149 P 1 APTO 1</t>
  </si>
  <si>
    <t>BIA 257</t>
  </si>
  <si>
    <t>Frt66756</t>
  </si>
  <si>
    <t>262 INVERSIONES BULLDOG SAS CL 31 54-127 P 2 LOC 1 EL RUBI</t>
  </si>
  <si>
    <t>BIA 262</t>
  </si>
  <si>
    <t>Frt68441</t>
  </si>
  <si>
    <t>309 HOTEL CASA LA MANTILLA CL LA MANTILLA 3-44 P 1</t>
  </si>
  <si>
    <t>BIA 309</t>
  </si>
  <si>
    <t>Frt66978</t>
  </si>
  <si>
    <t>285 TELEF�NICACR 55C 15-31 P 1 INT 2</t>
  </si>
  <si>
    <t>BIA 285</t>
  </si>
  <si>
    <t>Frt68440</t>
  </si>
  <si>
    <t>308 HOTEL CASA LA MANTILLA CL LA MANTILLA 3-44 P 3</t>
  </si>
  <si>
    <t>BIA 308</t>
  </si>
  <si>
    <t>Frt69699</t>
  </si>
  <si>
    <t>314 EBANO CL 1RA DE LA MAGDALENA 9 67 APTO 101</t>
  </si>
  <si>
    <t>BIA 314</t>
  </si>
  <si>
    <t>Frt71015</t>
  </si>
  <si>
    <t>316 EL MARQUES HOTEL CARRERA 13B  26-78 PISO 3 ED CHAMBACU</t>
  </si>
  <si>
    <t>BIA 316</t>
  </si>
  <si>
    <t>Frt71432</t>
  </si>
  <si>
    <t>335 BONCHEBAR CL 26 25-78 APTO 2 GETSEMANI</t>
  </si>
  <si>
    <t>BIA 335</t>
  </si>
  <si>
    <t>Frt68955</t>
  </si>
  <si>
    <t>329 TELEF�NICACL 28 CR 71-369 INT 2</t>
  </si>
  <si>
    <t>BIA 329</t>
  </si>
  <si>
    <t>Frt68963</t>
  </si>
  <si>
    <t>332 MR BONO CR 83B DG 36B-920 LOC 146</t>
  </si>
  <si>
    <t>BIA 332</t>
  </si>
  <si>
    <t>Frt68961</t>
  </si>
  <si>
    <t>330 TELEF�NICACR 97 35-3</t>
  </si>
  <si>
    <t>BIA 330</t>
  </si>
  <si>
    <t>Frt68965</t>
  </si>
  <si>
    <t>333 TELEF�NICACL 31D 54-23 INT 2</t>
  </si>
  <si>
    <t>BIA 333</t>
  </si>
  <si>
    <t>Frt72470</t>
  </si>
  <si>
    <t>382 ALSERTEC SAS CR 56 KM 12 375 MAMONAL URB 1280112600004 ZONA F CANDELARIA</t>
  </si>
  <si>
    <t>BIA 382</t>
  </si>
  <si>
    <t>Frt72490</t>
  </si>
  <si>
    <t>380 DISTRIBUCIONES PHARMASER LIMITADA CL 31C MZE-20</t>
  </si>
  <si>
    <t>BIA 380</t>
  </si>
  <si>
    <t>Frt29456</t>
  </si>
  <si>
    <t>388 BODYTECH AVENIDA EL MALECON CC. PLAZA BOCAGRANDE</t>
  </si>
  <si>
    <t>BIA 388</t>
  </si>
  <si>
    <t>Frt68946</t>
  </si>
  <si>
    <t>374 TELEF�NICACR 2 CL 13-83 INT 1</t>
  </si>
  <si>
    <t>BIA 374</t>
  </si>
  <si>
    <t>Frt72677</t>
  </si>
  <si>
    <t>411 DISTRIBUCIONES PHARMASER LIMITADA CR 14 CL 19-219 LOC 114</t>
  </si>
  <si>
    <t>BIA 411</t>
  </si>
  <si>
    <t>Frt73442</t>
  </si>
  <si>
    <t>413 CASA CRUXADA CL SANTO DOMINGO 3-30</t>
  </si>
  <si>
    <t>BIA 413</t>
  </si>
  <si>
    <t>Frt74919</t>
  </si>
  <si>
    <t>443 DLK 3 CR 1 12 120 ENTR BG2 LOC 304</t>
  </si>
  <si>
    <t>BIA 443</t>
  </si>
  <si>
    <t>Frt75843</t>
  </si>
  <si>
    <t>462 EBANO CL 1RA DE LA MAGDALENA 9 67 LOC 1</t>
  </si>
  <si>
    <t>BIA 462</t>
  </si>
  <si>
    <t>Frt75031</t>
  </si>
  <si>
    <t>433 GAK GROUP SAS DG 38A TR 82 12 LOC 208 URB LA CAROLINA</t>
  </si>
  <si>
    <t>BIA 433</t>
  </si>
  <si>
    <t>Frt76946</t>
  </si>
  <si>
    <t>471 SAFELA GROUP CL 31 64 100 P 1 LOC 23</t>
  </si>
  <si>
    <t>BIA 471</t>
  </si>
  <si>
    <t>Frt78188</t>
  </si>
  <si>
    <t>484 LEAN SOLUTIONS GROUP CL 28 CR 25-53 P 11 OFI 05</t>
  </si>
  <si>
    <t>BIA 484</t>
  </si>
  <si>
    <t>Frt76965</t>
  </si>
  <si>
    <t>475 LEAN SOLUTIONS GROUP CL 28 CR 25-53 P 14 OFI 09</t>
  </si>
  <si>
    <t>BIA 475</t>
  </si>
  <si>
    <t>Frt78200</t>
  </si>
  <si>
    <t>508 LEAN SOLUTIONS GROUP CL 28 CR 25-53 P 19 OFI 01</t>
  </si>
  <si>
    <t>BIA 508</t>
  </si>
  <si>
    <t>Frt83393</t>
  </si>
  <si>
    <t>517 DROGUERIAS Y FARMACIAS CRUZ VERDE SAS CR 2 7 126 P 1 LOC 1 BOCAGRANDE CARTAG</t>
  </si>
  <si>
    <t>BIA 517</t>
  </si>
  <si>
    <t>Frt50897</t>
  </si>
  <si>
    <t>05 SEVEN COMPANY SAS</t>
  </si>
  <si>
    <t>BIA 05</t>
  </si>
  <si>
    <t>Frt51639</t>
  </si>
  <si>
    <t>021 HOTEL ITACO</t>
  </si>
  <si>
    <t>BIA 21</t>
  </si>
  <si>
    <t>Frt41386</t>
  </si>
  <si>
    <t>025 BANCO DAVIVIENDA SA</t>
  </si>
  <si>
    <t>BIA 25</t>
  </si>
  <si>
    <t>Frt37173</t>
  </si>
  <si>
    <t>043 GASTRONOMIA ITALIANA EN COLOMBIA SAS</t>
  </si>
  <si>
    <t>BIA 43</t>
  </si>
  <si>
    <t>Frt57209</t>
  </si>
  <si>
    <t>062 REPOSTERIA ELY SAS CL 31 CR 58-118 P 1 LOC 67</t>
  </si>
  <si>
    <t>BIA 62</t>
  </si>
  <si>
    <t>Frt41388</t>
  </si>
  <si>
    <t>026 BANCO DAVIVIENDA SA</t>
  </si>
  <si>
    <t>BIA 26</t>
  </si>
  <si>
    <t>Frt73447</t>
  </si>
  <si>
    <t>387 DISTRIBUCIONES PHARMASER LIMITADA CL 21 46A-95 P 1 APTO 2</t>
  </si>
  <si>
    <t>BIA 387</t>
  </si>
  <si>
    <t>Frt51794</t>
  </si>
  <si>
    <t>015 WYNWOOD 1102 CTG</t>
  </si>
  <si>
    <t>BIA 15</t>
  </si>
  <si>
    <t>Frt42286</t>
  </si>
  <si>
    <t>029 BANCO DAVIVIENDA SA</t>
  </si>
  <si>
    <t>BIA 29</t>
  </si>
  <si>
    <t>Frt75771</t>
  </si>
  <si>
    <t>457 DISTRIBUCIONES PHARMASER LIMITADA TR 4 CL 5-47 LOC 01</t>
  </si>
  <si>
    <t>BIA 457</t>
  </si>
  <si>
    <t>Frt59324</t>
  </si>
  <si>
    <t>132 REPRESENTACIONES VILLAZON-GARCIA Y CIA. LTDA. DG 10 6N-15 LOC 115</t>
  </si>
  <si>
    <t>BIA 132</t>
  </si>
  <si>
    <t>Frt60190</t>
  </si>
  <si>
    <t>170 GR�FICAS DEL COMERCIO SAS CL 16A #6-60</t>
  </si>
  <si>
    <t>BIA 170</t>
  </si>
  <si>
    <t>Frt68301</t>
  </si>
  <si>
    <t>251 TELEF�NICACL 17 34-25 LOC 01</t>
  </si>
  <si>
    <t>BIA 251</t>
  </si>
  <si>
    <t>Frt68298</t>
  </si>
  <si>
    <t>255 TELEF�NICACR 13 1-760 P 1 LOC 3</t>
  </si>
  <si>
    <t>BIA 255</t>
  </si>
  <si>
    <t>Frt58819</t>
  </si>
  <si>
    <t>097 COPSERVIR LTDA CL 14 14A-24 LOC 1</t>
  </si>
  <si>
    <t>BIA 97</t>
  </si>
  <si>
    <t>Frt58810</t>
  </si>
  <si>
    <t>095 COPSERVIR LTDA CL 17 CR 16-9 LOC 8</t>
  </si>
  <si>
    <t>BIA 95</t>
  </si>
  <si>
    <t>Frt59425</t>
  </si>
  <si>
    <t>143 COPSERVIR LTDA CL 16 CR 16-4 P 1 LOC 1</t>
  </si>
  <si>
    <t>BIA 143</t>
  </si>
  <si>
    <t>Frt56905</t>
  </si>
  <si>
    <t>061 CLASSIC JEANS SHOPS S.A.S. CR 20 CL 21-59</t>
  </si>
  <si>
    <t>BIA 61</t>
  </si>
  <si>
    <t>Frt66999</t>
  </si>
  <si>
    <t>289 TELEF�NICACL 16 31-181</t>
  </si>
  <si>
    <t>BIA 289</t>
  </si>
  <si>
    <t>Frt67377</t>
  </si>
  <si>
    <t>298 TELEF�NICACL 7 CR 4-48</t>
  </si>
  <si>
    <t>BIA 298</t>
  </si>
  <si>
    <t>Frt75315</t>
  </si>
  <si>
    <t>445 DISTRIBUCIONES PHARMASER LIMITADA CR 9 CL 12-38</t>
  </si>
  <si>
    <t>BIA 445</t>
  </si>
  <si>
    <t>Frt56342</t>
  </si>
  <si>
    <t>051 GIGAZ SAS CR 16 CL 19 - 21</t>
  </si>
  <si>
    <t>BIA 51</t>
  </si>
  <si>
    <t>Frt26227</t>
  </si>
  <si>
    <t>039 INDUSTRIA COLOMBIANA DE CONFECCIONES SA</t>
  </si>
  <si>
    <t>BIA 39</t>
  </si>
  <si>
    <t>Frt64050</t>
  </si>
  <si>
    <t>233 RIVERA Y POTOSI MARKETS SAS CL 50 38- 9</t>
  </si>
  <si>
    <t>BIA 233</t>
  </si>
  <si>
    <t>Frt36871</t>
  </si>
  <si>
    <t>124 NCS MODA SAS</t>
  </si>
  <si>
    <t>BIA 124</t>
  </si>
  <si>
    <t>Frt58780</t>
  </si>
  <si>
    <t>089 COPSERVIR LTDA CR 14 41-24 LOC 1</t>
  </si>
  <si>
    <t>BIA 89</t>
  </si>
  <si>
    <t>Frt58726</t>
  </si>
  <si>
    <t>084 COPSERVIR LTDA CL VICENTE GARCIA 6-37 P 1 LOC 2</t>
  </si>
  <si>
    <t>BIA 84</t>
  </si>
  <si>
    <t>Frt58828</t>
  </si>
  <si>
    <t>101 COPSERVIR LTDA SECTOR RAMBLAS CENT-1 LOC 110 URB.BARCELONA DE INDIAS</t>
  </si>
  <si>
    <t>BIA 101</t>
  </si>
  <si>
    <t>Frt58931</t>
  </si>
  <si>
    <t>122 FRIO COSTA S. A. CR 9 26-20 BARRIO CHUCHURUBI MONTERIA</t>
  </si>
  <si>
    <t>BIA 122</t>
  </si>
  <si>
    <t>Frt58906</t>
  </si>
  <si>
    <t>120 PREMIUM CARE HOSPITALITY S.A.S. CR 7 5-16 P 22 APTO 22BD</t>
  </si>
  <si>
    <t>BIA 120</t>
  </si>
  <si>
    <t>Frt59344</t>
  </si>
  <si>
    <t>140 EMPRESA DE SERVICIO ESPECIAL DE TRANSPORTE MAMONAL S.A.S. CR 91 34A-36 OFI 1</t>
  </si>
  <si>
    <t>BIA 140</t>
  </si>
  <si>
    <t>Frt59452</t>
  </si>
  <si>
    <t>145 HM ENTERPRISES S.A.S. CL 30 17-140 P 3 LOC 1</t>
  </si>
  <si>
    <t>BIA 145</t>
  </si>
  <si>
    <t>Frt12066</t>
  </si>
  <si>
    <t>421 SALA DE BELLAZA Y SPA MICHELL</t>
  </si>
  <si>
    <t>BIA 421</t>
  </si>
  <si>
    <t>Frt60633</t>
  </si>
  <si>
    <t>195 REPOSTERIA ELY SAS TR 33A 19-52</t>
  </si>
  <si>
    <t>BIA 195</t>
  </si>
  <si>
    <t>Frt74089</t>
  </si>
  <si>
    <t>428 DISTRIBUCIONES PHARMASER LIMITADA CR 12 CL 13-81</t>
  </si>
  <si>
    <t>BIA 428</t>
  </si>
  <si>
    <t>Frt60206</t>
  </si>
  <si>
    <t>174 ALIANZA GYP SAS DG 31 54-325 P1 OC 1</t>
  </si>
  <si>
    <t>BIA 174</t>
  </si>
  <si>
    <t>Frt72404</t>
  </si>
  <si>
    <t>407 DISTRIBUCIONES PHARMASER LIMITADA CL 4 CR 8-56</t>
  </si>
  <si>
    <t>BIA 407</t>
  </si>
  <si>
    <t>HATILLO DE LOBA</t>
  </si>
  <si>
    <t>Frt75621</t>
  </si>
  <si>
    <t>452 DROMEDICAS DEL ORIENTE CL 6 CR 12 260 P 1 LOC 4 PUNTA PIEDRA</t>
  </si>
  <si>
    <t>BIA 452</t>
  </si>
  <si>
    <t>Frt72402</t>
  </si>
  <si>
    <t>406 DISTRIBUCIONES PHARMASER LIMITADA CL 9 CR 18B-25</t>
  </si>
  <si>
    <t>BIA 406</t>
  </si>
  <si>
    <t>Frt66051</t>
  </si>
  <si>
    <t>243 RENZO AFINIA CL 31 64-100 TORR 1 P1 LOC 57 A</t>
  </si>
  <si>
    <t>BIA 243</t>
  </si>
  <si>
    <t>Frt66702</t>
  </si>
  <si>
    <t>260 KETTY TINOCO CR 3 33-1 P 2 APTO 1 EL CENTRO</t>
  </si>
  <si>
    <t>BIA 260</t>
  </si>
  <si>
    <t>Frt68501</t>
  </si>
  <si>
    <t>311 HOLDING J C SAS CL SAN AGUSTIN 6-62</t>
  </si>
  <si>
    <t>BIA 311</t>
  </si>
  <si>
    <t>Frt66894</t>
  </si>
  <si>
    <t>272 ADRIANA SANTOS MORA CATERING  EVENTOS UPSELLING CR 23 CL 25-121 P 1 APTO</t>
  </si>
  <si>
    <t>BIA 272</t>
  </si>
  <si>
    <t>Frt69637</t>
  </si>
  <si>
    <t>304 TELEF�NICACL 32B 72-55 P 1 INT 2</t>
  </si>
  <si>
    <t>BIA 304</t>
  </si>
  <si>
    <t>Frt72560</t>
  </si>
  <si>
    <t>351 DISTRIBUCIONES PHARMASER LIMITADA CL 31C2 52-57 P 1 APTO 03</t>
  </si>
  <si>
    <t>BIA 351</t>
  </si>
  <si>
    <t>Frt72586</t>
  </si>
  <si>
    <t>372 SISTEMAS GLOBALES CTG SAS CL 30 CR 30 84 BDGA 1 EL PRADO</t>
  </si>
  <si>
    <t>BIA 372</t>
  </si>
  <si>
    <t>Frt68951</t>
  </si>
  <si>
    <t>378 TELEF�NICACL 31 81-116 INT 1</t>
  </si>
  <si>
    <t>BIA 378</t>
  </si>
  <si>
    <t>Frt68947</t>
  </si>
  <si>
    <t>375 TELEF�NICACR 3 7-16 P 16 LOC 1</t>
  </si>
  <si>
    <t>BIA 375</t>
  </si>
  <si>
    <t>Frt76724</t>
  </si>
  <si>
    <t>472 DISTRAVES SAS CEDI CARTAGENA - TR 48 19-40 BDGA 4</t>
  </si>
  <si>
    <t>BIA 472</t>
  </si>
  <si>
    <t>Frt78151</t>
  </si>
  <si>
    <t>511 LEAN SOLUTIONS GROUP CL 28 CR 25-53 P 20 OFI 01</t>
  </si>
  <si>
    <t>BIA 511</t>
  </si>
  <si>
    <t>Frt78198</t>
  </si>
  <si>
    <t>491 LEAN SOLUTIONS GROUP CL 28 CR 25-53 P 14 OFI 05</t>
  </si>
  <si>
    <t>BIA 491</t>
  </si>
  <si>
    <t>Frt78323</t>
  </si>
  <si>
    <t>497 LEAN SOLUTIONS GROUP CL 28 CR 27-39 OFI 2504</t>
  </si>
  <si>
    <t>BIA 497</t>
  </si>
  <si>
    <t>Frt78180</t>
  </si>
  <si>
    <t>482 LEAN SOLUTIONS GROUP CL 28 CR 27-39 OFI 2502</t>
  </si>
  <si>
    <t>BIA 482</t>
  </si>
  <si>
    <t>Frt82165</t>
  </si>
  <si>
    <t>515 G SPATH SASECTOR PARQUIAMERICA MZ A 1 LOC 2 MAMONAL CARTAGENA</t>
  </si>
  <si>
    <t>BIA 515</t>
  </si>
  <si>
    <t>Frt83978</t>
  </si>
  <si>
    <t>527 DROGUERIAS Y FARMACIAS CRUZ VERDE SAS CL 29D 22 150 P 1 LOC 5 PIE DE LA POPA</t>
  </si>
  <si>
    <t>BIA 527</t>
  </si>
  <si>
    <t>Frt85140</t>
  </si>
  <si>
    <t>533 CASA 1537 CTG CR 6 CL 34-57</t>
  </si>
  <si>
    <t>BIA 533</t>
  </si>
  <si>
    <t>Frt42287</t>
  </si>
  <si>
    <t>030 BANCO  DAVIVIENDA SA</t>
  </si>
  <si>
    <t>BIA 30</t>
  </si>
  <si>
    <t>Frt51791</t>
  </si>
  <si>
    <t>012 WYNWOOD 1302 CTG</t>
  </si>
  <si>
    <t>BIA 12</t>
  </si>
  <si>
    <t>Frt56096</t>
  </si>
  <si>
    <t>050 TOWN HOUSE CARTAGENA CARTAGENA1</t>
  </si>
  <si>
    <t>BIA 50</t>
  </si>
  <si>
    <t>Frt56871</t>
  </si>
  <si>
    <t>059 REPOSTERIA ELY SAS CL 7 CR 2-50 SEGE 0</t>
  </si>
  <si>
    <t>BIA 59</t>
  </si>
  <si>
    <t>Frt71520</t>
  </si>
  <si>
    <t>399 DISTRIBUCIONES PHARMASER LIMITADA CR 5 16-26 P 02 APTO</t>
  </si>
  <si>
    <t>BIA 399</t>
  </si>
  <si>
    <t>Frt58821</t>
  </si>
  <si>
    <t>099 COPSERVIR LTDA CL 16 CR 2-33</t>
  </si>
  <si>
    <t>BIA 99</t>
  </si>
  <si>
    <t>Frt57208</t>
  </si>
  <si>
    <t>067 CLASSIC JEANS SHOPS S.A.S.</t>
  </si>
  <si>
    <t>BIA 67</t>
  </si>
  <si>
    <t>Frt59477</t>
  </si>
  <si>
    <t>150 MINISO COLOMBIA S.A DG 10 6N-15 LOC 1027</t>
  </si>
  <si>
    <t>BIA 150</t>
  </si>
  <si>
    <t>Frt75649</t>
  </si>
  <si>
    <t>466 DISTRIBUCIONES PHARMASER LIMITADA CL 19 CR 18-50 LOC 01</t>
  </si>
  <si>
    <t>BIA 466</t>
  </si>
  <si>
    <t>Frt72720</t>
  </si>
  <si>
    <t>412 DISTRIBUCIONES PHARMASER LIMITADA CR 28 19-61 P 1 APTO 1</t>
  </si>
  <si>
    <t>BIA 412</t>
  </si>
  <si>
    <t>Frt71578</t>
  </si>
  <si>
    <t>363 ASOCIADOS GARCIA CASTRO CR 27 CL 15 11</t>
  </si>
  <si>
    <t>BIA 363</t>
  </si>
  <si>
    <t>Frt58865</t>
  </si>
  <si>
    <t>107 NCS S. A. S. DG 10 6N-15 LOC 1001</t>
  </si>
  <si>
    <t>BIA 107</t>
  </si>
  <si>
    <t>Frt71529</t>
  </si>
  <si>
    <t>400 DISTRIBUCIONES PHARMASER LIMITADA CL 24 CR 18-33</t>
  </si>
  <si>
    <t>BIA 400</t>
  </si>
  <si>
    <t>Frt54098</t>
  </si>
  <si>
    <t>044 ACONDESA MERCAPOLLO VDP</t>
  </si>
  <si>
    <t>BIA 44</t>
  </si>
  <si>
    <t>Frt66915</t>
  </si>
  <si>
    <t>276 TIENDAS D1 2 CL 49 CR 46-241 LOC 1</t>
  </si>
  <si>
    <t>BIA 276</t>
  </si>
  <si>
    <t>Frt67366</t>
  </si>
  <si>
    <t>295 KOAJ EXP AFINIA CL 9 15-19</t>
  </si>
  <si>
    <t>BIA 295</t>
  </si>
  <si>
    <t>Frt59466</t>
  </si>
  <si>
    <t>149 DE MODA SAS CR 2 34-61 LOC 102</t>
  </si>
  <si>
    <t>BIA 149</t>
  </si>
  <si>
    <t>Frt58900</t>
  </si>
  <si>
    <t>114 COPSERVIR LTDA CR 2 7-179 P 1 LOC 3</t>
  </si>
  <si>
    <t>BIA 114</t>
  </si>
  <si>
    <t>Frt59319</t>
  </si>
  <si>
    <t>131 TEXVIGAR SAS CL 29D 22-150 P 1 LOC 50</t>
  </si>
  <si>
    <t>BIA 131</t>
  </si>
  <si>
    <t>Frt78311</t>
  </si>
  <si>
    <t>495 SAFELA GROUP CL 44 10 91 LOC 51 BARRIO ALAMEDAS DEL SINU</t>
  </si>
  <si>
    <t>BIA 495</t>
  </si>
  <si>
    <t>Frt66128</t>
  </si>
  <si>
    <t>244 HOTEL VAIA CL 6 NO 3- 50</t>
  </si>
  <si>
    <t>BIA 244</t>
  </si>
  <si>
    <t>Frt58847</t>
  </si>
  <si>
    <t>105 COPSERVIR LTDA CL 31 82-8 P 1 LOC 1</t>
  </si>
  <si>
    <t>BIA 105</t>
  </si>
  <si>
    <t>Frt58969</t>
  </si>
  <si>
    <t>125 SUBS CORP S.A.S. CL DEL COLISEO 5-13</t>
  </si>
  <si>
    <t>BIA 125</t>
  </si>
  <si>
    <t>Frt60312</t>
  </si>
  <si>
    <t>181 INVERSIONES GYP SAS CR 2 9-124</t>
  </si>
  <si>
    <t>BIA 181</t>
  </si>
  <si>
    <t>Frt60417</t>
  </si>
  <si>
    <t>188 ALIANZA GYP SAS  DG 31 71-7 P1 APT 1</t>
  </si>
  <si>
    <t>BIA 188</t>
  </si>
  <si>
    <t>Frt71456</t>
  </si>
  <si>
    <t>359 DISTRIBUCIONES PHARMASER LIMITADA CL 12 11-21</t>
  </si>
  <si>
    <t>BIA 359</t>
  </si>
  <si>
    <t>TUCHIN</t>
  </si>
  <si>
    <t>Frt63810</t>
  </si>
  <si>
    <t>222 MR BONO CR 71 CL 31-133 P 1 LOC 1</t>
  </si>
  <si>
    <t>BIA 222</t>
  </si>
  <si>
    <t>Frt68398</t>
  </si>
  <si>
    <t>254 TELEF�NICACL 5 CR 3-31 INT 1</t>
  </si>
  <si>
    <t>BIA 254</t>
  </si>
  <si>
    <t>Frt70690</t>
  </si>
  <si>
    <t>306 HOTEL CASA ISABEL CTG AV DEL PEDREGAL 29-153</t>
  </si>
  <si>
    <t>BIA 306</t>
  </si>
  <si>
    <t>Frt65999</t>
  </si>
  <si>
    <t>241 HOTEL VARANASI CALLE 70 5 69</t>
  </si>
  <si>
    <t>BIA 241</t>
  </si>
  <si>
    <t>Frt71618</t>
  </si>
  <si>
    <t>366 HOTEL CASA LA MANTILLA CL LA MANTILLA 3-44 P 2</t>
  </si>
  <si>
    <t>BIA 366</t>
  </si>
  <si>
    <t>Frt75758</t>
  </si>
  <si>
    <t>454 SISTEMAS GLOBALES CTG SAS TR 54 30B 105 P 1 LOC EL RUBI</t>
  </si>
  <si>
    <t>BIA 454</t>
  </si>
  <si>
    <t>Frt78381</t>
  </si>
  <si>
    <t>506 3 ALSEA ESTRELLA ANDINA STARBUCKS SBX PLAZA BOLIVAR - CL VELEZ DANIES 33-2EL</t>
  </si>
  <si>
    <t>BIA 506</t>
  </si>
  <si>
    <t>Frt78197</t>
  </si>
  <si>
    <t>490 LEAN SOLUTIONS GROUP CL 28 CR 27-39 OFI 2404</t>
  </si>
  <si>
    <t>BIA 490</t>
  </si>
  <si>
    <t>Frt83977</t>
  </si>
  <si>
    <t>528 DROGUERIAS Y FARMACIAS CRUZ VERDE SAS CL 31 54 215 BLOQ 2 P1 LOC 57 URBSANTA</t>
  </si>
  <si>
    <t>BIA 528</t>
  </si>
  <si>
    <t>Frt41385</t>
  </si>
  <si>
    <t>036 BANCO DAVIVIENDA SA</t>
  </si>
  <si>
    <t>BIA 36</t>
  </si>
  <si>
    <t>Frt43155</t>
  </si>
  <si>
    <t>031 BANCO DAVIVIENDA SA</t>
  </si>
  <si>
    <t>BIA 31</t>
  </si>
  <si>
    <t>Frt58724</t>
  </si>
  <si>
    <t>083 COPSERVIR LTDA CL 30 66-46 P 1 LOC 01</t>
  </si>
  <si>
    <t>BIA 83</t>
  </si>
  <si>
    <t>Frt74770</t>
  </si>
  <si>
    <t>435 DROMEDICAS DEL ORIENTE TR 5 18 32 LOC 2 BARRIO LA GRANJA</t>
  </si>
  <si>
    <t>BIA 435</t>
  </si>
  <si>
    <t>Frt82166</t>
  </si>
  <si>
    <t>519 VP GLOBAL CR 15 16A 7 BARRIO URBINA</t>
  </si>
  <si>
    <t>BIA 519</t>
  </si>
  <si>
    <t>Frt60177</t>
  </si>
  <si>
    <t>169 JUANAUTOS EL CERRO SAS CL 30 18A-104</t>
  </si>
  <si>
    <t>BIA 169</t>
  </si>
  <si>
    <t>Frt60193</t>
  </si>
  <si>
    <t>171 DEL SOL S.A.S CL 31 3-19 P 1 LOC 2</t>
  </si>
  <si>
    <t>BIA 171</t>
  </si>
  <si>
    <t>Frt63829</t>
  </si>
  <si>
    <t>232 GIMNASIO ALTAIR DE CARTAGENA CL BAYUNCA COLEG-2</t>
  </si>
  <si>
    <t>BIA 232</t>
  </si>
  <si>
    <t>Frt45621</t>
  </si>
  <si>
    <t>317 PAISAR SAS - SAN LAZARO ART HOTEL</t>
  </si>
  <si>
    <t>BIA 317</t>
  </si>
  <si>
    <t>Frt68443</t>
  </si>
  <si>
    <t>310 HOTEL CASA LA MANTILLA CL LA MANTILLA 3-44</t>
  </si>
  <si>
    <t>BIA 310</t>
  </si>
  <si>
    <t>Frt85059</t>
  </si>
  <si>
    <t>531 CUCINARE SAS SALVATORS 2 CR 3 7 154 LOC 5 BOCAGRANDE</t>
  </si>
  <si>
    <t>BIA 531</t>
  </si>
  <si>
    <t>Frt59355</t>
  </si>
  <si>
    <t>134 TEXVIGAR SAS CL 31 6A-133 LOC 75</t>
  </si>
  <si>
    <t>BIA 134</t>
  </si>
  <si>
    <t>Frt66758</t>
  </si>
  <si>
    <t>263 KOAJ EXP AFINIA CR 3 CL 6-30</t>
  </si>
  <si>
    <t>BIA 263</t>
  </si>
  <si>
    <t>Frt66917</t>
  </si>
  <si>
    <t>277 KOAJ EXP AFINIA CL 7A CR 6-67 APTO 01</t>
  </si>
  <si>
    <t>BIA 277</t>
  </si>
  <si>
    <t>Frt35190</t>
  </si>
  <si>
    <t>060 BESPOKE COLOMBIA S.A.S.</t>
  </si>
  <si>
    <t>BIA 60</t>
  </si>
  <si>
    <t>REGULADO</t>
  </si>
  <si>
    <t>TIPO MERCADO</t>
  </si>
  <si>
    <t>NIC</t>
  </si>
  <si>
    <t>LIQ_NUM_FACTURA_OTROS</t>
  </si>
  <si>
    <t>LIQUIDACION</t>
  </si>
  <si>
    <t>NIT</t>
  </si>
  <si>
    <t>CODIGO</t>
  </si>
  <si>
    <t>SIC</t>
  </si>
  <si>
    <t>DES_CLIENTE</t>
  </si>
  <si>
    <t>DES_CONCEPTOS</t>
  </si>
  <si>
    <t>PUNTA</t>
  </si>
  <si>
    <t>TIPO_SERVICIO</t>
  </si>
  <si>
    <t>VALOR</t>
  </si>
  <si>
    <t>CONSUMO</t>
  </si>
  <si>
    <t>LIQ_FECHA</t>
  </si>
  <si>
    <t>LIQ_FECHA_INICIO</t>
  </si>
  <si>
    <t>LIQ_FECHA_FIN</t>
  </si>
  <si>
    <t>LIQ_FECHA_VENCIMIENTO</t>
  </si>
  <si>
    <t>LIQ_FECHA_VEN_OTROS</t>
  </si>
  <si>
    <t>NIVEL TENSION</t>
  </si>
  <si>
    <t>COMERCIALIZADOR</t>
  </si>
  <si>
    <t>CIUDAD</t>
  </si>
  <si>
    <t>EJECUTIVO</t>
  </si>
  <si>
    <t>AGPE</t>
  </si>
  <si>
    <t>ENERGIA REACTIVA PEAJES</t>
  </si>
  <si>
    <t>PEN. REACTIVA IND ($) - M A CARGAR</t>
  </si>
  <si>
    <t>PEN. REACTIVA IND ($) - M APLICADA FINAL</t>
  </si>
  <si>
    <t>M</t>
  </si>
  <si>
    <t>TARIFA ACTIVA</t>
  </si>
  <si>
    <t>TARIFA REACTIVA</t>
  </si>
  <si>
    <t>PROPIEDAD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</si>
</sst>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7" formatCode="_(&quot;$&quot;* #,##0.000_);_(&quot;$&quot;* \(#,##0.000\);_(&quot;$&quot;* &quot;-&quot;??_);_(@_)"/>
    <numFmt numFmtId="168" formatCode="_(&quot;$&quot;* #,##0.0000_);_(&quot;$&quot;* \(#,##0.00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3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5" fontId="3" fillId="4" borderId="1" xfId="1" applyNumberFormat="1" applyFont="1" applyFill="1" applyBorder="1" applyAlignment="1">
      <alignment horizontal="left" vertical="center" wrapText="1"/>
    </xf>
    <xf numFmtId="165" fontId="2" fillId="2" borderId="1" xfId="1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1" applyNumberFormat="1" applyFont="1"/>
    <xf numFmtId="167" fontId="2" fillId="2" borderId="1" xfId="1" applyNumberFormat="1" applyFont="1" applyFill="1" applyBorder="1" applyAlignment="1">
      <alignment horizontal="left" vertical="center" wrapText="1"/>
    </xf>
    <xf numFmtId="167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RO RAFAEL SERRANO ROMERO" id="{562FE601-06A8-4970-BEF0-2523A3CBA74D}" userId="S::EMIRO.SERRANO@afinia.com.co::730c01bf-9bb1-486b-8dfb-309e5548aae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3-03-09T20:33:23.86" personId="{562FE601-06A8-4970-BEF0-2523A3CBA74D}" id="{50181876-5D34-4411-97C0-06F67166DC36}">
    <text>Penalización a cargar para dar el valor total de la M aplicada</text>
  </threadedComment>
  <threadedComment ref="M1" dT="2023-03-09T20:32:36.07" personId="{562FE601-06A8-4970-BEF0-2523A3CBA74D}" id="{54D3229F-8091-4266-8F84-701D0C8CAF92}">
    <text>Penalización con la M aplicada total valor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26AE-8547-4E36-B93A-68B6B168CCB1}">
  <dimension ref="A1:Q516"/>
  <sheetViews>
    <sheetView tabSelected="1" topLeftCell="C1" zoomScale="80" zoomScaleNormal="80" workbookViewId="0">
      <selection activeCell="Q7" sqref="Q7"/>
    </sheetView>
  </sheetViews>
  <sheetFormatPr baseColWidth="10" defaultRowHeight="14.4" x14ac:dyDescent="0.3"/>
  <cols>
    <col min="3" max="3" width="67.109375" customWidth="1"/>
    <col min="4" max="4" width="11.44140625" style="8"/>
    <col min="6" max="6" width="11.5546875" style="2" customWidth="1"/>
    <col min="7" max="7" width="17.109375" style="2" customWidth="1"/>
    <col min="8" max="9" width="16" style="2" customWidth="1"/>
    <col min="10" max="10" width="14.6640625" style="2" customWidth="1"/>
    <col min="12" max="13" width="14.44140625" bestFit="1" customWidth="1"/>
    <col min="14" max="14" width="14.44140625" style="18" customWidth="1"/>
    <col min="15" max="15" width="11.44140625" style="8"/>
    <col min="16" max="16" width="8.5546875" style="8" bestFit="1" customWidth="1"/>
  </cols>
  <sheetData>
    <row r="1" spans="1:17" s="9" customFormat="1" ht="55.2" x14ac:dyDescent="0.3">
      <c r="A1" s="10" t="s">
        <v>1634</v>
      </c>
      <c r="B1" s="10" t="s">
        <v>1629</v>
      </c>
      <c r="C1" s="10" t="s">
        <v>1635</v>
      </c>
      <c r="D1" s="14" t="s">
        <v>1646</v>
      </c>
      <c r="E1" s="10" t="s">
        <v>1640</v>
      </c>
      <c r="F1" s="11" t="s">
        <v>18</v>
      </c>
      <c r="G1" s="11" t="s">
        <v>12</v>
      </c>
      <c r="H1" s="11" t="s">
        <v>67</v>
      </c>
      <c r="I1" s="11" t="s">
        <v>1655</v>
      </c>
      <c r="J1" s="11" t="s">
        <v>19</v>
      </c>
      <c r="K1" s="10" t="s">
        <v>1651</v>
      </c>
      <c r="L1" s="12" t="s">
        <v>1652</v>
      </c>
      <c r="M1" s="12" t="s">
        <v>1653</v>
      </c>
      <c r="N1" s="17" t="s">
        <v>1656</v>
      </c>
      <c r="O1" s="13" t="s">
        <v>1654</v>
      </c>
      <c r="P1" s="10" t="s">
        <v>1650</v>
      </c>
      <c r="Q1" s="9" t="s">
        <v>1657</v>
      </c>
    </row>
    <row r="2" spans="1:17" x14ac:dyDescent="0.3">
      <c r="A2" t="s">
        <v>454</v>
      </c>
      <c r="B2">
        <v>1415542</v>
      </c>
      <c r="C2" t="s">
        <v>455</v>
      </c>
      <c r="D2" s="8">
        <v>1</v>
      </c>
      <c r="E2" s="3">
        <v>29416.904999999999</v>
      </c>
      <c r="F2" s="2">
        <v>-3.05</v>
      </c>
      <c r="H2" s="2">
        <v>3176900.72</v>
      </c>
      <c r="I2" s="16">
        <f>(G2+H2)/E2</f>
        <v>107.99575006276154</v>
      </c>
      <c r="J2" s="2">
        <v>7792.33</v>
      </c>
      <c r="K2">
        <v>47.76</v>
      </c>
      <c r="L2" s="15">
        <f t="shared" ref="L2:L65" si="0">(J2*O2)-J2</f>
        <v>0</v>
      </c>
      <c r="M2" s="15">
        <f t="shared" ref="M2:M65" si="1">(J2*O2)</f>
        <v>7792.33</v>
      </c>
      <c r="N2" s="18">
        <f>M2/K2/O2</f>
        <v>163.15598827470689</v>
      </c>
      <c r="O2" s="8">
        <v>1</v>
      </c>
      <c r="Q2">
        <f>_xlfn.XLOOKUP(A2,'CONSOLIDADO PEAJES'!H:H,'CONSOLIDADO PEAJES'!AC:AC)</f>
        <v>1</v>
      </c>
    </row>
    <row r="3" spans="1:17" x14ac:dyDescent="0.3">
      <c r="A3" t="s">
        <v>697</v>
      </c>
      <c r="B3">
        <v>1307882</v>
      </c>
      <c r="C3" t="s">
        <v>698</v>
      </c>
      <c r="D3" s="8">
        <v>1</v>
      </c>
      <c r="E3" s="3">
        <v>2950.422</v>
      </c>
      <c r="F3" s="2">
        <v>4.88</v>
      </c>
      <c r="H3" s="2">
        <v>420232.91</v>
      </c>
      <c r="I3" s="16">
        <f t="shared" ref="I3:I66" si="2">(G3+H3)/E3</f>
        <v>142.43145895739659</v>
      </c>
      <c r="J3" s="2">
        <v>672.21</v>
      </c>
      <c r="K3">
        <v>3.4020000000000001</v>
      </c>
      <c r="L3" s="15">
        <f t="shared" si="0"/>
        <v>0</v>
      </c>
      <c r="M3" s="15">
        <f t="shared" si="1"/>
        <v>672.21</v>
      </c>
      <c r="N3" s="18">
        <f t="shared" ref="N3:N66" si="3">M3/K3/O3</f>
        <v>197.59259259259261</v>
      </c>
      <c r="O3" s="8">
        <v>1</v>
      </c>
      <c r="Q3">
        <f>_xlfn.XLOOKUP(A3,'CONSOLIDADO PEAJES'!H:H,'CONSOLIDADO PEAJES'!AC:AC)</f>
        <v>0</v>
      </c>
    </row>
    <row r="4" spans="1:17" x14ac:dyDescent="0.3">
      <c r="A4" t="s">
        <v>982</v>
      </c>
      <c r="B4">
        <v>1288986</v>
      </c>
      <c r="C4" t="s">
        <v>983</v>
      </c>
      <c r="D4" s="8">
        <v>1</v>
      </c>
      <c r="E4" s="3">
        <v>4836.7560000000003</v>
      </c>
      <c r="F4" s="2">
        <v>0.91</v>
      </c>
      <c r="H4" s="2">
        <v>522349.09</v>
      </c>
      <c r="I4" s="16">
        <f t="shared" si="2"/>
        <v>107.99574963053749</v>
      </c>
      <c r="L4" s="15">
        <f t="shared" si="0"/>
        <v>0</v>
      </c>
      <c r="M4" s="15">
        <f t="shared" si="1"/>
        <v>0</v>
      </c>
      <c r="N4" s="18">
        <v>163.15598827470689</v>
      </c>
      <c r="O4" s="8">
        <v>1</v>
      </c>
      <c r="Q4">
        <f>_xlfn.XLOOKUP(A4,'CONSOLIDADO PEAJES'!H:H,'CONSOLIDADO PEAJES'!AC:AC)</f>
        <v>1</v>
      </c>
    </row>
    <row r="5" spans="1:17" x14ac:dyDescent="0.3">
      <c r="A5" t="s">
        <v>700</v>
      </c>
      <c r="B5">
        <v>1288751</v>
      </c>
      <c r="C5" t="s">
        <v>701</v>
      </c>
      <c r="D5" s="8">
        <v>1</v>
      </c>
      <c r="E5" s="3">
        <v>3269.3409999999999</v>
      </c>
      <c r="F5" s="2">
        <v>0.12</v>
      </c>
      <c r="H5" s="2">
        <v>353074.93</v>
      </c>
      <c r="I5" s="16">
        <f t="shared" si="2"/>
        <v>107.99574899039287</v>
      </c>
      <c r="J5" s="2">
        <v>164.95</v>
      </c>
      <c r="K5">
        <v>1.0109999999999999</v>
      </c>
      <c r="L5" s="15">
        <f t="shared" si="0"/>
        <v>0</v>
      </c>
      <c r="M5" s="15">
        <f t="shared" si="1"/>
        <v>164.95</v>
      </c>
      <c r="N5" s="18">
        <v>163.15598827470689</v>
      </c>
      <c r="O5" s="8">
        <v>1</v>
      </c>
      <c r="Q5">
        <f>_xlfn.XLOOKUP(A5,'CONSOLIDADO PEAJES'!H:H,'CONSOLIDADO PEAJES'!AC:AC)</f>
        <v>1</v>
      </c>
    </row>
    <row r="6" spans="1:17" x14ac:dyDescent="0.3">
      <c r="A6" t="s">
        <v>1373</v>
      </c>
      <c r="B6">
        <v>1307886</v>
      </c>
      <c r="C6" t="s">
        <v>1374</v>
      </c>
      <c r="D6" s="8">
        <v>1</v>
      </c>
      <c r="E6" s="3">
        <v>2677.2930000000001</v>
      </c>
      <c r="F6" s="2">
        <v>-3.64</v>
      </c>
      <c r="H6" s="2">
        <v>264059.13</v>
      </c>
      <c r="I6" s="16">
        <f t="shared" si="2"/>
        <v>98.629148920196627</v>
      </c>
      <c r="J6" s="2">
        <v>14054.51</v>
      </c>
      <c r="K6">
        <v>91.388000000000005</v>
      </c>
      <c r="L6" s="15">
        <f t="shared" si="0"/>
        <v>42163.53</v>
      </c>
      <c r="M6" s="15">
        <f t="shared" si="1"/>
        <v>56218.04</v>
      </c>
      <c r="N6" s="18">
        <f t="shared" si="3"/>
        <v>153.78944719219152</v>
      </c>
      <c r="O6" s="8">
        <v>4</v>
      </c>
      <c r="Q6">
        <v>1</v>
      </c>
    </row>
    <row r="7" spans="1:17" x14ac:dyDescent="0.3">
      <c r="A7" t="s">
        <v>421</v>
      </c>
      <c r="B7">
        <v>1412055</v>
      </c>
      <c r="C7" t="s">
        <v>422</v>
      </c>
      <c r="D7" s="8">
        <v>1</v>
      </c>
      <c r="E7" s="3">
        <v>20551.080000000002</v>
      </c>
      <c r="F7" s="2">
        <v>-1.07</v>
      </c>
      <c r="H7" s="2">
        <v>2219429.2999999998</v>
      </c>
      <c r="I7" s="16">
        <f t="shared" si="2"/>
        <v>107.99575010169779</v>
      </c>
      <c r="J7" s="2">
        <v>56601.77</v>
      </c>
      <c r="K7">
        <v>346.91800000000001</v>
      </c>
      <c r="L7" s="15">
        <f t="shared" si="0"/>
        <v>0</v>
      </c>
      <c r="M7" s="15">
        <f t="shared" si="1"/>
        <v>56601.77</v>
      </c>
      <c r="N7" s="18">
        <v>163.15598827470689</v>
      </c>
      <c r="O7" s="8">
        <v>1</v>
      </c>
      <c r="Q7">
        <f>_xlfn.XLOOKUP(A7,'CONSOLIDADO PEAJES'!H:H,'CONSOLIDADO PEAJES'!AC:AC)</f>
        <v>1</v>
      </c>
    </row>
    <row r="8" spans="1:17" x14ac:dyDescent="0.3">
      <c r="A8" t="s">
        <v>919</v>
      </c>
      <c r="B8">
        <v>1412141</v>
      </c>
      <c r="C8" t="s">
        <v>920</v>
      </c>
      <c r="D8" s="8">
        <v>1</v>
      </c>
      <c r="E8" s="3">
        <v>31177.300999999999</v>
      </c>
      <c r="F8" s="2">
        <v>4.7300000000000004</v>
      </c>
      <c r="H8" s="2">
        <v>4440628.5</v>
      </c>
      <c r="I8" s="16">
        <f t="shared" si="2"/>
        <v>142.43145999071569</v>
      </c>
      <c r="J8" s="2">
        <v>51626.77</v>
      </c>
      <c r="K8">
        <v>261.27999999999997</v>
      </c>
      <c r="L8" s="15">
        <f t="shared" si="0"/>
        <v>0</v>
      </c>
      <c r="M8" s="15">
        <f t="shared" si="1"/>
        <v>51626.77</v>
      </c>
      <c r="N8" s="18">
        <f t="shared" si="3"/>
        <v>197.59174066135947</v>
      </c>
      <c r="O8" s="8">
        <v>1</v>
      </c>
      <c r="Q8">
        <f>_xlfn.XLOOKUP(A8,'CONSOLIDADO PEAJES'!H:H,'CONSOLIDADO PEAJES'!AC:AC)</f>
        <v>0</v>
      </c>
    </row>
    <row r="9" spans="1:17" x14ac:dyDescent="0.3">
      <c r="A9" t="s">
        <v>886</v>
      </c>
      <c r="B9">
        <v>1386094</v>
      </c>
      <c r="C9" t="s">
        <v>887</v>
      </c>
      <c r="D9" s="8">
        <v>1</v>
      </c>
      <c r="E9" s="3">
        <v>6158.3019999999997</v>
      </c>
      <c r="F9" s="2">
        <v>-4.32</v>
      </c>
      <c r="H9" s="2">
        <v>877135.94</v>
      </c>
      <c r="I9" s="16">
        <f t="shared" si="2"/>
        <v>142.43145919118615</v>
      </c>
      <c r="J9" s="2">
        <v>5088.38</v>
      </c>
      <c r="K9">
        <v>25.751999999999999</v>
      </c>
      <c r="L9" s="15">
        <f t="shared" si="0"/>
        <v>0</v>
      </c>
      <c r="M9" s="15">
        <f t="shared" si="1"/>
        <v>5088.38</v>
      </c>
      <c r="N9" s="18">
        <f t="shared" si="3"/>
        <v>197.59164336750544</v>
      </c>
      <c r="O9" s="8">
        <v>1</v>
      </c>
      <c r="Q9">
        <f>_xlfn.XLOOKUP(A9,'CONSOLIDADO PEAJES'!H:H,'CONSOLIDADO PEAJES'!AC:AC)</f>
        <v>0</v>
      </c>
    </row>
    <row r="10" spans="1:17" x14ac:dyDescent="0.3">
      <c r="A10" t="s">
        <v>1624</v>
      </c>
      <c r="B10">
        <v>1340629</v>
      </c>
      <c r="C10" t="s">
        <v>1625</v>
      </c>
      <c r="D10" s="8">
        <v>1</v>
      </c>
      <c r="E10" s="3">
        <v>6890.45</v>
      </c>
      <c r="F10" s="2">
        <v>3.15</v>
      </c>
      <c r="H10" s="2">
        <v>981416.85</v>
      </c>
      <c r="I10" s="16">
        <f t="shared" si="2"/>
        <v>142.43145948377827</v>
      </c>
      <c r="L10" s="15">
        <f t="shared" si="0"/>
        <v>0</v>
      </c>
      <c r="M10" s="15">
        <f t="shared" si="1"/>
        <v>0</v>
      </c>
      <c r="N10" s="18">
        <v>197.59164336750544</v>
      </c>
      <c r="O10" s="8">
        <v>1</v>
      </c>
      <c r="Q10">
        <f>_xlfn.XLOOKUP(A10,'CONSOLIDADO PEAJES'!H:H,'CONSOLIDADO PEAJES'!AC:AC)</f>
        <v>0</v>
      </c>
    </row>
    <row r="11" spans="1:17" x14ac:dyDescent="0.3">
      <c r="A11" t="s">
        <v>268</v>
      </c>
      <c r="B11">
        <v>1415365</v>
      </c>
      <c r="C11" t="s">
        <v>269</v>
      </c>
      <c r="D11" s="8">
        <v>1</v>
      </c>
      <c r="E11" s="3">
        <v>4048.9340000000002</v>
      </c>
      <c r="F11" s="2">
        <v>4.47</v>
      </c>
      <c r="H11" s="2">
        <v>437267.66</v>
      </c>
      <c r="I11" s="16">
        <f t="shared" si="2"/>
        <v>107.99574900455279</v>
      </c>
      <c r="J11" s="2">
        <v>29757.87</v>
      </c>
      <c r="K11">
        <v>182.38900000000001</v>
      </c>
      <c r="L11" s="15">
        <f t="shared" si="0"/>
        <v>0</v>
      </c>
      <c r="M11" s="15">
        <f t="shared" si="1"/>
        <v>29757.87</v>
      </c>
      <c r="N11" s="18">
        <v>163.15598827470689</v>
      </c>
      <c r="O11" s="8">
        <v>1</v>
      </c>
      <c r="Q11">
        <f>_xlfn.XLOOKUP(A11,'CONSOLIDADO PEAJES'!H:H,'CONSOLIDADO PEAJES'!AC:AC)</f>
        <v>1</v>
      </c>
    </row>
    <row r="12" spans="1:17" x14ac:dyDescent="0.3">
      <c r="A12" t="s">
        <v>1069</v>
      </c>
      <c r="B12">
        <v>1380304</v>
      </c>
      <c r="C12" t="s">
        <v>1070</v>
      </c>
      <c r="D12" s="8">
        <v>1</v>
      </c>
      <c r="E12" s="3">
        <v>5676.7269999999999</v>
      </c>
      <c r="F12" s="2">
        <v>-2.39</v>
      </c>
      <c r="H12" s="2">
        <v>613062.39</v>
      </c>
      <c r="I12" s="16">
        <f t="shared" si="2"/>
        <v>107.99575001581017</v>
      </c>
      <c r="L12" s="15">
        <f t="shared" si="0"/>
        <v>0</v>
      </c>
      <c r="M12" s="15">
        <f t="shared" si="1"/>
        <v>0</v>
      </c>
      <c r="N12" s="18">
        <v>163.15598827470689</v>
      </c>
      <c r="O12" s="8">
        <v>1</v>
      </c>
      <c r="Q12">
        <f>_xlfn.XLOOKUP(A12,'CONSOLIDADO PEAJES'!H:H,'CONSOLIDADO PEAJES'!AC:AC)</f>
        <v>1</v>
      </c>
    </row>
    <row r="13" spans="1:17" x14ac:dyDescent="0.3">
      <c r="A13" t="s">
        <v>1379</v>
      </c>
      <c r="B13">
        <v>1356065</v>
      </c>
      <c r="C13" t="s">
        <v>1380</v>
      </c>
      <c r="D13" s="8">
        <v>1</v>
      </c>
      <c r="E13" s="3">
        <v>5150.7979999999998</v>
      </c>
      <c r="F13" s="2">
        <v>4.32</v>
      </c>
      <c r="H13" s="2">
        <v>733635.68</v>
      </c>
      <c r="I13" s="16">
        <f t="shared" si="2"/>
        <v>142.43146013491503</v>
      </c>
      <c r="L13" s="15">
        <f t="shared" si="0"/>
        <v>0</v>
      </c>
      <c r="M13" s="15">
        <f t="shared" si="1"/>
        <v>0</v>
      </c>
      <c r="N13" s="18">
        <v>197.59164336750544</v>
      </c>
      <c r="O13" s="8">
        <v>1</v>
      </c>
      <c r="Q13">
        <f>_xlfn.XLOOKUP(A13,'CONSOLIDADO PEAJES'!H:H,'CONSOLIDADO PEAJES'!AC:AC)</f>
        <v>0</v>
      </c>
    </row>
    <row r="14" spans="1:17" x14ac:dyDescent="0.3">
      <c r="A14" t="s">
        <v>1316</v>
      </c>
      <c r="B14">
        <v>1317345</v>
      </c>
      <c r="C14" t="s">
        <v>1317</v>
      </c>
      <c r="D14" s="8">
        <v>1</v>
      </c>
      <c r="E14" s="3">
        <v>17674.865000000002</v>
      </c>
      <c r="F14" s="2">
        <v>-0.56999999999999995</v>
      </c>
      <c r="H14" s="2">
        <v>1908810.3</v>
      </c>
      <c r="I14" s="16">
        <f t="shared" si="2"/>
        <v>107.99574989681675</v>
      </c>
      <c r="J14" s="2">
        <v>150.27000000000001</v>
      </c>
      <c r="K14">
        <v>0.92100000000000004</v>
      </c>
      <c r="L14" s="15">
        <f t="shared" si="0"/>
        <v>0</v>
      </c>
      <c r="M14" s="15">
        <f t="shared" si="1"/>
        <v>150.27000000000001</v>
      </c>
      <c r="N14" s="18">
        <v>163.15598827470689</v>
      </c>
      <c r="O14" s="8">
        <v>1</v>
      </c>
      <c r="Q14">
        <f>_xlfn.XLOOKUP(A14,'CONSOLIDADO PEAJES'!H:H,'CONSOLIDADO PEAJES'!AC:AC)</f>
        <v>1</v>
      </c>
    </row>
    <row r="15" spans="1:17" x14ac:dyDescent="0.3">
      <c r="A15" t="s">
        <v>659</v>
      </c>
      <c r="B15">
        <v>1303762</v>
      </c>
      <c r="C15" t="s">
        <v>660</v>
      </c>
      <c r="D15" s="8">
        <v>1</v>
      </c>
      <c r="E15" s="3">
        <v>3951.9209999999998</v>
      </c>
      <c r="F15" s="2">
        <v>-4.09</v>
      </c>
      <c r="H15" s="2">
        <v>426790.67</v>
      </c>
      <c r="I15" s="16">
        <f t="shared" si="2"/>
        <v>107.99574940895833</v>
      </c>
      <c r="J15" s="2">
        <v>17083.419999999998</v>
      </c>
      <c r="K15">
        <v>104.706</v>
      </c>
      <c r="L15" s="15">
        <f t="shared" si="0"/>
        <v>0</v>
      </c>
      <c r="M15" s="15">
        <f t="shared" si="1"/>
        <v>17083.419999999998</v>
      </c>
      <c r="N15" s="18">
        <v>163.15598827470689</v>
      </c>
      <c r="O15" s="8">
        <v>1</v>
      </c>
      <c r="Q15">
        <f>_xlfn.XLOOKUP(A15,'CONSOLIDADO PEAJES'!H:H,'CONSOLIDADO PEAJES'!AC:AC)</f>
        <v>1</v>
      </c>
    </row>
    <row r="16" spans="1:17" x14ac:dyDescent="0.3">
      <c r="A16" t="s">
        <v>556</v>
      </c>
      <c r="B16">
        <v>1303703</v>
      </c>
      <c r="C16" t="s">
        <v>557</v>
      </c>
      <c r="D16" s="8">
        <v>1</v>
      </c>
      <c r="E16" s="3">
        <v>3613.953</v>
      </c>
      <c r="F16" s="2">
        <v>3.66</v>
      </c>
      <c r="H16" s="2">
        <v>390291.56</v>
      </c>
      <c r="I16" s="16">
        <f t="shared" si="2"/>
        <v>107.9957486995542</v>
      </c>
      <c r="J16" s="2">
        <v>8654.7800000000007</v>
      </c>
      <c r="K16">
        <v>53.045999999999999</v>
      </c>
      <c r="L16" s="15">
        <f t="shared" si="0"/>
        <v>0</v>
      </c>
      <c r="M16" s="15">
        <f t="shared" si="1"/>
        <v>8654.7800000000007</v>
      </c>
      <c r="N16" s="18">
        <v>163.15598827470689</v>
      </c>
      <c r="O16" s="8">
        <v>1</v>
      </c>
      <c r="Q16">
        <f>_xlfn.XLOOKUP(A16,'CONSOLIDADO PEAJES'!H:H,'CONSOLIDADO PEAJES'!AC:AC)</f>
        <v>1</v>
      </c>
    </row>
    <row r="17" spans="1:17" x14ac:dyDescent="0.3">
      <c r="A17" t="s">
        <v>1582</v>
      </c>
      <c r="B17">
        <v>1304933</v>
      </c>
      <c r="C17" t="s">
        <v>1583</v>
      </c>
      <c r="D17" s="8">
        <v>1</v>
      </c>
      <c r="E17" s="3">
        <v>7896.4589999999998</v>
      </c>
      <c r="F17" s="2">
        <v>-3.53</v>
      </c>
      <c r="H17" s="2">
        <v>852784.01</v>
      </c>
      <c r="I17" s="16">
        <f t="shared" si="2"/>
        <v>107.99574974048495</v>
      </c>
      <c r="J17" s="2">
        <v>32159.52</v>
      </c>
      <c r="K17">
        <v>197.10900000000001</v>
      </c>
      <c r="L17" s="15">
        <f t="shared" si="0"/>
        <v>0</v>
      </c>
      <c r="M17" s="15">
        <f t="shared" si="1"/>
        <v>32159.52</v>
      </c>
      <c r="N17" s="18">
        <v>163.15598827470689</v>
      </c>
      <c r="O17" s="8">
        <v>1</v>
      </c>
      <c r="Q17">
        <f>_xlfn.XLOOKUP(A17,'CONSOLIDADO PEAJES'!H:H,'CONSOLIDADO PEAJES'!AC:AC)</f>
        <v>1</v>
      </c>
    </row>
    <row r="18" spans="1:17" x14ac:dyDescent="0.3">
      <c r="A18" t="s">
        <v>1313</v>
      </c>
      <c r="B18">
        <v>1303705</v>
      </c>
      <c r="C18" t="s">
        <v>1314</v>
      </c>
      <c r="D18" s="8">
        <v>1</v>
      </c>
      <c r="E18" s="3">
        <v>6134.3689999999997</v>
      </c>
      <c r="F18" s="2">
        <v>4.22</v>
      </c>
      <c r="H18" s="2">
        <v>662485.78</v>
      </c>
      <c r="I18" s="16">
        <f t="shared" si="2"/>
        <v>107.9957498481099</v>
      </c>
      <c r="L18" s="15">
        <f t="shared" si="0"/>
        <v>0</v>
      </c>
      <c r="M18" s="15">
        <f t="shared" si="1"/>
        <v>0</v>
      </c>
      <c r="N18" s="18">
        <v>163.15598827470689</v>
      </c>
      <c r="O18" s="8">
        <v>1</v>
      </c>
      <c r="Q18">
        <f>_xlfn.XLOOKUP(A18,'CONSOLIDADO PEAJES'!H:H,'CONSOLIDADO PEAJES'!AC:AC)</f>
        <v>1</v>
      </c>
    </row>
    <row r="19" spans="1:17" x14ac:dyDescent="0.3">
      <c r="A19" t="s">
        <v>1322</v>
      </c>
      <c r="B19">
        <v>1303708</v>
      </c>
      <c r="C19" t="s">
        <v>1323</v>
      </c>
      <c r="D19" s="8">
        <v>1</v>
      </c>
      <c r="E19" s="3">
        <v>4831.433</v>
      </c>
      <c r="F19" s="2">
        <v>-4.2300000000000004</v>
      </c>
      <c r="H19" s="2">
        <v>521774.23</v>
      </c>
      <c r="I19" s="16">
        <f t="shared" si="2"/>
        <v>107.99574991519079</v>
      </c>
      <c r="L19" s="15">
        <f t="shared" si="0"/>
        <v>0</v>
      </c>
      <c r="M19" s="15">
        <f t="shared" si="1"/>
        <v>0</v>
      </c>
      <c r="N19" s="18">
        <v>163.15598827470689</v>
      </c>
      <c r="O19" s="8">
        <v>1</v>
      </c>
      <c r="Q19">
        <f>_xlfn.XLOOKUP(A19,'CONSOLIDADO PEAJES'!H:H,'CONSOLIDADO PEAJES'!AC:AC)</f>
        <v>1</v>
      </c>
    </row>
    <row r="20" spans="1:17" x14ac:dyDescent="0.3">
      <c r="A20" t="s">
        <v>1009</v>
      </c>
      <c r="B20">
        <v>1303711</v>
      </c>
      <c r="C20" t="s">
        <v>1010</v>
      </c>
      <c r="D20" s="8">
        <v>1</v>
      </c>
      <c r="E20" s="3">
        <v>5767.4560000000001</v>
      </c>
      <c r="F20" s="2">
        <v>0.99</v>
      </c>
      <c r="H20" s="2">
        <v>622860.74</v>
      </c>
      <c r="I20" s="16">
        <f t="shared" si="2"/>
        <v>107.99575063945004</v>
      </c>
      <c r="J20" s="2">
        <v>4418.2700000000004</v>
      </c>
      <c r="K20">
        <v>27.08</v>
      </c>
      <c r="L20" s="15">
        <f t="shared" si="0"/>
        <v>0</v>
      </c>
      <c r="M20" s="15">
        <f t="shared" si="1"/>
        <v>4418.2700000000004</v>
      </c>
      <c r="N20" s="18">
        <v>163.15598827470689</v>
      </c>
      <c r="O20" s="8">
        <v>1</v>
      </c>
      <c r="Q20">
        <f>_xlfn.XLOOKUP(A20,'CONSOLIDADO PEAJES'!H:H,'CONSOLIDADO PEAJES'!AC:AC)</f>
        <v>1</v>
      </c>
    </row>
    <row r="21" spans="1:17" x14ac:dyDescent="0.3">
      <c r="A21" t="s">
        <v>559</v>
      </c>
      <c r="B21">
        <v>1303716</v>
      </c>
      <c r="C21" t="s">
        <v>560</v>
      </c>
      <c r="D21" s="8">
        <v>1</v>
      </c>
      <c r="E21" s="3">
        <v>4595.1210000000001</v>
      </c>
      <c r="F21" s="2">
        <v>3.94</v>
      </c>
      <c r="H21" s="2">
        <v>496253.54</v>
      </c>
      <c r="I21" s="16">
        <f t="shared" si="2"/>
        <v>107.99575027512877</v>
      </c>
      <c r="J21" s="2">
        <v>192.52</v>
      </c>
      <c r="K21">
        <v>1.18</v>
      </c>
      <c r="L21" s="15">
        <f t="shared" si="0"/>
        <v>0</v>
      </c>
      <c r="M21" s="15">
        <f t="shared" si="1"/>
        <v>192.52</v>
      </c>
      <c r="N21" s="18">
        <v>163.15598827470689</v>
      </c>
      <c r="O21" s="8">
        <v>1</v>
      </c>
      <c r="Q21">
        <f>_xlfn.XLOOKUP(A21,'CONSOLIDADO PEAJES'!H:H,'CONSOLIDADO PEAJES'!AC:AC)</f>
        <v>1</v>
      </c>
    </row>
    <row r="22" spans="1:17" x14ac:dyDescent="0.3">
      <c r="A22" t="s">
        <v>1331</v>
      </c>
      <c r="B22">
        <v>1303717</v>
      </c>
      <c r="C22" t="s">
        <v>1332</v>
      </c>
      <c r="D22" s="8">
        <v>1</v>
      </c>
      <c r="E22" s="3">
        <v>5602.0739999999996</v>
      </c>
      <c r="F22" s="2">
        <v>-0.18</v>
      </c>
      <c r="H22" s="2">
        <v>605000.18000000005</v>
      </c>
      <c r="I22" s="16">
        <f t="shared" si="2"/>
        <v>107.99574943137132</v>
      </c>
      <c r="L22" s="15">
        <f t="shared" si="0"/>
        <v>0</v>
      </c>
      <c r="M22" s="15">
        <f t="shared" si="1"/>
        <v>0</v>
      </c>
      <c r="N22" s="18">
        <v>163.15598827470689</v>
      </c>
      <c r="O22" s="8">
        <v>1</v>
      </c>
      <c r="Q22">
        <f>_xlfn.XLOOKUP(A22,'CONSOLIDADO PEAJES'!H:H,'CONSOLIDADO PEAJES'!AC:AC)</f>
        <v>1</v>
      </c>
    </row>
    <row r="23" spans="1:17" x14ac:dyDescent="0.3">
      <c r="A23" t="s">
        <v>1476</v>
      </c>
      <c r="B23">
        <v>1303720</v>
      </c>
      <c r="C23" t="s">
        <v>1477</v>
      </c>
      <c r="D23" s="8">
        <v>1</v>
      </c>
      <c r="E23" s="3">
        <v>4715.8090000000002</v>
      </c>
      <c r="F23" s="2">
        <v>0.44</v>
      </c>
      <c r="H23" s="2">
        <v>671679.56</v>
      </c>
      <c r="I23" s="16">
        <f t="shared" si="2"/>
        <v>142.4314597983082</v>
      </c>
      <c r="L23" s="15">
        <f t="shared" si="0"/>
        <v>0</v>
      </c>
      <c r="M23" s="15">
        <f t="shared" si="1"/>
        <v>0</v>
      </c>
      <c r="N23" s="18">
        <v>197.59164336750544</v>
      </c>
      <c r="O23" s="8">
        <v>1</v>
      </c>
      <c r="Q23">
        <f>_xlfn.XLOOKUP(A23,'CONSOLIDADO PEAJES'!H:H,'CONSOLIDADO PEAJES'!AC:AC)</f>
        <v>0</v>
      </c>
    </row>
    <row r="24" spans="1:17" x14ac:dyDescent="0.3">
      <c r="A24" t="s">
        <v>1585</v>
      </c>
      <c r="B24">
        <v>1303764</v>
      </c>
      <c r="C24" t="s">
        <v>1586</v>
      </c>
      <c r="D24" s="8">
        <v>1</v>
      </c>
      <c r="E24" s="3">
        <v>3803.9290000000001</v>
      </c>
      <c r="F24" s="2">
        <v>-0.88</v>
      </c>
      <c r="H24" s="2">
        <v>410808.17</v>
      </c>
      <c r="I24" s="16">
        <f t="shared" si="2"/>
        <v>107.99575123510454</v>
      </c>
      <c r="J24" s="2">
        <v>7162.71</v>
      </c>
      <c r="K24">
        <v>43.901000000000003</v>
      </c>
      <c r="L24" s="15">
        <f t="shared" si="0"/>
        <v>0</v>
      </c>
      <c r="M24" s="15">
        <f t="shared" si="1"/>
        <v>7162.71</v>
      </c>
      <c r="N24" s="18">
        <v>163.15598827470689</v>
      </c>
      <c r="O24" s="8">
        <v>1</v>
      </c>
      <c r="Q24">
        <f>_xlfn.XLOOKUP(A24,'CONSOLIDADO PEAJES'!H:H,'CONSOLIDADO PEAJES'!AC:AC)</f>
        <v>1</v>
      </c>
    </row>
    <row r="25" spans="1:17" x14ac:dyDescent="0.3">
      <c r="A25" t="s">
        <v>286</v>
      </c>
      <c r="B25">
        <v>1303907</v>
      </c>
      <c r="C25" t="s">
        <v>287</v>
      </c>
      <c r="D25" s="8">
        <v>1</v>
      </c>
      <c r="E25" s="3">
        <v>3061.1410000000001</v>
      </c>
      <c r="F25" s="2">
        <v>0.95</v>
      </c>
      <c r="H25" s="2">
        <v>330590.21999999997</v>
      </c>
      <c r="I25" s="16">
        <f t="shared" si="2"/>
        <v>107.9957506041048</v>
      </c>
      <c r="J25" s="2">
        <v>13748.83</v>
      </c>
      <c r="K25">
        <v>84.268000000000001</v>
      </c>
      <c r="L25" s="15">
        <f t="shared" si="0"/>
        <v>0</v>
      </c>
      <c r="M25" s="15">
        <f t="shared" si="1"/>
        <v>13748.83</v>
      </c>
      <c r="N25" s="18">
        <v>163.15598827470689</v>
      </c>
      <c r="O25" s="8">
        <v>1</v>
      </c>
      <c r="Q25">
        <f>_xlfn.XLOOKUP(A25,'CONSOLIDADO PEAJES'!H:H,'CONSOLIDADO PEAJES'!AC:AC)</f>
        <v>1</v>
      </c>
    </row>
    <row r="26" spans="1:17" x14ac:dyDescent="0.3">
      <c r="A26" t="s">
        <v>662</v>
      </c>
      <c r="B26">
        <v>1303767</v>
      </c>
      <c r="C26" t="s">
        <v>663</v>
      </c>
      <c r="D26" s="8">
        <v>1</v>
      </c>
      <c r="E26" s="3">
        <v>10148.798000000001</v>
      </c>
      <c r="F26" s="2">
        <v>2</v>
      </c>
      <c r="H26" s="2">
        <v>1096027.05</v>
      </c>
      <c r="I26" s="16">
        <f t="shared" si="2"/>
        <v>107.99574984150833</v>
      </c>
      <c r="J26" s="2">
        <v>60140.95</v>
      </c>
      <c r="K26">
        <v>368.61</v>
      </c>
      <c r="L26" s="15">
        <f t="shared" si="0"/>
        <v>0</v>
      </c>
      <c r="M26" s="15">
        <f t="shared" si="1"/>
        <v>60140.95</v>
      </c>
      <c r="N26" s="18">
        <v>163.15598827470689</v>
      </c>
      <c r="O26" s="8">
        <v>1</v>
      </c>
      <c r="Q26">
        <f>_xlfn.XLOOKUP(A26,'CONSOLIDADO PEAJES'!H:H,'CONSOLIDADO PEAJES'!AC:AC)</f>
        <v>1</v>
      </c>
    </row>
    <row r="27" spans="1:17" x14ac:dyDescent="0.3">
      <c r="A27" t="s">
        <v>1195</v>
      </c>
      <c r="B27">
        <v>1303924</v>
      </c>
      <c r="C27" t="s">
        <v>1196</v>
      </c>
      <c r="D27" s="8">
        <v>1</v>
      </c>
      <c r="E27" s="3">
        <v>5145.4210000000003</v>
      </c>
      <c r="F27" s="2">
        <v>-1.1399999999999999</v>
      </c>
      <c r="H27" s="2">
        <v>555683.6</v>
      </c>
      <c r="I27" s="16">
        <f t="shared" si="2"/>
        <v>107.99575000762813</v>
      </c>
      <c r="J27" s="2">
        <v>3367.54</v>
      </c>
      <c r="K27">
        <v>20.64</v>
      </c>
      <c r="L27" s="15">
        <f t="shared" si="0"/>
        <v>0</v>
      </c>
      <c r="M27" s="15">
        <f t="shared" si="1"/>
        <v>3367.54</v>
      </c>
      <c r="N27" s="18">
        <v>163.15598827470689</v>
      </c>
      <c r="O27" s="8">
        <v>1</v>
      </c>
      <c r="Q27">
        <f>_xlfn.XLOOKUP(A27,'CONSOLIDADO PEAJES'!H:H,'CONSOLIDADO PEAJES'!AC:AC)</f>
        <v>1</v>
      </c>
    </row>
    <row r="28" spans="1:17" x14ac:dyDescent="0.3">
      <c r="A28" t="s">
        <v>571</v>
      </c>
      <c r="B28">
        <v>1340624</v>
      </c>
      <c r="C28" t="s">
        <v>572</v>
      </c>
      <c r="D28" s="8">
        <v>1</v>
      </c>
      <c r="E28" s="3">
        <v>8427.25</v>
      </c>
      <c r="F28" s="2">
        <v>2.42</v>
      </c>
      <c r="H28" s="2">
        <v>910107.18</v>
      </c>
      <c r="I28" s="16">
        <f t="shared" si="2"/>
        <v>107.99574950310007</v>
      </c>
      <c r="J28" s="2">
        <v>26890.400000000001</v>
      </c>
      <c r="K28">
        <v>164.81399999999999</v>
      </c>
      <c r="L28" s="15">
        <f t="shared" si="0"/>
        <v>0</v>
      </c>
      <c r="M28" s="15">
        <f t="shared" si="1"/>
        <v>26890.400000000001</v>
      </c>
      <c r="N28" s="18">
        <v>163.15598827470689</v>
      </c>
      <c r="O28" s="8">
        <v>1</v>
      </c>
      <c r="Q28">
        <f>_xlfn.XLOOKUP(A28,'CONSOLIDADO PEAJES'!H:H,'CONSOLIDADO PEAJES'!AC:AC)</f>
        <v>1</v>
      </c>
    </row>
    <row r="29" spans="1:17" x14ac:dyDescent="0.3">
      <c r="A29" t="s">
        <v>1606</v>
      </c>
      <c r="B29">
        <v>1406183</v>
      </c>
      <c r="C29" t="s">
        <v>1607</v>
      </c>
      <c r="D29" s="8">
        <v>1</v>
      </c>
      <c r="E29" s="3">
        <v>44112.82</v>
      </c>
      <c r="F29" s="2">
        <v>2.92</v>
      </c>
      <c r="H29" s="2">
        <v>4763997.08</v>
      </c>
      <c r="I29" s="16">
        <f t="shared" si="2"/>
        <v>107.99574998832539</v>
      </c>
      <c r="L29" s="15">
        <f t="shared" si="0"/>
        <v>0</v>
      </c>
      <c r="M29" s="15">
        <f t="shared" si="1"/>
        <v>0</v>
      </c>
      <c r="N29" s="18">
        <v>163.15598827470689</v>
      </c>
      <c r="O29" s="8">
        <v>1</v>
      </c>
      <c r="Q29">
        <f>_xlfn.XLOOKUP(A29,'CONSOLIDADO PEAJES'!H:H,'CONSOLIDADO PEAJES'!AC:AC)</f>
        <v>1</v>
      </c>
    </row>
    <row r="30" spans="1:17" x14ac:dyDescent="0.3">
      <c r="A30" t="s">
        <v>618</v>
      </c>
      <c r="B30">
        <v>1340528</v>
      </c>
      <c r="C30" t="s">
        <v>619</v>
      </c>
      <c r="D30" s="8">
        <v>1</v>
      </c>
      <c r="E30" s="3">
        <v>15864.841</v>
      </c>
      <c r="F30" s="2">
        <v>-2.4700000000000002</v>
      </c>
      <c r="H30" s="2">
        <v>2259652.4700000002</v>
      </c>
      <c r="I30" s="16">
        <f t="shared" si="2"/>
        <v>142.43146023335501</v>
      </c>
      <c r="L30" s="15">
        <f t="shared" si="0"/>
        <v>0</v>
      </c>
      <c r="M30" s="15">
        <f t="shared" si="1"/>
        <v>0</v>
      </c>
      <c r="N30" s="18">
        <v>197.59164336750544</v>
      </c>
      <c r="O30" s="8">
        <v>1</v>
      </c>
      <c r="Q30">
        <f>_xlfn.XLOOKUP(A30,'CONSOLIDADO PEAJES'!H:H,'CONSOLIDADO PEAJES'!AC:AC)</f>
        <v>0</v>
      </c>
    </row>
    <row r="31" spans="1:17" x14ac:dyDescent="0.3">
      <c r="A31" t="s">
        <v>256</v>
      </c>
      <c r="B31">
        <v>1415362</v>
      </c>
      <c r="C31" t="s">
        <v>257</v>
      </c>
      <c r="D31" s="8">
        <v>1</v>
      </c>
      <c r="E31" s="3">
        <v>8878.2099999999991</v>
      </c>
      <c r="F31" s="2">
        <v>-0.96</v>
      </c>
      <c r="H31" s="2">
        <v>958808.95</v>
      </c>
      <c r="I31" s="16">
        <f t="shared" si="2"/>
        <v>107.99575026948</v>
      </c>
      <c r="J31" s="2">
        <v>22602.01</v>
      </c>
      <c r="K31">
        <v>138.53</v>
      </c>
      <c r="L31" s="15">
        <f t="shared" si="0"/>
        <v>0</v>
      </c>
      <c r="M31" s="15">
        <f t="shared" si="1"/>
        <v>22602.01</v>
      </c>
      <c r="N31" s="18">
        <v>163.15598827470689</v>
      </c>
      <c r="O31" s="8">
        <v>1</v>
      </c>
      <c r="Q31">
        <f>_xlfn.XLOOKUP(A31,'CONSOLIDADO PEAJES'!H:H,'CONSOLIDADO PEAJES'!AC:AC)</f>
        <v>1</v>
      </c>
    </row>
    <row r="32" spans="1:17" x14ac:dyDescent="0.3">
      <c r="A32" t="s">
        <v>985</v>
      </c>
      <c r="B32">
        <v>1281726</v>
      </c>
      <c r="C32" t="s">
        <v>986</v>
      </c>
      <c r="D32" s="8">
        <v>1</v>
      </c>
      <c r="E32" s="3">
        <v>144.51499999999999</v>
      </c>
      <c r="F32" s="2">
        <v>-3.48</v>
      </c>
      <c r="H32" s="2">
        <v>20583.48</v>
      </c>
      <c r="I32" s="16">
        <f t="shared" si="2"/>
        <v>142.43144310279212</v>
      </c>
      <c r="L32" s="15">
        <f t="shared" si="0"/>
        <v>0</v>
      </c>
      <c r="M32" s="15">
        <f t="shared" si="1"/>
        <v>0</v>
      </c>
      <c r="N32" s="18">
        <v>197.59164336750544</v>
      </c>
      <c r="O32" s="8">
        <v>1</v>
      </c>
      <c r="Q32">
        <f>_xlfn.XLOOKUP(A32,'CONSOLIDADO PEAJES'!H:H,'CONSOLIDADO PEAJES'!AC:AC)</f>
        <v>0</v>
      </c>
    </row>
    <row r="33" spans="1:17" x14ac:dyDescent="0.3">
      <c r="A33" t="s">
        <v>523</v>
      </c>
      <c r="B33">
        <v>1282988</v>
      </c>
      <c r="C33" t="s">
        <v>524</v>
      </c>
      <c r="D33" s="8">
        <v>1</v>
      </c>
      <c r="E33" s="3">
        <v>1721.5719999999999</v>
      </c>
      <c r="F33" s="2">
        <v>1.34</v>
      </c>
      <c r="H33" s="2">
        <v>185922.46</v>
      </c>
      <c r="I33" s="16">
        <f t="shared" si="2"/>
        <v>107.99575039556871</v>
      </c>
      <c r="J33" s="2">
        <v>20176.2</v>
      </c>
      <c r="K33">
        <v>123.66200000000001</v>
      </c>
      <c r="L33" s="15">
        <f t="shared" si="0"/>
        <v>100881.00000000001</v>
      </c>
      <c r="M33" s="15">
        <f t="shared" si="1"/>
        <v>121057.20000000001</v>
      </c>
      <c r="N33" s="18">
        <v>163.15598827470689</v>
      </c>
      <c r="O33" s="8">
        <v>6</v>
      </c>
      <c r="Q33">
        <f>_xlfn.XLOOKUP(A33,'CONSOLIDADO PEAJES'!H:H,'CONSOLIDADO PEAJES'!AC:AC)</f>
        <v>1</v>
      </c>
    </row>
    <row r="34" spans="1:17" x14ac:dyDescent="0.3">
      <c r="A34" t="s">
        <v>1307</v>
      </c>
      <c r="B34">
        <v>1282989</v>
      </c>
      <c r="C34" t="s">
        <v>1308</v>
      </c>
      <c r="D34" s="8">
        <v>1</v>
      </c>
      <c r="E34" s="3">
        <v>171.96899999999999</v>
      </c>
      <c r="F34" s="2">
        <v>-1.92</v>
      </c>
      <c r="H34" s="2">
        <v>18571.919999999998</v>
      </c>
      <c r="I34" s="16">
        <f t="shared" si="2"/>
        <v>107.995743418872</v>
      </c>
      <c r="L34" s="15">
        <f t="shared" si="0"/>
        <v>0</v>
      </c>
      <c r="M34" s="15">
        <f t="shared" si="1"/>
        <v>0</v>
      </c>
      <c r="N34" s="18">
        <v>163.15598827470689</v>
      </c>
      <c r="O34" s="8">
        <v>1</v>
      </c>
      <c r="Q34">
        <f>_xlfn.XLOOKUP(A34,'CONSOLIDADO PEAJES'!H:H,'CONSOLIDADO PEAJES'!AC:AC)</f>
        <v>1</v>
      </c>
    </row>
    <row r="35" spans="1:17" x14ac:dyDescent="0.3">
      <c r="A35" t="s">
        <v>280</v>
      </c>
      <c r="B35">
        <v>1282806</v>
      </c>
      <c r="C35" t="s">
        <v>281</v>
      </c>
      <c r="D35" s="8">
        <v>1</v>
      </c>
      <c r="E35" s="3">
        <v>591.75800000000004</v>
      </c>
      <c r="F35" s="2">
        <v>2.4300000000000002</v>
      </c>
      <c r="H35" s="2">
        <v>84284.96</v>
      </c>
      <c r="I35" s="16">
        <f t="shared" si="2"/>
        <v>142.43146691721955</v>
      </c>
      <c r="J35" s="2">
        <v>39972.61</v>
      </c>
      <c r="K35">
        <v>202.29900000000001</v>
      </c>
      <c r="L35" s="15">
        <f t="shared" si="0"/>
        <v>199863.05</v>
      </c>
      <c r="M35" s="15">
        <f t="shared" si="1"/>
        <v>239835.66</v>
      </c>
      <c r="N35" s="18">
        <v>197.59164336750544</v>
      </c>
      <c r="O35" s="8">
        <v>6</v>
      </c>
      <c r="Q35">
        <f>_xlfn.XLOOKUP(A35,'CONSOLIDADO PEAJES'!H:H,'CONSOLIDADO PEAJES'!AC:AC)</f>
        <v>0</v>
      </c>
    </row>
    <row r="36" spans="1:17" x14ac:dyDescent="0.3">
      <c r="A36" t="s">
        <v>283</v>
      </c>
      <c r="B36">
        <v>1282807</v>
      </c>
      <c r="C36" t="s">
        <v>284</v>
      </c>
      <c r="D36" s="8">
        <v>1</v>
      </c>
      <c r="E36" s="3">
        <v>5678.6090000000004</v>
      </c>
      <c r="F36" s="2">
        <v>3.21</v>
      </c>
      <c r="H36" s="2">
        <v>808812.57</v>
      </c>
      <c r="I36" s="16">
        <f t="shared" si="2"/>
        <v>142.43145988744777</v>
      </c>
      <c r="J36" s="2">
        <v>1344.22</v>
      </c>
      <c r="K36">
        <v>6.8029999999999999</v>
      </c>
      <c r="L36" s="15">
        <f t="shared" si="0"/>
        <v>0</v>
      </c>
      <c r="M36" s="15">
        <f t="shared" si="1"/>
        <v>1344.22</v>
      </c>
      <c r="N36" s="18">
        <v>197.59164336750544</v>
      </c>
      <c r="O36" s="8">
        <v>1</v>
      </c>
      <c r="Q36">
        <f>_xlfn.XLOOKUP(A36,'CONSOLIDADO PEAJES'!H:H,'CONSOLIDADO PEAJES'!AC:AC)</f>
        <v>0</v>
      </c>
    </row>
    <row r="37" spans="1:17" x14ac:dyDescent="0.3">
      <c r="A37" t="s">
        <v>1310</v>
      </c>
      <c r="B37">
        <v>1295066</v>
      </c>
      <c r="C37" t="s">
        <v>1311</v>
      </c>
      <c r="D37" s="8">
        <v>1</v>
      </c>
      <c r="E37" s="3">
        <v>1724.057</v>
      </c>
      <c r="F37" s="2">
        <v>0.04</v>
      </c>
      <c r="H37" s="2">
        <v>245559.96</v>
      </c>
      <c r="I37" s="16">
        <f t="shared" si="2"/>
        <v>142.4314625328513</v>
      </c>
      <c r="L37" s="15">
        <f t="shared" si="0"/>
        <v>0</v>
      </c>
      <c r="M37" s="15">
        <f t="shared" si="1"/>
        <v>0</v>
      </c>
      <c r="N37" s="18">
        <v>197.59164336750544</v>
      </c>
      <c r="O37" s="8">
        <v>1</v>
      </c>
      <c r="Q37">
        <f>_xlfn.XLOOKUP(A37,'CONSOLIDADO PEAJES'!H:H,'CONSOLIDADO PEAJES'!AC:AC)</f>
        <v>0</v>
      </c>
    </row>
    <row r="38" spans="1:17" x14ac:dyDescent="0.3">
      <c r="A38" t="s">
        <v>1072</v>
      </c>
      <c r="B38">
        <v>1295340</v>
      </c>
      <c r="C38" t="s">
        <v>1073</v>
      </c>
      <c r="D38" s="8">
        <v>1</v>
      </c>
      <c r="E38" s="3">
        <v>3513.4749999999999</v>
      </c>
      <c r="F38" s="2">
        <v>-1</v>
      </c>
      <c r="H38" s="2">
        <v>500429.37</v>
      </c>
      <c r="I38" s="16">
        <f t="shared" si="2"/>
        <v>142.43145888329931</v>
      </c>
      <c r="J38" s="2">
        <v>0</v>
      </c>
      <c r="K38">
        <v>11.699</v>
      </c>
      <c r="L38" s="15">
        <f t="shared" si="0"/>
        <v>0</v>
      </c>
      <c r="M38" s="15">
        <f t="shared" si="1"/>
        <v>0</v>
      </c>
      <c r="N38" s="18">
        <v>197.59164336750544</v>
      </c>
      <c r="O38" s="8">
        <v>1</v>
      </c>
      <c r="P38" s="8" t="s">
        <v>1650</v>
      </c>
      <c r="Q38">
        <f>_xlfn.XLOOKUP(A38,'CONSOLIDADO PEAJES'!H:H,'CONSOLIDADO PEAJES'!AC:AC)</f>
        <v>0</v>
      </c>
    </row>
    <row r="39" spans="1:17" x14ac:dyDescent="0.3">
      <c r="A39" t="s">
        <v>997</v>
      </c>
      <c r="B39">
        <v>1296891</v>
      </c>
      <c r="C39" t="s">
        <v>998</v>
      </c>
      <c r="D39" s="8">
        <v>1</v>
      </c>
      <c r="E39" s="3">
        <v>543.48500000000001</v>
      </c>
      <c r="F39" s="2">
        <v>-4.5599999999999996</v>
      </c>
      <c r="H39" s="2">
        <v>58694.07</v>
      </c>
      <c r="I39" s="16">
        <f t="shared" si="2"/>
        <v>107.9957496527043</v>
      </c>
      <c r="J39" s="2">
        <v>0.49</v>
      </c>
      <c r="K39">
        <v>3.0000000000000001E-3</v>
      </c>
      <c r="L39" s="15">
        <f t="shared" si="0"/>
        <v>0</v>
      </c>
      <c r="M39" s="15">
        <f t="shared" si="1"/>
        <v>0.49</v>
      </c>
      <c r="N39" s="18">
        <v>163.15598827470689</v>
      </c>
      <c r="O39" s="8">
        <v>1</v>
      </c>
      <c r="Q39">
        <f>_xlfn.XLOOKUP(A39,'CONSOLIDADO PEAJES'!H:H,'CONSOLIDADO PEAJES'!AC:AC)</f>
        <v>1</v>
      </c>
    </row>
    <row r="40" spans="1:17" x14ac:dyDescent="0.3">
      <c r="A40" t="s">
        <v>1479</v>
      </c>
      <c r="B40">
        <v>1296893</v>
      </c>
      <c r="C40" t="s">
        <v>1480</v>
      </c>
      <c r="D40" s="8">
        <v>1</v>
      </c>
      <c r="E40" s="3">
        <v>103.286</v>
      </c>
      <c r="F40" s="2">
        <v>-4.45</v>
      </c>
      <c r="H40" s="2">
        <v>11154.45</v>
      </c>
      <c r="I40" s="16">
        <f t="shared" si="2"/>
        <v>107.9957593478303</v>
      </c>
      <c r="L40" s="15">
        <f t="shared" si="0"/>
        <v>0</v>
      </c>
      <c r="M40" s="15">
        <f t="shared" si="1"/>
        <v>0</v>
      </c>
      <c r="N40" s="18">
        <v>163.15598827470689</v>
      </c>
      <c r="O40" s="8">
        <v>1</v>
      </c>
      <c r="Q40">
        <f>_xlfn.XLOOKUP(A40,'CONSOLIDADO PEAJES'!H:H,'CONSOLIDADO PEAJES'!AC:AC)</f>
        <v>1</v>
      </c>
    </row>
    <row r="41" spans="1:17" x14ac:dyDescent="0.3">
      <c r="A41" t="s">
        <v>541</v>
      </c>
      <c r="B41">
        <v>1296894</v>
      </c>
      <c r="C41" t="s">
        <v>542</v>
      </c>
      <c r="D41" s="8">
        <v>1</v>
      </c>
      <c r="E41" s="3">
        <v>340.01600000000002</v>
      </c>
      <c r="F41" s="2">
        <v>0.54</v>
      </c>
      <c r="H41" s="2">
        <v>36720.28</v>
      </c>
      <c r="I41" s="16">
        <f t="shared" si="2"/>
        <v>107.99574137687637</v>
      </c>
      <c r="J41" s="2">
        <v>69.180000000000007</v>
      </c>
      <c r="K41">
        <v>0.42399999999999999</v>
      </c>
      <c r="L41" s="15">
        <f t="shared" si="0"/>
        <v>0</v>
      </c>
      <c r="M41" s="15">
        <f t="shared" si="1"/>
        <v>69.180000000000007</v>
      </c>
      <c r="N41" s="18">
        <v>163.15598827470689</v>
      </c>
      <c r="O41" s="8">
        <v>1</v>
      </c>
      <c r="Q41">
        <f>_xlfn.XLOOKUP(A41,'CONSOLIDADO PEAJES'!H:H,'CONSOLIDADO PEAJES'!AC:AC)</f>
        <v>1</v>
      </c>
    </row>
    <row r="42" spans="1:17" x14ac:dyDescent="0.3">
      <c r="A42" t="s">
        <v>988</v>
      </c>
      <c r="B42">
        <v>1296899</v>
      </c>
      <c r="C42" t="s">
        <v>989</v>
      </c>
      <c r="D42" s="8">
        <v>1</v>
      </c>
      <c r="E42" s="3">
        <v>400.298</v>
      </c>
      <c r="F42" s="2">
        <v>-1.62</v>
      </c>
      <c r="H42" s="2">
        <v>43230.48</v>
      </c>
      <c r="I42" s="16">
        <f t="shared" si="2"/>
        <v>107.99574317133737</v>
      </c>
      <c r="J42" s="2">
        <v>1.1399999999999999</v>
      </c>
      <c r="K42">
        <v>7.0000000000000001E-3</v>
      </c>
      <c r="L42" s="15">
        <f t="shared" si="0"/>
        <v>0</v>
      </c>
      <c r="M42" s="15">
        <f t="shared" si="1"/>
        <v>1.1399999999999999</v>
      </c>
      <c r="N42" s="18">
        <v>163.15598827470689</v>
      </c>
      <c r="O42" s="8">
        <v>1</v>
      </c>
      <c r="Q42">
        <f>_xlfn.XLOOKUP(A42,'CONSOLIDADO PEAJES'!H:H,'CONSOLIDADO PEAJES'!AC:AC)</f>
        <v>1</v>
      </c>
    </row>
    <row r="43" spans="1:17" x14ac:dyDescent="0.3">
      <c r="A43" t="s">
        <v>1328</v>
      </c>
      <c r="B43">
        <v>1296986</v>
      </c>
      <c r="C43" t="s">
        <v>1329</v>
      </c>
      <c r="D43" s="8">
        <v>1</v>
      </c>
      <c r="E43" s="3">
        <v>64.733000000000004</v>
      </c>
      <c r="F43" s="2">
        <v>-0.89</v>
      </c>
      <c r="H43" s="2">
        <v>6990.89</v>
      </c>
      <c r="I43" s="16">
        <f t="shared" si="2"/>
        <v>107.99576722846153</v>
      </c>
      <c r="L43" s="15">
        <f t="shared" si="0"/>
        <v>0</v>
      </c>
      <c r="M43" s="15">
        <f t="shared" si="1"/>
        <v>0</v>
      </c>
      <c r="N43" s="18">
        <v>163.15598827470689</v>
      </c>
      <c r="O43" s="8">
        <v>1</v>
      </c>
      <c r="Q43">
        <f>_xlfn.XLOOKUP(A43,'CONSOLIDADO PEAJES'!H:H,'CONSOLIDADO PEAJES'!AC:AC)</f>
        <v>1</v>
      </c>
    </row>
    <row r="44" spans="1:17" x14ac:dyDescent="0.3">
      <c r="A44" t="s">
        <v>1003</v>
      </c>
      <c r="B44">
        <v>1297678</v>
      </c>
      <c r="C44" t="s">
        <v>1004</v>
      </c>
      <c r="D44" s="8">
        <v>1</v>
      </c>
      <c r="E44" s="3">
        <v>507.47399999999999</v>
      </c>
      <c r="F44" s="2">
        <v>-0.88</v>
      </c>
      <c r="H44" s="2">
        <v>54805.04</v>
      </c>
      <c r="I44" s="16">
        <f t="shared" si="2"/>
        <v>107.99575938865834</v>
      </c>
      <c r="J44" s="2">
        <v>355.84</v>
      </c>
      <c r="K44">
        <v>2.181</v>
      </c>
      <c r="L44" s="15">
        <f t="shared" si="0"/>
        <v>0</v>
      </c>
      <c r="M44" s="15">
        <f t="shared" si="1"/>
        <v>355.84</v>
      </c>
      <c r="N44" s="18">
        <v>163.15598827470689</v>
      </c>
      <c r="O44" s="8">
        <v>1</v>
      </c>
      <c r="Q44">
        <f>_xlfn.XLOOKUP(A44,'CONSOLIDADO PEAJES'!H:H,'CONSOLIDADO PEAJES'!AC:AC)</f>
        <v>1</v>
      </c>
    </row>
    <row r="45" spans="1:17" x14ac:dyDescent="0.3">
      <c r="A45" t="s">
        <v>553</v>
      </c>
      <c r="B45">
        <v>1296990</v>
      </c>
      <c r="C45" t="s">
        <v>554</v>
      </c>
      <c r="D45" s="8">
        <v>1</v>
      </c>
      <c r="E45" s="3">
        <v>1004.7910000000001</v>
      </c>
      <c r="F45" s="2">
        <v>-2.9</v>
      </c>
      <c r="H45" s="2">
        <v>108513.16</v>
      </c>
      <c r="I45" s="16">
        <f t="shared" si="2"/>
        <v>107.9957523504888</v>
      </c>
      <c r="J45" s="2">
        <v>89.74</v>
      </c>
      <c r="K45">
        <v>0.55000000000000004</v>
      </c>
      <c r="L45" s="15">
        <f t="shared" si="0"/>
        <v>0</v>
      </c>
      <c r="M45" s="15">
        <f t="shared" si="1"/>
        <v>89.74</v>
      </c>
      <c r="N45" s="18">
        <v>163.15598827470689</v>
      </c>
      <c r="O45" s="8">
        <v>1</v>
      </c>
      <c r="Q45">
        <f>_xlfn.XLOOKUP(A45,'CONSOLIDADO PEAJES'!H:H,'CONSOLIDADO PEAJES'!AC:AC)</f>
        <v>1</v>
      </c>
    </row>
    <row r="46" spans="1:17" x14ac:dyDescent="0.3">
      <c r="A46" t="s">
        <v>544</v>
      </c>
      <c r="B46">
        <v>1296994</v>
      </c>
      <c r="C46" t="s">
        <v>545</v>
      </c>
      <c r="D46" s="8">
        <v>1</v>
      </c>
      <c r="E46" s="3">
        <v>286.03500000000003</v>
      </c>
      <c r="F46" s="2">
        <v>-2.0499999999999998</v>
      </c>
      <c r="H46" s="2">
        <v>30890.560000000001</v>
      </c>
      <c r="I46" s="16">
        <f t="shared" si="2"/>
        <v>107.9957347877008</v>
      </c>
      <c r="J46" s="2">
        <v>31.49</v>
      </c>
      <c r="K46">
        <v>0.193</v>
      </c>
      <c r="L46" s="15">
        <f t="shared" si="0"/>
        <v>0</v>
      </c>
      <c r="M46" s="15">
        <f t="shared" si="1"/>
        <v>31.49</v>
      </c>
      <c r="N46" s="18">
        <v>163.15598827470689</v>
      </c>
      <c r="O46" s="8">
        <v>1</v>
      </c>
      <c r="Q46">
        <f>_xlfn.XLOOKUP(A46,'CONSOLIDADO PEAJES'!H:H,'CONSOLIDADO PEAJES'!AC:AC)</f>
        <v>1</v>
      </c>
    </row>
    <row r="47" spans="1:17" x14ac:dyDescent="0.3">
      <c r="A47" t="s">
        <v>547</v>
      </c>
      <c r="B47">
        <v>1296995</v>
      </c>
      <c r="C47" t="s">
        <v>548</v>
      </c>
      <c r="D47" s="8">
        <v>1</v>
      </c>
      <c r="E47" s="3">
        <v>546.10799999999995</v>
      </c>
      <c r="F47" s="2">
        <v>-4.97</v>
      </c>
      <c r="H47" s="2">
        <v>58977.34</v>
      </c>
      <c r="I47" s="16">
        <f t="shared" si="2"/>
        <v>107.99574443150439</v>
      </c>
      <c r="J47" s="2">
        <v>667.63</v>
      </c>
      <c r="K47">
        <v>4.0919999999999996</v>
      </c>
      <c r="L47" s="15">
        <f t="shared" si="0"/>
        <v>0</v>
      </c>
      <c r="M47" s="15">
        <f t="shared" si="1"/>
        <v>667.63</v>
      </c>
      <c r="N47" s="18">
        <v>163.15598827470689</v>
      </c>
      <c r="O47" s="8">
        <v>1</v>
      </c>
      <c r="Q47">
        <f>_xlfn.XLOOKUP(A47,'CONSOLIDADO PEAJES'!H:H,'CONSOLIDADO PEAJES'!AC:AC)</f>
        <v>1</v>
      </c>
    </row>
    <row r="48" spans="1:17" x14ac:dyDescent="0.3">
      <c r="A48" t="s">
        <v>1006</v>
      </c>
      <c r="B48">
        <v>1297930</v>
      </c>
      <c r="C48" t="s">
        <v>1007</v>
      </c>
      <c r="D48" s="8">
        <v>1</v>
      </c>
      <c r="E48" s="3">
        <v>1753.7</v>
      </c>
      <c r="F48" s="2">
        <v>2.39</v>
      </c>
      <c r="H48" s="2">
        <v>189392.15</v>
      </c>
      <c r="I48" s="16">
        <f t="shared" si="2"/>
        <v>107.99575183896903</v>
      </c>
      <c r="J48" s="2">
        <v>195.46</v>
      </c>
      <c r="K48">
        <v>1.198</v>
      </c>
      <c r="L48" s="15">
        <f t="shared" si="0"/>
        <v>0</v>
      </c>
      <c r="M48" s="15">
        <f t="shared" si="1"/>
        <v>195.46</v>
      </c>
      <c r="N48" s="18">
        <v>163.15598827470689</v>
      </c>
      <c r="O48" s="8">
        <v>1</v>
      </c>
      <c r="Q48">
        <f>_xlfn.XLOOKUP(A48,'CONSOLIDADO PEAJES'!H:H,'CONSOLIDADO PEAJES'!AC:AC)</f>
        <v>1</v>
      </c>
    </row>
    <row r="49" spans="1:17" x14ac:dyDescent="0.3">
      <c r="A49" t="s">
        <v>529</v>
      </c>
      <c r="B49">
        <v>1308499</v>
      </c>
      <c r="C49" t="s">
        <v>530</v>
      </c>
      <c r="D49" s="8">
        <v>1</v>
      </c>
      <c r="E49" s="3">
        <v>7779.1639999999998</v>
      </c>
      <c r="F49" s="2">
        <v>-0.78</v>
      </c>
      <c r="H49" s="2">
        <v>1107997.69</v>
      </c>
      <c r="I49" s="16">
        <f t="shared" si="2"/>
        <v>142.43146050141121</v>
      </c>
      <c r="J49" s="2">
        <v>18913.09</v>
      </c>
      <c r="K49">
        <v>95.718000000000004</v>
      </c>
      <c r="L49" s="15">
        <f t="shared" si="0"/>
        <v>0</v>
      </c>
      <c r="M49" s="15">
        <f t="shared" si="1"/>
        <v>18913.09</v>
      </c>
      <c r="N49" s="18">
        <v>197.59164336750544</v>
      </c>
      <c r="O49" s="8">
        <v>1</v>
      </c>
      <c r="Q49">
        <f>_xlfn.XLOOKUP(A49,'CONSOLIDADO PEAJES'!H:H,'CONSOLIDADO PEAJES'!AC:AC)</f>
        <v>0</v>
      </c>
    </row>
    <row r="50" spans="1:17" x14ac:dyDescent="0.3">
      <c r="A50" t="s">
        <v>994</v>
      </c>
      <c r="B50">
        <v>1308503</v>
      </c>
      <c r="C50" t="s">
        <v>995</v>
      </c>
      <c r="D50" s="8">
        <v>1</v>
      </c>
      <c r="E50" s="3">
        <v>14742.199000000001</v>
      </c>
      <c r="F50" s="2">
        <v>-4.84</v>
      </c>
      <c r="H50" s="2">
        <v>1592094.84</v>
      </c>
      <c r="I50" s="16">
        <f t="shared" si="2"/>
        <v>107.99575015911806</v>
      </c>
      <c r="L50" s="15">
        <f t="shared" si="0"/>
        <v>0</v>
      </c>
      <c r="M50" s="15">
        <f t="shared" si="1"/>
        <v>0</v>
      </c>
      <c r="N50" s="18">
        <v>163.15598827470689</v>
      </c>
      <c r="O50" s="8">
        <v>1</v>
      </c>
      <c r="Q50">
        <f>_xlfn.XLOOKUP(A50,'CONSOLIDADO PEAJES'!H:H,'CONSOLIDADO PEAJES'!AC:AC)</f>
        <v>1</v>
      </c>
    </row>
    <row r="51" spans="1:17" x14ac:dyDescent="0.3">
      <c r="A51" t="s">
        <v>1515</v>
      </c>
      <c r="B51">
        <v>1320950</v>
      </c>
      <c r="C51" t="s">
        <v>1516</v>
      </c>
      <c r="D51" s="8">
        <v>1</v>
      </c>
      <c r="E51" s="3">
        <v>4079.0430000000001</v>
      </c>
      <c r="F51" s="2">
        <v>0.8</v>
      </c>
      <c r="H51" s="2">
        <v>580984.05000000005</v>
      </c>
      <c r="I51" s="16">
        <f t="shared" si="2"/>
        <v>142.43146002628558</v>
      </c>
      <c r="J51" s="2">
        <v>20155.150000000001</v>
      </c>
      <c r="K51">
        <v>102.004</v>
      </c>
      <c r="L51" s="15">
        <f t="shared" si="0"/>
        <v>0</v>
      </c>
      <c r="M51" s="15">
        <f t="shared" si="1"/>
        <v>20155.150000000001</v>
      </c>
      <c r="N51" s="18">
        <v>197.59164336750544</v>
      </c>
      <c r="O51" s="8">
        <v>1</v>
      </c>
      <c r="Q51">
        <f>_xlfn.XLOOKUP(A51,'CONSOLIDADO PEAJES'!H:H,'CONSOLIDADO PEAJES'!AC:AC)</f>
        <v>0</v>
      </c>
    </row>
    <row r="52" spans="1:17" x14ac:dyDescent="0.3">
      <c r="A52" t="s">
        <v>103</v>
      </c>
      <c r="B52">
        <v>1320917</v>
      </c>
      <c r="C52" t="s">
        <v>104</v>
      </c>
      <c r="D52" s="8">
        <v>1</v>
      </c>
      <c r="E52" s="3">
        <v>3605.6970000000001</v>
      </c>
      <c r="F52" s="2">
        <v>-2.8</v>
      </c>
      <c r="H52" s="2">
        <v>389399.95</v>
      </c>
      <c r="I52" s="16">
        <f t="shared" si="2"/>
        <v>107.9957495041874</v>
      </c>
      <c r="J52" s="2">
        <v>23112.85</v>
      </c>
      <c r="K52">
        <v>141.661</v>
      </c>
      <c r="L52" s="15">
        <f t="shared" si="0"/>
        <v>0</v>
      </c>
      <c r="M52" s="15">
        <f t="shared" si="1"/>
        <v>23112.85</v>
      </c>
      <c r="N52" s="18">
        <v>163.15598827470689</v>
      </c>
      <c r="O52" s="8">
        <v>1</v>
      </c>
      <c r="Q52">
        <f>_xlfn.XLOOKUP(A52,'CONSOLIDADO PEAJES'!H:H,'CONSOLIDADO PEAJES'!AC:AC)</f>
        <v>1</v>
      </c>
    </row>
    <row r="53" spans="1:17" x14ac:dyDescent="0.3">
      <c r="A53" t="s">
        <v>868</v>
      </c>
      <c r="B53">
        <v>1320924</v>
      </c>
      <c r="C53" t="s">
        <v>869</v>
      </c>
      <c r="D53" s="8">
        <v>1</v>
      </c>
      <c r="E53" s="3">
        <v>5094.3469999999998</v>
      </c>
      <c r="F53" s="2">
        <v>4.87</v>
      </c>
      <c r="H53" s="2">
        <v>725595.28</v>
      </c>
      <c r="I53" s="16">
        <f t="shared" si="2"/>
        <v>142.43145981221932</v>
      </c>
      <c r="J53" s="2">
        <v>4409.8500000000004</v>
      </c>
      <c r="K53">
        <v>22.318000000000001</v>
      </c>
      <c r="L53" s="15">
        <f t="shared" si="0"/>
        <v>0</v>
      </c>
      <c r="M53" s="15">
        <f t="shared" si="1"/>
        <v>4409.8500000000004</v>
      </c>
      <c r="N53" s="18">
        <v>197.59164336750544</v>
      </c>
      <c r="O53" s="8">
        <v>1</v>
      </c>
      <c r="Q53">
        <f>_xlfn.XLOOKUP(A53,'CONSOLIDADO PEAJES'!H:H,'CONSOLIDADO PEAJES'!AC:AC)</f>
        <v>0</v>
      </c>
    </row>
    <row r="54" spans="1:17" x14ac:dyDescent="0.3">
      <c r="A54" t="s">
        <v>580</v>
      </c>
      <c r="B54">
        <v>1329767</v>
      </c>
      <c r="C54" t="s">
        <v>581</v>
      </c>
      <c r="D54" s="8">
        <v>1</v>
      </c>
      <c r="E54" s="3">
        <v>16074.236000000001</v>
      </c>
      <c r="F54" s="2">
        <v>3.1</v>
      </c>
      <c r="H54" s="2">
        <v>2289476.9</v>
      </c>
      <c r="I54" s="16">
        <f t="shared" si="2"/>
        <v>142.43145988400317</v>
      </c>
      <c r="L54" s="15">
        <f t="shared" si="0"/>
        <v>0</v>
      </c>
      <c r="M54" s="15">
        <f t="shared" si="1"/>
        <v>0</v>
      </c>
      <c r="N54" s="18">
        <v>197.59164336750544</v>
      </c>
      <c r="O54" s="8">
        <v>1</v>
      </c>
      <c r="Q54">
        <f>_xlfn.XLOOKUP(A54,'CONSOLIDADO PEAJES'!H:H,'CONSOLIDADO PEAJES'!AC:AC)</f>
        <v>0</v>
      </c>
    </row>
    <row r="55" spans="1:17" x14ac:dyDescent="0.3">
      <c r="A55" t="s">
        <v>1482</v>
      </c>
      <c r="B55">
        <v>1335625</v>
      </c>
      <c r="C55" t="s">
        <v>1483</v>
      </c>
      <c r="D55" s="8">
        <v>1</v>
      </c>
      <c r="E55" s="3">
        <v>15832.103999999999</v>
      </c>
      <c r="F55" s="2">
        <v>0.05</v>
      </c>
      <c r="H55" s="2">
        <v>1709799.95</v>
      </c>
      <c r="I55" s="16">
        <f t="shared" si="2"/>
        <v>107.99575028056915</v>
      </c>
      <c r="L55" s="15">
        <f t="shared" si="0"/>
        <v>0</v>
      </c>
      <c r="M55" s="15">
        <f t="shared" si="1"/>
        <v>0</v>
      </c>
      <c r="N55" s="18">
        <v>163.15598827470689</v>
      </c>
      <c r="O55" s="8">
        <v>1</v>
      </c>
      <c r="Q55">
        <f>_xlfn.XLOOKUP(A55,'CONSOLIDADO PEAJES'!H:H,'CONSOLIDADO PEAJES'!AC:AC)</f>
        <v>1</v>
      </c>
    </row>
    <row r="56" spans="1:17" x14ac:dyDescent="0.3">
      <c r="A56" t="s">
        <v>1370</v>
      </c>
      <c r="B56">
        <v>1335630</v>
      </c>
      <c r="C56" t="s">
        <v>1371</v>
      </c>
      <c r="D56" s="8">
        <v>1</v>
      </c>
      <c r="E56" s="3">
        <v>6878.576</v>
      </c>
      <c r="F56" s="2">
        <v>3.79</v>
      </c>
      <c r="H56" s="2">
        <v>979725.62</v>
      </c>
      <c r="I56" s="16">
        <f t="shared" si="2"/>
        <v>142.43145965095101</v>
      </c>
      <c r="J56" s="2">
        <v>0.59</v>
      </c>
      <c r="K56">
        <v>3.0000000000000001E-3</v>
      </c>
      <c r="L56" s="15">
        <f t="shared" si="0"/>
        <v>0</v>
      </c>
      <c r="M56" s="15">
        <f t="shared" si="1"/>
        <v>0.59</v>
      </c>
      <c r="N56" s="18">
        <v>197.59164336750544</v>
      </c>
      <c r="O56" s="8">
        <v>1</v>
      </c>
      <c r="Q56">
        <f>_xlfn.XLOOKUP(A56,'CONSOLIDADO PEAJES'!H:H,'CONSOLIDADO PEAJES'!AC:AC)</f>
        <v>0</v>
      </c>
    </row>
    <row r="57" spans="1:17" x14ac:dyDescent="0.3">
      <c r="A57" t="s">
        <v>565</v>
      </c>
      <c r="B57">
        <v>1338505</v>
      </c>
      <c r="C57" t="s">
        <v>566</v>
      </c>
      <c r="D57" s="8">
        <v>1</v>
      </c>
      <c r="E57" s="3">
        <v>462.85300000000001</v>
      </c>
      <c r="F57" s="2">
        <v>3.38</v>
      </c>
      <c r="H57" s="2">
        <v>65924.83</v>
      </c>
      <c r="I57" s="16">
        <f t="shared" si="2"/>
        <v>142.43146312112054</v>
      </c>
      <c r="J57" s="2">
        <v>1641.79</v>
      </c>
      <c r="K57">
        <v>8.3089999999999993</v>
      </c>
      <c r="L57" s="15">
        <f t="shared" si="0"/>
        <v>0</v>
      </c>
      <c r="M57" s="15">
        <f t="shared" si="1"/>
        <v>1641.79</v>
      </c>
      <c r="N57" s="18">
        <v>197.59164336750544</v>
      </c>
      <c r="O57" s="8">
        <v>1</v>
      </c>
      <c r="Q57">
        <f>_xlfn.XLOOKUP(A57,'CONSOLIDADO PEAJES'!H:H,'CONSOLIDADO PEAJES'!AC:AC)</f>
        <v>0</v>
      </c>
    </row>
    <row r="58" spans="1:17" x14ac:dyDescent="0.3">
      <c r="A58" t="s">
        <v>1000</v>
      </c>
      <c r="B58">
        <v>1338511</v>
      </c>
      <c r="C58" t="s">
        <v>1001</v>
      </c>
      <c r="D58" s="8">
        <v>1</v>
      </c>
      <c r="E58" s="3">
        <v>767.58</v>
      </c>
      <c r="F58" s="2">
        <v>-1.38</v>
      </c>
      <c r="H58" s="2">
        <v>82895.38</v>
      </c>
      <c r="I58" s="16">
        <f t="shared" si="2"/>
        <v>107.9957528856927</v>
      </c>
      <c r="J58" s="2">
        <v>186</v>
      </c>
      <c r="K58">
        <v>1.1399999999999999</v>
      </c>
      <c r="L58" s="15">
        <f t="shared" si="0"/>
        <v>0</v>
      </c>
      <c r="M58" s="15">
        <f t="shared" si="1"/>
        <v>186</v>
      </c>
      <c r="N58" s="18">
        <v>163.15598827470689</v>
      </c>
      <c r="O58" s="8">
        <v>1</v>
      </c>
      <c r="Q58">
        <f>_xlfn.XLOOKUP(A58,'CONSOLIDADO PEAJES'!H:H,'CONSOLIDADO PEAJES'!AC:AC)</f>
        <v>1</v>
      </c>
    </row>
    <row r="59" spans="1:17" x14ac:dyDescent="0.3">
      <c r="A59" t="s">
        <v>1012</v>
      </c>
      <c r="B59">
        <v>1340622</v>
      </c>
      <c r="C59" t="s">
        <v>1013</v>
      </c>
      <c r="D59" s="8">
        <v>1</v>
      </c>
      <c r="E59" s="3">
        <v>1632.617</v>
      </c>
      <c r="F59" s="2">
        <v>-0.38</v>
      </c>
      <c r="H59" s="2">
        <v>176315.7</v>
      </c>
      <c r="I59" s="16">
        <f t="shared" si="2"/>
        <v>107.99575160616361</v>
      </c>
      <c r="J59" s="2">
        <v>14.68</v>
      </c>
      <c r="K59">
        <v>0.09</v>
      </c>
      <c r="L59" s="15">
        <f t="shared" si="0"/>
        <v>0</v>
      </c>
      <c r="M59" s="15">
        <f t="shared" si="1"/>
        <v>14.68</v>
      </c>
      <c r="N59" s="18">
        <v>163.15598827470689</v>
      </c>
      <c r="O59" s="8">
        <v>1</v>
      </c>
      <c r="Q59">
        <f>_xlfn.XLOOKUP(A59,'CONSOLIDADO PEAJES'!H:H,'CONSOLIDADO PEAJES'!AC:AC)</f>
        <v>1</v>
      </c>
    </row>
    <row r="60" spans="1:17" x14ac:dyDescent="0.3">
      <c r="A60" t="s">
        <v>1015</v>
      </c>
      <c r="B60">
        <v>1338515</v>
      </c>
      <c r="C60" t="s">
        <v>1016</v>
      </c>
      <c r="D60" s="8">
        <v>1</v>
      </c>
      <c r="E60" s="3">
        <v>7384.3609999999999</v>
      </c>
      <c r="F60" s="2">
        <v>1.76</v>
      </c>
      <c r="H60" s="2">
        <v>797479.6</v>
      </c>
      <c r="I60" s="16">
        <f t="shared" si="2"/>
        <v>107.99574939524219</v>
      </c>
      <c r="J60" s="2">
        <v>64678.64</v>
      </c>
      <c r="K60">
        <v>396.42200000000003</v>
      </c>
      <c r="L60" s="15">
        <f t="shared" si="0"/>
        <v>0</v>
      </c>
      <c r="M60" s="15">
        <f t="shared" si="1"/>
        <v>64678.64</v>
      </c>
      <c r="N60" s="18">
        <v>163.15598827470689</v>
      </c>
      <c r="O60" s="8">
        <v>1</v>
      </c>
      <c r="Q60">
        <f>_xlfn.XLOOKUP(A60,'CONSOLIDADO PEAJES'!H:H,'CONSOLIDADO PEAJES'!AC:AC)</f>
        <v>1</v>
      </c>
    </row>
    <row r="61" spans="1:17" x14ac:dyDescent="0.3">
      <c r="A61" t="s">
        <v>574</v>
      </c>
      <c r="B61">
        <v>1340623</v>
      </c>
      <c r="C61" t="s">
        <v>575</v>
      </c>
      <c r="D61" s="8">
        <v>1</v>
      </c>
      <c r="E61" s="3">
        <v>11052.638999999999</v>
      </c>
      <c r="F61" s="2">
        <v>-3.12</v>
      </c>
      <c r="H61" s="2">
        <v>1193638.04</v>
      </c>
      <c r="I61" s="16">
        <f t="shared" si="2"/>
        <v>107.99575015523443</v>
      </c>
      <c r="J61" s="2">
        <v>46835.08</v>
      </c>
      <c r="K61">
        <v>287.05700000000002</v>
      </c>
      <c r="L61" s="15">
        <f t="shared" si="0"/>
        <v>0</v>
      </c>
      <c r="M61" s="15">
        <f t="shared" si="1"/>
        <v>46835.08</v>
      </c>
      <c r="N61" s="18">
        <v>163.15598827470689</v>
      </c>
      <c r="O61" s="8">
        <v>1</v>
      </c>
      <c r="Q61">
        <f>_xlfn.XLOOKUP(A61,'CONSOLIDADO PEAJES'!H:H,'CONSOLIDADO PEAJES'!AC:AC)</f>
        <v>1</v>
      </c>
    </row>
    <row r="62" spans="1:17" x14ac:dyDescent="0.3">
      <c r="A62" t="s">
        <v>1485</v>
      </c>
      <c r="B62">
        <v>1340625</v>
      </c>
      <c r="C62" t="s">
        <v>1486</v>
      </c>
      <c r="D62" s="8">
        <v>1</v>
      </c>
      <c r="E62" s="3">
        <v>12408.992</v>
      </c>
      <c r="F62" s="2">
        <v>-4.72</v>
      </c>
      <c r="H62" s="2">
        <v>1340118.3999999999</v>
      </c>
      <c r="I62" s="16">
        <f t="shared" si="2"/>
        <v>107.99575017858017</v>
      </c>
      <c r="J62" s="2">
        <v>19876.32</v>
      </c>
      <c r="K62">
        <v>121.824</v>
      </c>
      <c r="L62" s="15">
        <f t="shared" si="0"/>
        <v>0</v>
      </c>
      <c r="M62" s="15">
        <f t="shared" si="1"/>
        <v>19876.32</v>
      </c>
      <c r="N62" s="18">
        <v>163.15598827470689</v>
      </c>
      <c r="O62" s="8">
        <v>1</v>
      </c>
      <c r="Q62">
        <f>_xlfn.XLOOKUP(A62,'CONSOLIDADO PEAJES'!H:H,'CONSOLIDADO PEAJES'!AC:AC)</f>
        <v>1</v>
      </c>
    </row>
    <row r="63" spans="1:17" x14ac:dyDescent="0.3">
      <c r="A63" t="s">
        <v>1358</v>
      </c>
      <c r="B63">
        <v>1340426</v>
      </c>
      <c r="C63" t="s">
        <v>1359</v>
      </c>
      <c r="D63" s="8">
        <v>1</v>
      </c>
      <c r="E63" s="3">
        <v>3561.857</v>
      </c>
      <c r="F63" s="2">
        <v>-0.49</v>
      </c>
      <c r="H63" s="2">
        <v>507320.49</v>
      </c>
      <c r="I63" s="16">
        <f t="shared" si="2"/>
        <v>142.43145920793563</v>
      </c>
      <c r="L63" s="15">
        <f t="shared" si="0"/>
        <v>0</v>
      </c>
      <c r="M63" s="15">
        <f t="shared" si="1"/>
        <v>0</v>
      </c>
      <c r="N63" s="18">
        <v>197.59164336750544</v>
      </c>
      <c r="O63" s="8">
        <v>1</v>
      </c>
      <c r="Q63">
        <f>_xlfn.XLOOKUP(A63,'CONSOLIDADO PEAJES'!H:H,'CONSOLIDADO PEAJES'!AC:AC)</f>
        <v>0</v>
      </c>
    </row>
    <row r="64" spans="1:17" x14ac:dyDescent="0.3">
      <c r="A64" t="s">
        <v>1494</v>
      </c>
      <c r="B64">
        <v>1340971</v>
      </c>
      <c r="C64" t="s">
        <v>1495</v>
      </c>
      <c r="D64" s="8">
        <v>1</v>
      </c>
      <c r="E64" s="3">
        <v>2890.4079999999999</v>
      </c>
      <c r="F64" s="2">
        <v>3.2</v>
      </c>
      <c r="H64" s="2">
        <v>411685.03</v>
      </c>
      <c r="I64" s="16">
        <f t="shared" si="2"/>
        <v>142.43145950329506</v>
      </c>
      <c r="J64" s="2">
        <v>51.77</v>
      </c>
      <c r="K64">
        <v>0.26200000000000001</v>
      </c>
      <c r="L64" s="15">
        <f t="shared" si="0"/>
        <v>0</v>
      </c>
      <c r="M64" s="15">
        <f t="shared" si="1"/>
        <v>51.77</v>
      </c>
      <c r="N64" s="18">
        <v>197.59164336750544</v>
      </c>
      <c r="O64" s="8">
        <v>1</v>
      </c>
      <c r="Q64">
        <f>_xlfn.XLOOKUP(A64,'CONSOLIDADO PEAJES'!H:H,'CONSOLIDADO PEAJES'!AC:AC)</f>
        <v>0</v>
      </c>
    </row>
    <row r="65" spans="1:17" x14ac:dyDescent="0.3">
      <c r="A65" t="s">
        <v>1319</v>
      </c>
      <c r="B65">
        <v>1340634</v>
      </c>
      <c r="C65" t="s">
        <v>1320</v>
      </c>
      <c r="D65" s="8">
        <v>1</v>
      </c>
      <c r="E65" s="3">
        <v>1220.367</v>
      </c>
      <c r="F65" s="2">
        <v>-0.93</v>
      </c>
      <c r="H65" s="2">
        <v>131794.45000000001</v>
      </c>
      <c r="I65" s="16">
        <f t="shared" si="2"/>
        <v>107.99575045867351</v>
      </c>
      <c r="J65" s="2">
        <v>2696.48</v>
      </c>
      <c r="K65">
        <v>16.527000000000001</v>
      </c>
      <c r="L65" s="15">
        <f t="shared" si="0"/>
        <v>0</v>
      </c>
      <c r="M65" s="15">
        <f t="shared" si="1"/>
        <v>2696.48</v>
      </c>
      <c r="N65" s="18">
        <v>163.15598827470689</v>
      </c>
      <c r="O65" s="8">
        <v>1</v>
      </c>
      <c r="Q65">
        <f>_xlfn.XLOOKUP(A65,'CONSOLIDADO PEAJES'!H:H,'CONSOLIDADO PEAJES'!AC:AC)</f>
        <v>1</v>
      </c>
    </row>
    <row r="66" spans="1:17" x14ac:dyDescent="0.3">
      <c r="A66" t="s">
        <v>836</v>
      </c>
      <c r="B66">
        <v>1340403</v>
      </c>
      <c r="C66" t="s">
        <v>837</v>
      </c>
      <c r="D66" s="8">
        <v>1</v>
      </c>
      <c r="E66" s="3">
        <v>2087.665</v>
      </c>
      <c r="F66" s="2">
        <v>0.83</v>
      </c>
      <c r="H66" s="2">
        <v>297349.17</v>
      </c>
      <c r="I66" s="16">
        <f t="shared" si="2"/>
        <v>142.43145811229292</v>
      </c>
      <c r="L66" s="15">
        <f t="shared" ref="L66:L129" si="4">(J66*O66)-J66</f>
        <v>0</v>
      </c>
      <c r="M66" s="15">
        <f t="shared" ref="M66:M129" si="5">(J66*O66)</f>
        <v>0</v>
      </c>
      <c r="N66" s="18">
        <v>197.59164336750544</v>
      </c>
      <c r="O66" s="8">
        <v>1</v>
      </c>
      <c r="Q66">
        <f>_xlfn.XLOOKUP(A66,'CONSOLIDADO PEAJES'!H:H,'CONSOLIDADO PEAJES'!AC:AC)</f>
        <v>0</v>
      </c>
    </row>
    <row r="67" spans="1:17" x14ac:dyDescent="0.3">
      <c r="A67" t="s">
        <v>1018</v>
      </c>
      <c r="B67">
        <v>1340677</v>
      </c>
      <c r="C67" t="s">
        <v>1019</v>
      </c>
      <c r="D67" s="8">
        <v>1</v>
      </c>
      <c r="E67" s="3">
        <v>2196.9259999999999</v>
      </c>
      <c r="F67" s="2">
        <v>0.12</v>
      </c>
      <c r="H67" s="2">
        <v>237258.67</v>
      </c>
      <c r="I67" s="16">
        <f t="shared" ref="I67:I130" si="6">(G67+H67)/E67</f>
        <v>107.99574951545934</v>
      </c>
      <c r="J67" s="2">
        <v>10021.209999999999</v>
      </c>
      <c r="K67">
        <v>61.420999999999999</v>
      </c>
      <c r="L67" s="15">
        <f t="shared" si="4"/>
        <v>0</v>
      </c>
      <c r="M67" s="15">
        <f t="shared" si="5"/>
        <v>10021.209999999999</v>
      </c>
      <c r="N67" s="18">
        <v>163.15598827470689</v>
      </c>
      <c r="O67" s="8">
        <v>1</v>
      </c>
      <c r="Q67">
        <f>_xlfn.XLOOKUP(A67,'CONSOLIDADO PEAJES'!H:H,'CONSOLIDADO PEAJES'!AC:AC)</f>
        <v>1</v>
      </c>
    </row>
    <row r="68" spans="1:17" x14ac:dyDescent="0.3">
      <c r="A68" t="s">
        <v>577</v>
      </c>
      <c r="B68">
        <v>1340678</v>
      </c>
      <c r="C68" t="s">
        <v>578</v>
      </c>
      <c r="D68" s="8">
        <v>1</v>
      </c>
      <c r="E68" s="3">
        <v>4963.7929999999997</v>
      </c>
      <c r="F68" s="2">
        <v>0.24</v>
      </c>
      <c r="H68" s="2">
        <v>536068.55000000005</v>
      </c>
      <c r="I68" s="16">
        <f t="shared" si="6"/>
        <v>107.99575042714314</v>
      </c>
      <c r="J68" s="2">
        <v>21.21</v>
      </c>
      <c r="K68">
        <v>0.13</v>
      </c>
      <c r="L68" s="15">
        <f t="shared" si="4"/>
        <v>0</v>
      </c>
      <c r="M68" s="15">
        <f t="shared" si="5"/>
        <v>21.21</v>
      </c>
      <c r="N68" s="18">
        <v>163.15598827470689</v>
      </c>
      <c r="O68" s="8">
        <v>1</v>
      </c>
      <c r="Q68">
        <f>_xlfn.XLOOKUP(A68,'CONSOLIDADO PEAJES'!H:H,'CONSOLIDADO PEAJES'!AC:AC)</f>
        <v>1</v>
      </c>
    </row>
    <row r="69" spans="1:17" x14ac:dyDescent="0.3">
      <c r="A69" t="s">
        <v>568</v>
      </c>
      <c r="B69">
        <v>1340674</v>
      </c>
      <c r="C69" t="s">
        <v>569</v>
      </c>
      <c r="D69" s="8">
        <v>1</v>
      </c>
      <c r="E69" s="3">
        <v>5109.8410000000003</v>
      </c>
      <c r="F69" s="2">
        <v>3.79</v>
      </c>
      <c r="H69" s="2">
        <v>551841.11</v>
      </c>
      <c r="I69" s="16">
        <f t="shared" si="6"/>
        <v>107.99574976990476</v>
      </c>
      <c r="J69" s="2">
        <v>29445.1</v>
      </c>
      <c r="K69">
        <v>180.47200000000001</v>
      </c>
      <c r="L69" s="15">
        <f t="shared" si="4"/>
        <v>0</v>
      </c>
      <c r="M69" s="15">
        <f t="shared" si="5"/>
        <v>29445.1</v>
      </c>
      <c r="N69" s="18">
        <v>163.15598827470689</v>
      </c>
      <c r="O69" s="8">
        <v>1</v>
      </c>
      <c r="Q69">
        <f>_xlfn.XLOOKUP(A69,'CONSOLIDADO PEAJES'!H:H,'CONSOLIDADO PEAJES'!AC:AC)</f>
        <v>1</v>
      </c>
    </row>
    <row r="70" spans="1:17" x14ac:dyDescent="0.3">
      <c r="A70" t="s">
        <v>145</v>
      </c>
      <c r="B70">
        <v>1342232</v>
      </c>
      <c r="C70" t="s">
        <v>146</v>
      </c>
      <c r="D70" s="8">
        <v>1</v>
      </c>
      <c r="E70" s="3">
        <v>3914.8359999999998</v>
      </c>
      <c r="F70" s="2">
        <v>0.79</v>
      </c>
      <c r="H70" s="2">
        <v>422785.65</v>
      </c>
      <c r="I70" s="16">
        <f t="shared" si="6"/>
        <v>107.99575001353826</v>
      </c>
      <c r="J70" s="2">
        <v>12483.56</v>
      </c>
      <c r="K70">
        <v>76.513000000000005</v>
      </c>
      <c r="L70" s="15">
        <f t="shared" si="4"/>
        <v>0</v>
      </c>
      <c r="M70" s="15">
        <f t="shared" si="5"/>
        <v>12483.56</v>
      </c>
      <c r="N70" s="18">
        <v>163.15598827470689</v>
      </c>
      <c r="O70" s="8">
        <v>1</v>
      </c>
      <c r="Q70">
        <f>_xlfn.XLOOKUP(A70,'CONSOLIDADO PEAJES'!H:H,'CONSOLIDADO PEAJES'!AC:AC)</f>
        <v>1</v>
      </c>
    </row>
    <row r="71" spans="1:17" x14ac:dyDescent="0.3">
      <c r="A71" t="s">
        <v>718</v>
      </c>
      <c r="B71">
        <v>1342235</v>
      </c>
      <c r="C71" t="s">
        <v>719</v>
      </c>
      <c r="D71" s="8">
        <v>1</v>
      </c>
      <c r="E71" s="3">
        <v>3294.5439999999999</v>
      </c>
      <c r="F71" s="2">
        <v>3.29</v>
      </c>
      <c r="H71" s="2">
        <v>469246.71</v>
      </c>
      <c r="I71" s="16">
        <f t="shared" si="6"/>
        <v>142.43145940682535</v>
      </c>
      <c r="L71" s="15">
        <f t="shared" si="4"/>
        <v>0</v>
      </c>
      <c r="M71" s="15">
        <f t="shared" si="5"/>
        <v>0</v>
      </c>
      <c r="N71" s="18">
        <v>197.59164336750544</v>
      </c>
      <c r="O71" s="8">
        <v>1</v>
      </c>
      <c r="Q71">
        <f>_xlfn.XLOOKUP(A71,'CONSOLIDADO PEAJES'!H:H,'CONSOLIDADO PEAJES'!AC:AC)</f>
        <v>0</v>
      </c>
    </row>
    <row r="72" spans="1:17" x14ac:dyDescent="0.3">
      <c r="A72" t="s">
        <v>748</v>
      </c>
      <c r="B72">
        <v>1342238</v>
      </c>
      <c r="C72" t="s">
        <v>749</v>
      </c>
      <c r="D72" s="8">
        <v>1</v>
      </c>
      <c r="E72" s="3">
        <v>5628.4340000000002</v>
      </c>
      <c r="F72" s="2">
        <v>4.16</v>
      </c>
      <c r="H72" s="2">
        <v>801666.07</v>
      </c>
      <c r="I72" s="16">
        <f t="shared" si="6"/>
        <v>142.43145962091762</v>
      </c>
      <c r="J72" s="2">
        <v>379.77</v>
      </c>
      <c r="K72">
        <v>1.9219999999999999</v>
      </c>
      <c r="L72" s="15">
        <f t="shared" si="4"/>
        <v>0</v>
      </c>
      <c r="M72" s="15">
        <f t="shared" si="5"/>
        <v>379.77</v>
      </c>
      <c r="N72" s="18">
        <v>197.59164336750544</v>
      </c>
      <c r="O72" s="8">
        <v>1</v>
      </c>
      <c r="Q72">
        <f>_xlfn.XLOOKUP(A72,'CONSOLIDADO PEAJES'!H:H,'CONSOLIDADO PEAJES'!AC:AC)</f>
        <v>0</v>
      </c>
    </row>
    <row r="73" spans="1:17" x14ac:dyDescent="0.3">
      <c r="A73" t="s">
        <v>1138</v>
      </c>
      <c r="B73">
        <v>1342242</v>
      </c>
      <c r="C73" t="s">
        <v>1139</v>
      </c>
      <c r="D73" s="8">
        <v>1</v>
      </c>
      <c r="E73" s="3">
        <v>4229.4709999999995</v>
      </c>
      <c r="F73" s="2">
        <v>4.09</v>
      </c>
      <c r="H73" s="2">
        <v>602409.73</v>
      </c>
      <c r="I73" s="16">
        <f t="shared" si="6"/>
        <v>142.4314601045852</v>
      </c>
      <c r="J73" s="2">
        <v>115246.18</v>
      </c>
      <c r="K73">
        <v>583.25400000000002</v>
      </c>
      <c r="L73" s="15">
        <f t="shared" si="4"/>
        <v>0</v>
      </c>
      <c r="M73" s="15">
        <f t="shared" si="5"/>
        <v>115246.18</v>
      </c>
      <c r="N73" s="18">
        <v>197.59164336750544</v>
      </c>
      <c r="O73" s="8">
        <v>1</v>
      </c>
      <c r="Q73">
        <f>_xlfn.XLOOKUP(A73,'CONSOLIDADO PEAJES'!H:H,'CONSOLIDADO PEAJES'!AC:AC)</f>
        <v>0</v>
      </c>
    </row>
    <row r="74" spans="1:17" x14ac:dyDescent="0.3">
      <c r="A74" t="s">
        <v>751</v>
      </c>
      <c r="B74">
        <v>1342245</v>
      </c>
      <c r="C74" t="s">
        <v>752</v>
      </c>
      <c r="D74" s="8">
        <v>1</v>
      </c>
      <c r="E74" s="3">
        <v>3278.4609999999998</v>
      </c>
      <c r="F74" s="2">
        <v>0.92</v>
      </c>
      <c r="H74" s="2">
        <v>466955.99</v>
      </c>
      <c r="I74" s="16">
        <f t="shared" si="6"/>
        <v>142.43146098123481</v>
      </c>
      <c r="J74" s="2">
        <v>173.09</v>
      </c>
      <c r="K74">
        <v>0.876</v>
      </c>
      <c r="L74" s="15">
        <f t="shared" si="4"/>
        <v>0</v>
      </c>
      <c r="M74" s="15">
        <f t="shared" si="5"/>
        <v>173.09</v>
      </c>
      <c r="N74" s="18">
        <v>197.59164336750544</v>
      </c>
      <c r="O74" s="8">
        <v>1</v>
      </c>
      <c r="Q74">
        <f>_xlfn.XLOOKUP(A74,'CONSOLIDADO PEAJES'!H:H,'CONSOLIDADO PEAJES'!AC:AC)</f>
        <v>0</v>
      </c>
    </row>
    <row r="75" spans="1:17" x14ac:dyDescent="0.3">
      <c r="A75" t="s">
        <v>183</v>
      </c>
      <c r="B75">
        <v>1342257</v>
      </c>
      <c r="C75" t="s">
        <v>184</v>
      </c>
      <c r="D75" s="8">
        <v>1</v>
      </c>
      <c r="E75" s="3">
        <v>1993.213</v>
      </c>
      <c r="F75" s="2">
        <v>0.42</v>
      </c>
      <c r="H75" s="2">
        <v>283896.24</v>
      </c>
      <c r="I75" s="16">
        <f t="shared" si="6"/>
        <v>142.43146116345818</v>
      </c>
      <c r="J75" s="2">
        <v>103.34</v>
      </c>
      <c r="K75">
        <v>0.52300000000000002</v>
      </c>
      <c r="L75" s="15">
        <f t="shared" si="4"/>
        <v>0</v>
      </c>
      <c r="M75" s="15">
        <f t="shared" si="5"/>
        <v>103.34</v>
      </c>
      <c r="N75" s="18">
        <v>197.59164336750544</v>
      </c>
      <c r="O75" s="8">
        <v>1</v>
      </c>
      <c r="Q75">
        <f>_xlfn.XLOOKUP(A75,'CONSOLIDADO PEAJES'!H:H,'CONSOLIDADO PEAJES'!AC:AC)</f>
        <v>0</v>
      </c>
    </row>
    <row r="76" spans="1:17" x14ac:dyDescent="0.3">
      <c r="A76" t="s">
        <v>1141</v>
      </c>
      <c r="B76">
        <v>1345468</v>
      </c>
      <c r="C76" t="s">
        <v>1142</v>
      </c>
      <c r="D76" s="8">
        <v>1</v>
      </c>
      <c r="E76" s="3">
        <v>971.89499999999998</v>
      </c>
      <c r="F76" s="2">
        <v>-2.66</v>
      </c>
      <c r="H76" s="2">
        <v>104960.53</v>
      </c>
      <c r="I76" s="16">
        <f t="shared" si="6"/>
        <v>107.99575056976319</v>
      </c>
      <c r="J76" s="2">
        <v>5292.13</v>
      </c>
      <c r="K76">
        <v>32.436</v>
      </c>
      <c r="L76" s="15">
        <f t="shared" si="4"/>
        <v>0</v>
      </c>
      <c r="M76" s="15">
        <f t="shared" si="5"/>
        <v>5292.13</v>
      </c>
      <c r="N76" s="18">
        <v>163.15598827470689</v>
      </c>
      <c r="O76" s="8">
        <v>1</v>
      </c>
      <c r="Q76">
        <f>_xlfn.XLOOKUP(A76,'CONSOLIDADO PEAJES'!H:H,'CONSOLIDADO PEAJES'!AC:AC)</f>
        <v>1</v>
      </c>
    </row>
    <row r="77" spans="1:17" x14ac:dyDescent="0.3">
      <c r="A77" t="s">
        <v>190</v>
      </c>
      <c r="B77">
        <v>1345472</v>
      </c>
      <c r="C77" t="s">
        <v>191</v>
      </c>
      <c r="D77" s="8">
        <v>1</v>
      </c>
      <c r="E77" s="3">
        <v>2152.326</v>
      </c>
      <c r="F77" s="2">
        <v>-2.06</v>
      </c>
      <c r="H77" s="2">
        <v>232442.06</v>
      </c>
      <c r="I77" s="16">
        <f t="shared" si="6"/>
        <v>107.99574971449492</v>
      </c>
      <c r="L77" s="15">
        <f t="shared" si="4"/>
        <v>0</v>
      </c>
      <c r="M77" s="15">
        <f t="shared" si="5"/>
        <v>0</v>
      </c>
      <c r="N77" s="18">
        <v>163.15598827470689</v>
      </c>
      <c r="O77" s="8">
        <v>1</v>
      </c>
      <c r="Q77">
        <f>_xlfn.XLOOKUP(A77,'CONSOLIDADO PEAJES'!H:H,'CONSOLIDADO PEAJES'!AC:AC)</f>
        <v>1</v>
      </c>
    </row>
    <row r="78" spans="1:17" x14ac:dyDescent="0.3">
      <c r="A78" t="s">
        <v>760</v>
      </c>
      <c r="B78">
        <v>1345486</v>
      </c>
      <c r="C78" t="s">
        <v>761</v>
      </c>
      <c r="D78" s="8">
        <v>1</v>
      </c>
      <c r="E78" s="3">
        <v>7012.6379999999999</v>
      </c>
      <c r="F78" s="2">
        <v>0.08</v>
      </c>
      <c r="H78" s="2">
        <v>757335.1</v>
      </c>
      <c r="I78" s="16">
        <f t="shared" si="6"/>
        <v>107.99574995885999</v>
      </c>
      <c r="J78" s="2">
        <v>0</v>
      </c>
      <c r="K78">
        <v>2380.2049999999999</v>
      </c>
      <c r="L78" s="15">
        <f t="shared" si="4"/>
        <v>0</v>
      </c>
      <c r="M78" s="15">
        <f t="shared" si="5"/>
        <v>0</v>
      </c>
      <c r="N78" s="18">
        <v>163.15598827470689</v>
      </c>
      <c r="O78" s="8">
        <v>1</v>
      </c>
      <c r="P78" s="8" t="s">
        <v>1650</v>
      </c>
      <c r="Q78">
        <f>_xlfn.XLOOKUP(A78,'CONSOLIDADO PEAJES'!H:H,'CONSOLIDADO PEAJES'!AC:AC)</f>
        <v>1</v>
      </c>
    </row>
    <row r="79" spans="1:17" x14ac:dyDescent="0.3">
      <c r="A79" t="s">
        <v>742</v>
      </c>
      <c r="B79">
        <v>1345488</v>
      </c>
      <c r="C79" t="s">
        <v>743</v>
      </c>
      <c r="D79" s="8">
        <v>1</v>
      </c>
      <c r="E79" s="3">
        <v>6319.3230000000003</v>
      </c>
      <c r="F79" s="2">
        <v>-0.59</v>
      </c>
      <c r="H79" s="2">
        <v>900070.40000000002</v>
      </c>
      <c r="I79" s="16">
        <f t="shared" si="6"/>
        <v>142.43145982568069</v>
      </c>
      <c r="J79" s="2">
        <v>18150.189999999999</v>
      </c>
      <c r="K79">
        <v>91.856999999999999</v>
      </c>
      <c r="L79" s="15">
        <f t="shared" si="4"/>
        <v>0</v>
      </c>
      <c r="M79" s="15">
        <f t="shared" si="5"/>
        <v>18150.189999999999</v>
      </c>
      <c r="N79" s="18">
        <v>197.59164336750544</v>
      </c>
      <c r="O79" s="8">
        <v>1</v>
      </c>
      <c r="Q79">
        <f>_xlfn.XLOOKUP(A79,'CONSOLIDADO PEAJES'!H:H,'CONSOLIDADO PEAJES'!AC:AC)</f>
        <v>0</v>
      </c>
    </row>
    <row r="80" spans="1:17" x14ac:dyDescent="0.3">
      <c r="A80" t="s">
        <v>624</v>
      </c>
      <c r="B80">
        <v>1344279</v>
      </c>
      <c r="C80" t="s">
        <v>625</v>
      </c>
      <c r="D80" s="8">
        <v>1</v>
      </c>
      <c r="E80" s="3">
        <v>3903.951</v>
      </c>
      <c r="F80" s="2">
        <v>-0.09</v>
      </c>
      <c r="H80" s="2">
        <v>556045.43999999994</v>
      </c>
      <c r="I80" s="16">
        <f t="shared" si="6"/>
        <v>142.43145982108894</v>
      </c>
      <c r="J80" s="2">
        <v>32864.65</v>
      </c>
      <c r="K80">
        <v>166.32599999999999</v>
      </c>
      <c r="L80" s="15">
        <f t="shared" si="4"/>
        <v>0</v>
      </c>
      <c r="M80" s="15">
        <f t="shared" si="5"/>
        <v>32864.65</v>
      </c>
      <c r="N80" s="18">
        <v>197.59164336750544</v>
      </c>
      <c r="O80" s="8">
        <v>1</v>
      </c>
      <c r="Q80">
        <f>_xlfn.XLOOKUP(A80,'CONSOLIDADO PEAJES'!H:H,'CONSOLIDADO PEAJES'!AC:AC)</f>
        <v>0</v>
      </c>
    </row>
    <row r="81" spans="1:17" x14ac:dyDescent="0.3">
      <c r="A81" t="s">
        <v>736</v>
      </c>
      <c r="B81">
        <v>1353805</v>
      </c>
      <c r="C81" t="s">
        <v>737</v>
      </c>
      <c r="D81" s="8">
        <v>1</v>
      </c>
      <c r="E81">
        <v>2441.4859999999999</v>
      </c>
      <c r="F81" s="2">
        <v>-4.42</v>
      </c>
      <c r="H81" s="2">
        <v>347744.42</v>
      </c>
      <c r="I81" s="16">
        <f t="shared" si="6"/>
        <v>142.43146182284067</v>
      </c>
      <c r="L81" s="15">
        <f t="shared" si="4"/>
        <v>0</v>
      </c>
      <c r="M81" s="15">
        <f t="shared" si="5"/>
        <v>0</v>
      </c>
      <c r="N81" s="18">
        <v>197.59164336750544</v>
      </c>
      <c r="O81" s="8">
        <v>1</v>
      </c>
      <c r="Q81">
        <f>_xlfn.XLOOKUP(A81,'CONSOLIDADO PEAJES'!H:H,'CONSOLIDADO PEAJES'!AC:AC)</f>
        <v>0</v>
      </c>
    </row>
    <row r="82" spans="1:17" x14ac:dyDescent="0.3">
      <c r="A82" t="s">
        <v>186</v>
      </c>
      <c r="B82">
        <v>1354726</v>
      </c>
      <c r="C82" t="s">
        <v>187</v>
      </c>
      <c r="D82" s="8">
        <v>1</v>
      </c>
      <c r="E82">
        <v>3461.5010000000002</v>
      </c>
      <c r="F82" s="2">
        <v>-4.8499999999999996</v>
      </c>
      <c r="H82" s="2">
        <v>493026.64</v>
      </c>
      <c r="I82" s="16">
        <f t="shared" si="6"/>
        <v>142.43145964712994</v>
      </c>
      <c r="J82" s="2">
        <v>688.21</v>
      </c>
      <c r="K82">
        <v>3.4830000000000001</v>
      </c>
      <c r="L82" s="15">
        <f t="shared" si="4"/>
        <v>0</v>
      </c>
      <c r="M82" s="15">
        <f t="shared" si="5"/>
        <v>688.21</v>
      </c>
      <c r="N82" s="18">
        <v>197.59164336750544</v>
      </c>
      <c r="O82" s="8">
        <v>1</v>
      </c>
      <c r="Q82">
        <f>_xlfn.XLOOKUP(A82,'CONSOLIDADO PEAJES'!H:H,'CONSOLIDADO PEAJES'!AC:AC)</f>
        <v>0</v>
      </c>
    </row>
    <row r="83" spans="1:17" x14ac:dyDescent="0.3">
      <c r="A83" t="s">
        <v>1588</v>
      </c>
      <c r="B83">
        <v>1354727</v>
      </c>
      <c r="C83" t="s">
        <v>1589</v>
      </c>
      <c r="D83" s="8">
        <v>1</v>
      </c>
      <c r="E83">
        <v>4021.3429999999998</v>
      </c>
      <c r="F83" s="2">
        <v>-2.64</v>
      </c>
      <c r="H83" s="2">
        <v>434287.95</v>
      </c>
      <c r="I83" s="16">
        <f t="shared" si="6"/>
        <v>107.99574918130585</v>
      </c>
      <c r="J83" s="2">
        <v>494.69</v>
      </c>
      <c r="K83">
        <v>3.032</v>
      </c>
      <c r="L83" s="15">
        <f t="shared" si="4"/>
        <v>0</v>
      </c>
      <c r="M83" s="15">
        <f t="shared" si="5"/>
        <v>494.69</v>
      </c>
      <c r="N83" s="18">
        <v>163.15598827470689</v>
      </c>
      <c r="O83" s="8">
        <v>1</v>
      </c>
      <c r="Q83">
        <f>_xlfn.XLOOKUP(A83,'CONSOLIDADO PEAJES'!H:H,'CONSOLIDADO PEAJES'!AC:AC)</f>
        <v>1</v>
      </c>
    </row>
    <row r="84" spans="1:17" x14ac:dyDescent="0.3">
      <c r="A84" t="s">
        <v>596</v>
      </c>
      <c r="B84">
        <v>1353820</v>
      </c>
      <c r="C84" t="s">
        <v>597</v>
      </c>
      <c r="D84" s="8">
        <v>1</v>
      </c>
      <c r="E84">
        <v>4636.7640000000001</v>
      </c>
      <c r="F84" s="2">
        <v>-0.83</v>
      </c>
      <c r="H84" s="2">
        <v>500750.81</v>
      </c>
      <c r="I84" s="16">
        <f t="shared" si="6"/>
        <v>107.9957509159405</v>
      </c>
      <c r="J84" s="2">
        <v>30.02</v>
      </c>
      <c r="K84">
        <v>0.184</v>
      </c>
      <c r="L84" s="15">
        <f t="shared" si="4"/>
        <v>0</v>
      </c>
      <c r="M84" s="15">
        <f t="shared" si="5"/>
        <v>30.02</v>
      </c>
      <c r="N84" s="18">
        <v>163.15598827470689</v>
      </c>
      <c r="O84" s="8">
        <v>1</v>
      </c>
      <c r="Q84">
        <f>_xlfn.XLOOKUP(A84,'CONSOLIDADO PEAJES'!H:H,'CONSOLIDADO PEAJES'!AC:AC)</f>
        <v>1</v>
      </c>
    </row>
    <row r="85" spans="1:17" x14ac:dyDescent="0.3">
      <c r="A85" t="s">
        <v>1385</v>
      </c>
      <c r="B85">
        <v>1354728</v>
      </c>
      <c r="C85" t="s">
        <v>1386</v>
      </c>
      <c r="D85" s="8">
        <v>1</v>
      </c>
      <c r="E85">
        <v>6102.018</v>
      </c>
      <c r="F85" s="2">
        <v>4.1500000000000004</v>
      </c>
      <c r="H85" s="2">
        <v>869119.33</v>
      </c>
      <c r="I85" s="16">
        <f t="shared" si="6"/>
        <v>142.43145955977187</v>
      </c>
      <c r="J85" s="2">
        <v>646.52</v>
      </c>
      <c r="K85">
        <v>3.2719999999999998</v>
      </c>
      <c r="L85" s="15">
        <f t="shared" si="4"/>
        <v>0</v>
      </c>
      <c r="M85" s="15">
        <f t="shared" si="5"/>
        <v>646.52</v>
      </c>
      <c r="N85" s="18">
        <v>197.59164336750544</v>
      </c>
      <c r="O85" s="8">
        <v>1</v>
      </c>
      <c r="Q85">
        <f>_xlfn.XLOOKUP(A85,'CONSOLIDADO PEAJES'!H:H,'CONSOLIDADO PEAJES'!AC:AC)</f>
        <v>0</v>
      </c>
    </row>
    <row r="86" spans="1:17" x14ac:dyDescent="0.3">
      <c r="A86" t="s">
        <v>199</v>
      </c>
      <c r="B86">
        <v>1354729</v>
      </c>
      <c r="C86" t="s">
        <v>200</v>
      </c>
      <c r="D86" s="8">
        <v>1</v>
      </c>
      <c r="E86">
        <v>4332.4570000000003</v>
      </c>
      <c r="F86" s="2">
        <v>-4.3</v>
      </c>
      <c r="H86" s="2">
        <v>617078.18000000005</v>
      </c>
      <c r="I86" s="16">
        <f t="shared" si="6"/>
        <v>142.4314609469869</v>
      </c>
      <c r="J86" s="2">
        <v>56.12</v>
      </c>
      <c r="K86">
        <v>0.28399999999999997</v>
      </c>
      <c r="L86" s="15">
        <f t="shared" si="4"/>
        <v>0</v>
      </c>
      <c r="M86" s="15">
        <f t="shared" si="5"/>
        <v>56.12</v>
      </c>
      <c r="N86" s="18">
        <v>197.59164336750544</v>
      </c>
      <c r="O86" s="8">
        <v>1</v>
      </c>
      <c r="Q86">
        <f>_xlfn.XLOOKUP(A86,'CONSOLIDADO PEAJES'!H:H,'CONSOLIDADO PEAJES'!AC:AC)</f>
        <v>0</v>
      </c>
    </row>
    <row r="87" spans="1:17" x14ac:dyDescent="0.3">
      <c r="A87" t="s">
        <v>1090</v>
      </c>
      <c r="B87">
        <v>1354503</v>
      </c>
      <c r="C87" t="s">
        <v>1091</v>
      </c>
      <c r="D87" s="8">
        <v>1</v>
      </c>
      <c r="E87">
        <v>3283.654</v>
      </c>
      <c r="F87" s="2">
        <v>4.37</v>
      </c>
      <c r="H87" s="2">
        <v>467695.63</v>
      </c>
      <c r="I87" s="16">
        <f t="shared" si="6"/>
        <v>142.4314589783211</v>
      </c>
      <c r="L87" s="15">
        <f t="shared" si="4"/>
        <v>0</v>
      </c>
      <c r="M87" s="15">
        <f t="shared" si="5"/>
        <v>0</v>
      </c>
      <c r="N87" s="18">
        <v>197.59164336750544</v>
      </c>
      <c r="O87" s="8">
        <v>1</v>
      </c>
      <c r="Q87">
        <f>_xlfn.XLOOKUP(A87,'CONSOLIDADO PEAJES'!H:H,'CONSOLIDADO PEAJES'!AC:AC)</f>
        <v>0</v>
      </c>
    </row>
    <row r="88" spans="1:17" x14ac:dyDescent="0.3">
      <c r="A88" t="s">
        <v>176</v>
      </c>
      <c r="B88">
        <v>1353810</v>
      </c>
      <c r="C88" t="s">
        <v>177</v>
      </c>
      <c r="D88" s="8">
        <v>1</v>
      </c>
      <c r="E88">
        <v>3727.3359999999998</v>
      </c>
      <c r="F88" s="2">
        <v>-4.09</v>
      </c>
      <c r="H88" s="2">
        <v>530889.91</v>
      </c>
      <c r="I88" s="16">
        <f t="shared" si="6"/>
        <v>142.43146043179365</v>
      </c>
      <c r="J88" s="2">
        <v>2184.1799999999998</v>
      </c>
      <c r="K88">
        <v>11.054</v>
      </c>
      <c r="L88" s="15">
        <f t="shared" si="4"/>
        <v>0</v>
      </c>
      <c r="M88" s="15">
        <f t="shared" si="5"/>
        <v>2184.1799999999998</v>
      </c>
      <c r="N88" s="18">
        <v>197.59164336750544</v>
      </c>
      <c r="O88" s="8">
        <v>1</v>
      </c>
      <c r="Q88">
        <f>_xlfn.XLOOKUP(A88,'CONSOLIDADO PEAJES'!H:H,'CONSOLIDADO PEAJES'!AC:AC)</f>
        <v>0</v>
      </c>
    </row>
    <row r="89" spans="1:17" x14ac:dyDescent="0.3">
      <c r="A89" t="s">
        <v>757</v>
      </c>
      <c r="B89">
        <v>1354731</v>
      </c>
      <c r="C89" t="s">
        <v>758</v>
      </c>
      <c r="D89" s="8">
        <v>1</v>
      </c>
      <c r="E89">
        <v>7043.4369999999999</v>
      </c>
      <c r="F89" s="2">
        <v>2.37</v>
      </c>
      <c r="H89" s="2">
        <v>760661.26</v>
      </c>
      <c r="I89" s="16">
        <f t="shared" si="6"/>
        <v>107.99574980226274</v>
      </c>
      <c r="J89" s="2">
        <v>20656.37</v>
      </c>
      <c r="K89">
        <v>126.605</v>
      </c>
      <c r="L89" s="15">
        <f t="shared" si="4"/>
        <v>0</v>
      </c>
      <c r="M89" s="15">
        <f t="shared" si="5"/>
        <v>20656.37</v>
      </c>
      <c r="N89" s="18">
        <v>163.15598827470689</v>
      </c>
      <c r="O89" s="8">
        <v>1</v>
      </c>
      <c r="Q89">
        <f>_xlfn.XLOOKUP(A89,'CONSOLIDADO PEAJES'!H:H,'CONSOLIDADO PEAJES'!AC:AC)</f>
        <v>1</v>
      </c>
    </row>
    <row r="90" spans="1:17" x14ac:dyDescent="0.3">
      <c r="A90" t="s">
        <v>1382</v>
      </c>
      <c r="B90">
        <v>1354506</v>
      </c>
      <c r="C90" t="s">
        <v>1383</v>
      </c>
      <c r="D90" s="8">
        <v>1</v>
      </c>
      <c r="E90">
        <v>4787.3119999999999</v>
      </c>
      <c r="F90" s="2">
        <v>0.2</v>
      </c>
      <c r="H90" s="2">
        <v>681863.84</v>
      </c>
      <c r="I90" s="16">
        <f t="shared" si="6"/>
        <v>142.43146049390555</v>
      </c>
      <c r="J90" s="2">
        <v>265.95999999999998</v>
      </c>
      <c r="K90">
        <v>1.3460000000000001</v>
      </c>
      <c r="L90" s="15">
        <f t="shared" si="4"/>
        <v>0</v>
      </c>
      <c r="M90" s="15">
        <f t="shared" si="5"/>
        <v>265.95999999999998</v>
      </c>
      <c r="N90" s="18">
        <v>197.59164336750544</v>
      </c>
      <c r="O90" s="8">
        <v>1</v>
      </c>
      <c r="Q90">
        <f>_xlfn.XLOOKUP(A90,'CONSOLIDADO PEAJES'!H:H,'CONSOLIDADO PEAJES'!AC:AC)</f>
        <v>0</v>
      </c>
    </row>
    <row r="91" spans="1:17" x14ac:dyDescent="0.3">
      <c r="A91" t="s">
        <v>196</v>
      </c>
      <c r="B91">
        <v>1354732</v>
      </c>
      <c r="C91" t="s">
        <v>197</v>
      </c>
      <c r="D91" s="8">
        <v>1</v>
      </c>
      <c r="E91">
        <v>4114.2569999999996</v>
      </c>
      <c r="F91" s="2">
        <v>-4.5</v>
      </c>
      <c r="H91" s="2">
        <v>444322.27</v>
      </c>
      <c r="I91" s="16">
        <f t="shared" si="6"/>
        <v>107.99574990089341</v>
      </c>
      <c r="J91" s="2">
        <v>9222.23</v>
      </c>
      <c r="K91">
        <v>56.524000000000001</v>
      </c>
      <c r="L91" s="15">
        <f t="shared" si="4"/>
        <v>0</v>
      </c>
      <c r="M91" s="15">
        <f t="shared" si="5"/>
        <v>9222.23</v>
      </c>
      <c r="N91" s="18">
        <v>163.15598827470689</v>
      </c>
      <c r="O91" s="8">
        <v>1</v>
      </c>
      <c r="Q91">
        <f>_xlfn.XLOOKUP(A91,'CONSOLIDADO PEAJES'!H:H,'CONSOLIDADO PEAJES'!AC:AC)</f>
        <v>1</v>
      </c>
    </row>
    <row r="92" spans="1:17" x14ac:dyDescent="0.3">
      <c r="A92" t="s">
        <v>763</v>
      </c>
      <c r="B92">
        <v>1354733</v>
      </c>
      <c r="C92" t="s">
        <v>764</v>
      </c>
      <c r="D92" s="8">
        <v>1</v>
      </c>
      <c r="E92">
        <v>4050.6550000000002</v>
      </c>
      <c r="F92" s="2">
        <v>1.79</v>
      </c>
      <c r="H92" s="2">
        <v>437453.52</v>
      </c>
      <c r="I92" s="16">
        <f t="shared" si="6"/>
        <v>107.99574883568214</v>
      </c>
      <c r="J92" s="2">
        <v>184.69</v>
      </c>
      <c r="K92">
        <v>1.1319999999999999</v>
      </c>
      <c r="L92" s="15">
        <f t="shared" si="4"/>
        <v>0</v>
      </c>
      <c r="M92" s="15">
        <f t="shared" si="5"/>
        <v>184.69</v>
      </c>
      <c r="N92" s="18">
        <v>163.15598827470689</v>
      </c>
      <c r="O92" s="8">
        <v>1</v>
      </c>
      <c r="Q92">
        <f>_xlfn.XLOOKUP(A92,'CONSOLIDADO PEAJES'!H:H,'CONSOLIDADO PEAJES'!AC:AC)</f>
        <v>1</v>
      </c>
    </row>
    <row r="93" spans="1:17" x14ac:dyDescent="0.3">
      <c r="A93" t="s">
        <v>730</v>
      </c>
      <c r="B93">
        <v>1353816</v>
      </c>
      <c r="C93" t="s">
        <v>731</v>
      </c>
      <c r="D93" s="8">
        <v>1</v>
      </c>
      <c r="E93">
        <v>3593.7809999999999</v>
      </c>
      <c r="F93" s="2">
        <v>-3.1</v>
      </c>
      <c r="H93" s="2">
        <v>388113.07</v>
      </c>
      <c r="I93" s="16">
        <f t="shared" si="6"/>
        <v>107.99574876710629</v>
      </c>
      <c r="J93" s="2">
        <v>750.03</v>
      </c>
      <c r="K93">
        <v>4.5970000000000004</v>
      </c>
      <c r="L93" s="15">
        <f t="shared" si="4"/>
        <v>0</v>
      </c>
      <c r="M93" s="15">
        <f t="shared" si="5"/>
        <v>750.03</v>
      </c>
      <c r="N93" s="18">
        <v>163.15598827470689</v>
      </c>
      <c r="O93" s="8">
        <v>1</v>
      </c>
      <c r="Q93">
        <f>_xlfn.XLOOKUP(A93,'CONSOLIDADO PEAJES'!H:H,'CONSOLIDADO PEAJES'!AC:AC)</f>
        <v>1</v>
      </c>
    </row>
    <row r="94" spans="1:17" x14ac:dyDescent="0.3">
      <c r="A94" t="s">
        <v>1147</v>
      </c>
      <c r="B94">
        <v>1354508</v>
      </c>
      <c r="C94" t="s">
        <v>1148</v>
      </c>
      <c r="D94" s="8">
        <v>1</v>
      </c>
      <c r="E94">
        <v>3142.5970000000002</v>
      </c>
      <c r="F94" s="2">
        <v>-0.13</v>
      </c>
      <c r="H94" s="2">
        <v>447604.68</v>
      </c>
      <c r="I94" s="16">
        <f t="shared" si="6"/>
        <v>142.43146034951346</v>
      </c>
      <c r="J94" s="2">
        <v>2375.4499999999998</v>
      </c>
      <c r="K94">
        <v>12.022</v>
      </c>
      <c r="L94" s="15">
        <f t="shared" si="4"/>
        <v>0</v>
      </c>
      <c r="M94" s="15">
        <f t="shared" si="5"/>
        <v>2375.4499999999998</v>
      </c>
      <c r="N94" s="18">
        <v>197.59164336750544</v>
      </c>
      <c r="O94" s="8">
        <v>1</v>
      </c>
      <c r="Q94">
        <f>_xlfn.XLOOKUP(A94,'CONSOLIDADO PEAJES'!H:H,'CONSOLIDADO PEAJES'!AC:AC)</f>
        <v>0</v>
      </c>
    </row>
    <row r="95" spans="1:17" x14ac:dyDescent="0.3">
      <c r="A95" t="s">
        <v>1162</v>
      </c>
      <c r="B95">
        <v>1354734</v>
      </c>
      <c r="C95" t="s">
        <v>1163</v>
      </c>
      <c r="D95" s="8">
        <v>1</v>
      </c>
      <c r="E95">
        <v>5334.7160000000003</v>
      </c>
      <c r="F95" s="2">
        <v>-1.39</v>
      </c>
      <c r="H95" s="2">
        <v>759831.39</v>
      </c>
      <c r="I95" s="16">
        <f t="shared" si="6"/>
        <v>142.43146026892526</v>
      </c>
      <c r="L95" s="15">
        <f t="shared" si="4"/>
        <v>0</v>
      </c>
      <c r="M95" s="15">
        <f t="shared" si="5"/>
        <v>0</v>
      </c>
      <c r="N95" s="18">
        <v>197.59164336750544</v>
      </c>
      <c r="O95" s="8">
        <v>1</v>
      </c>
      <c r="Q95">
        <f>_xlfn.XLOOKUP(A95,'CONSOLIDADO PEAJES'!H:H,'CONSOLIDADO PEAJES'!AC:AC)</f>
        <v>0</v>
      </c>
    </row>
    <row r="96" spans="1:17" x14ac:dyDescent="0.3">
      <c r="A96" t="s">
        <v>1352</v>
      </c>
      <c r="B96">
        <v>1353827</v>
      </c>
      <c r="C96" t="s">
        <v>1353</v>
      </c>
      <c r="D96" s="8">
        <v>1</v>
      </c>
      <c r="E96">
        <v>3093.5149999999999</v>
      </c>
      <c r="F96" s="2">
        <v>-0.68</v>
      </c>
      <c r="H96" s="2">
        <v>440613.86</v>
      </c>
      <c r="I96" s="16">
        <f t="shared" si="6"/>
        <v>142.43146065236471</v>
      </c>
      <c r="J96" s="2">
        <v>9876.82</v>
      </c>
      <c r="K96">
        <v>49.985999999999997</v>
      </c>
      <c r="L96" s="15">
        <f t="shared" si="4"/>
        <v>0</v>
      </c>
      <c r="M96" s="15">
        <f t="shared" si="5"/>
        <v>9876.82</v>
      </c>
      <c r="N96" s="18">
        <v>197.59164336750544</v>
      </c>
      <c r="O96" s="8">
        <v>1</v>
      </c>
      <c r="Q96">
        <f>_xlfn.XLOOKUP(A96,'CONSOLIDADO PEAJES'!H:H,'CONSOLIDADO PEAJES'!AC:AC)</f>
        <v>0</v>
      </c>
    </row>
    <row r="97" spans="1:17" x14ac:dyDescent="0.3">
      <c r="A97" t="s">
        <v>633</v>
      </c>
      <c r="B97">
        <v>1353830</v>
      </c>
      <c r="C97" t="s">
        <v>634</v>
      </c>
      <c r="D97" s="8">
        <v>1</v>
      </c>
      <c r="E97">
        <v>2854.337</v>
      </c>
      <c r="F97" s="2">
        <v>-1.6</v>
      </c>
      <c r="H97" s="2">
        <v>406547.39</v>
      </c>
      <c r="I97" s="16">
        <f t="shared" si="6"/>
        <v>142.43146131658597</v>
      </c>
      <c r="J97" s="2">
        <v>17524.21</v>
      </c>
      <c r="K97">
        <v>88.688999999999993</v>
      </c>
      <c r="L97" s="15">
        <f t="shared" si="4"/>
        <v>0</v>
      </c>
      <c r="M97" s="15">
        <f t="shared" si="5"/>
        <v>17524.21</v>
      </c>
      <c r="N97" s="18">
        <v>197.59164336750544</v>
      </c>
      <c r="O97" s="8">
        <v>1</v>
      </c>
      <c r="Q97">
        <f>_xlfn.XLOOKUP(A97,'CONSOLIDADO PEAJES'!H:H,'CONSOLIDADO PEAJES'!AC:AC)</f>
        <v>0</v>
      </c>
    </row>
    <row r="98" spans="1:17" x14ac:dyDescent="0.3">
      <c r="A98" t="s">
        <v>1349</v>
      </c>
      <c r="B98">
        <v>1354511</v>
      </c>
      <c r="C98" t="s">
        <v>1350</v>
      </c>
      <c r="D98" s="8">
        <v>1</v>
      </c>
      <c r="E98">
        <v>3441.125</v>
      </c>
      <c r="F98" s="2">
        <v>-0.56999999999999995</v>
      </c>
      <c r="H98" s="2">
        <v>490124.46</v>
      </c>
      <c r="I98" s="16">
        <f t="shared" si="6"/>
        <v>142.43146064150534</v>
      </c>
      <c r="J98" s="2">
        <v>2026.11</v>
      </c>
      <c r="K98">
        <v>10.254</v>
      </c>
      <c r="L98" s="15">
        <f t="shared" si="4"/>
        <v>0</v>
      </c>
      <c r="M98" s="15">
        <f t="shared" si="5"/>
        <v>2026.11</v>
      </c>
      <c r="N98" s="18">
        <v>197.59164336750544</v>
      </c>
      <c r="O98" s="8">
        <v>1</v>
      </c>
      <c r="Q98">
        <f>_xlfn.XLOOKUP(A98,'CONSOLIDADO PEAJES'!H:H,'CONSOLIDADO PEAJES'!AC:AC)</f>
        <v>0</v>
      </c>
    </row>
    <row r="99" spans="1:17" x14ac:dyDescent="0.3">
      <c r="A99" t="s">
        <v>193</v>
      </c>
      <c r="B99">
        <v>1354736</v>
      </c>
      <c r="C99" t="s">
        <v>194</v>
      </c>
      <c r="D99" s="8">
        <v>1</v>
      </c>
      <c r="E99">
        <v>5201.1880000000001</v>
      </c>
      <c r="F99" s="2">
        <v>-1.32</v>
      </c>
      <c r="H99" s="2">
        <v>561706.19999999995</v>
      </c>
      <c r="I99" s="16">
        <f t="shared" si="6"/>
        <v>107.99575020168469</v>
      </c>
      <c r="J99" s="2">
        <v>9545.1200000000008</v>
      </c>
      <c r="K99">
        <v>58.503</v>
      </c>
      <c r="L99" s="15">
        <f t="shared" si="4"/>
        <v>0</v>
      </c>
      <c r="M99" s="15">
        <f t="shared" si="5"/>
        <v>9545.1200000000008</v>
      </c>
      <c r="N99" s="18">
        <v>163.15598827470689</v>
      </c>
      <c r="O99" s="8">
        <v>1</v>
      </c>
      <c r="Q99">
        <f>_xlfn.XLOOKUP(A99,'CONSOLIDADO PEAJES'!H:H,'CONSOLIDADO PEAJES'!AC:AC)</f>
        <v>1</v>
      </c>
    </row>
    <row r="100" spans="1:17" x14ac:dyDescent="0.3">
      <c r="A100" t="s">
        <v>1491</v>
      </c>
      <c r="B100">
        <v>1353834</v>
      </c>
      <c r="C100" t="s">
        <v>1492</v>
      </c>
      <c r="D100" s="8">
        <v>1</v>
      </c>
      <c r="E100">
        <v>3694.0149999999999</v>
      </c>
      <c r="F100" s="2">
        <v>2.4900000000000002</v>
      </c>
      <c r="H100" s="2">
        <v>526143.94999999995</v>
      </c>
      <c r="I100" s="16">
        <f t="shared" si="6"/>
        <v>142.43146007799101</v>
      </c>
      <c r="J100" s="2">
        <v>21483.56</v>
      </c>
      <c r="K100">
        <v>108.727</v>
      </c>
      <c r="L100" s="15">
        <f t="shared" si="4"/>
        <v>0</v>
      </c>
      <c r="M100" s="15">
        <f t="shared" si="5"/>
        <v>21483.56</v>
      </c>
      <c r="N100" s="18">
        <v>197.59164336750544</v>
      </c>
      <c r="O100" s="8">
        <v>1</v>
      </c>
      <c r="Q100">
        <f>_xlfn.XLOOKUP(A100,'CONSOLIDADO PEAJES'!H:H,'CONSOLIDADO PEAJES'!AC:AC)</f>
        <v>0</v>
      </c>
    </row>
    <row r="101" spans="1:17" x14ac:dyDescent="0.3">
      <c r="A101" t="s">
        <v>1024</v>
      </c>
      <c r="B101">
        <v>1353835</v>
      </c>
      <c r="C101" t="s">
        <v>1025</v>
      </c>
      <c r="D101" s="8">
        <v>1</v>
      </c>
      <c r="E101">
        <v>2904.9369999999999</v>
      </c>
      <c r="F101" s="2">
        <v>-0.56000000000000005</v>
      </c>
      <c r="H101" s="2">
        <v>413754.42</v>
      </c>
      <c r="I101" s="16">
        <f t="shared" si="6"/>
        <v>142.43146064785572</v>
      </c>
      <c r="J101" s="2">
        <v>14806.14</v>
      </c>
      <c r="K101">
        <v>74.933000000000007</v>
      </c>
      <c r="L101" s="15">
        <f t="shared" si="4"/>
        <v>0</v>
      </c>
      <c r="M101" s="15">
        <f t="shared" si="5"/>
        <v>14806.14</v>
      </c>
      <c r="N101" s="18">
        <v>197.59164336750544</v>
      </c>
      <c r="O101" s="8">
        <v>1</v>
      </c>
      <c r="Q101">
        <f>_xlfn.XLOOKUP(A101,'CONSOLIDADO PEAJES'!H:H,'CONSOLIDADO PEAJES'!AC:AC)</f>
        <v>0</v>
      </c>
    </row>
    <row r="102" spans="1:17" x14ac:dyDescent="0.3">
      <c r="A102" t="s">
        <v>1388</v>
      </c>
      <c r="B102">
        <v>1354740</v>
      </c>
      <c r="C102" t="s">
        <v>1389</v>
      </c>
      <c r="D102" s="8">
        <v>1</v>
      </c>
      <c r="E102">
        <v>3521.4549999999999</v>
      </c>
      <c r="F102" s="2">
        <v>4.47</v>
      </c>
      <c r="H102" s="2">
        <v>380302.17</v>
      </c>
      <c r="I102" s="16">
        <f t="shared" si="6"/>
        <v>107.99574891628602</v>
      </c>
      <c r="J102" s="2">
        <v>3453.36</v>
      </c>
      <c r="K102">
        <v>21.166</v>
      </c>
      <c r="L102" s="15">
        <f t="shared" si="4"/>
        <v>0</v>
      </c>
      <c r="M102" s="15">
        <f t="shared" si="5"/>
        <v>3453.36</v>
      </c>
      <c r="N102" s="18">
        <v>163.15598827470689</v>
      </c>
      <c r="O102" s="8">
        <v>1</v>
      </c>
      <c r="Q102">
        <f>_xlfn.XLOOKUP(A102,'CONSOLIDADO PEAJES'!H:H,'CONSOLIDADO PEAJES'!AC:AC)</f>
        <v>1</v>
      </c>
    </row>
    <row r="103" spans="1:17" x14ac:dyDescent="0.3">
      <c r="A103" t="s">
        <v>754</v>
      </c>
      <c r="B103">
        <v>1354515</v>
      </c>
      <c r="C103" t="s">
        <v>755</v>
      </c>
      <c r="D103" s="8">
        <v>1</v>
      </c>
      <c r="E103">
        <v>3356.87</v>
      </c>
      <c r="F103" s="2">
        <v>1.83</v>
      </c>
      <c r="H103" s="2">
        <v>478123.9</v>
      </c>
      <c r="I103" s="16">
        <f t="shared" si="6"/>
        <v>142.43146145069664</v>
      </c>
      <c r="J103" s="2">
        <v>224.27</v>
      </c>
      <c r="K103">
        <v>1.135</v>
      </c>
      <c r="L103" s="15">
        <f t="shared" si="4"/>
        <v>0</v>
      </c>
      <c r="M103" s="15">
        <f t="shared" si="5"/>
        <v>224.27</v>
      </c>
      <c r="N103" s="18">
        <v>197.59164336750544</v>
      </c>
      <c r="O103" s="8">
        <v>1</v>
      </c>
      <c r="Q103">
        <f>_xlfn.XLOOKUP(A103,'CONSOLIDADO PEAJES'!H:H,'CONSOLIDADO PEAJES'!AC:AC)</f>
        <v>0</v>
      </c>
    </row>
    <row r="104" spans="1:17" x14ac:dyDescent="0.3">
      <c r="A104" t="s">
        <v>1051</v>
      </c>
      <c r="B104">
        <v>1356294</v>
      </c>
      <c r="C104" t="s">
        <v>1052</v>
      </c>
      <c r="D104" s="8">
        <v>1</v>
      </c>
      <c r="E104">
        <v>4120.2370000000001</v>
      </c>
      <c r="F104" s="2">
        <v>3.95</v>
      </c>
      <c r="H104" s="2">
        <v>586851.37</v>
      </c>
      <c r="I104" s="16">
        <f t="shared" si="6"/>
        <v>142.43145964661741</v>
      </c>
      <c r="J104" s="2">
        <v>124.68</v>
      </c>
      <c r="K104">
        <v>0.63100000000000001</v>
      </c>
      <c r="L104" s="15">
        <f t="shared" si="4"/>
        <v>0</v>
      </c>
      <c r="M104" s="15">
        <f t="shared" si="5"/>
        <v>124.68</v>
      </c>
      <c r="N104" s="18">
        <v>197.59164336750544</v>
      </c>
      <c r="O104" s="8">
        <v>1</v>
      </c>
      <c r="Q104">
        <f>_xlfn.XLOOKUP(A104,'CONSOLIDADO PEAJES'!H:H,'CONSOLIDADO PEAJES'!AC:AC)</f>
        <v>0</v>
      </c>
    </row>
    <row r="105" spans="1:17" x14ac:dyDescent="0.3">
      <c r="A105" t="s">
        <v>1054</v>
      </c>
      <c r="B105">
        <v>1356296</v>
      </c>
      <c r="C105" t="s">
        <v>1055</v>
      </c>
      <c r="D105" s="8">
        <v>1</v>
      </c>
      <c r="E105">
        <v>3557.4969999999998</v>
      </c>
      <c r="F105" s="2">
        <v>0.59</v>
      </c>
      <c r="H105" s="2">
        <v>506699.49</v>
      </c>
      <c r="I105" s="16">
        <f t="shared" si="6"/>
        <v>142.43145953461101</v>
      </c>
      <c r="J105" s="2">
        <v>629.91999999999996</v>
      </c>
      <c r="K105">
        <v>3.1880000000000002</v>
      </c>
      <c r="L105" s="15">
        <f t="shared" si="4"/>
        <v>0</v>
      </c>
      <c r="M105" s="15">
        <f t="shared" si="5"/>
        <v>629.91999999999996</v>
      </c>
      <c r="N105" s="18">
        <v>197.59164336750544</v>
      </c>
      <c r="O105" s="8">
        <v>1</v>
      </c>
      <c r="Q105">
        <f>_xlfn.XLOOKUP(A105,'CONSOLIDADO PEAJES'!H:H,'CONSOLIDADO PEAJES'!AC:AC)</f>
        <v>0</v>
      </c>
    </row>
    <row r="106" spans="1:17" x14ac:dyDescent="0.3">
      <c r="A106" t="s">
        <v>1539</v>
      </c>
      <c r="B106">
        <v>1356148</v>
      </c>
      <c r="C106" t="s">
        <v>1540</v>
      </c>
      <c r="D106" s="8">
        <v>1</v>
      </c>
      <c r="E106">
        <v>3916.4670000000001</v>
      </c>
      <c r="F106" s="2">
        <v>2</v>
      </c>
      <c r="H106" s="2">
        <v>557828.11</v>
      </c>
      <c r="I106" s="16">
        <f t="shared" si="6"/>
        <v>142.43145927183861</v>
      </c>
      <c r="J106" s="2">
        <v>67829.89</v>
      </c>
      <c r="K106">
        <v>343.28300000000002</v>
      </c>
      <c r="L106" s="15">
        <f t="shared" si="4"/>
        <v>0</v>
      </c>
      <c r="M106" s="15">
        <f t="shared" si="5"/>
        <v>67829.89</v>
      </c>
      <c r="N106" s="18">
        <v>197.59164336750544</v>
      </c>
      <c r="O106" s="8">
        <v>1</v>
      </c>
      <c r="Q106">
        <f>_xlfn.XLOOKUP(A106,'CONSOLIDADO PEAJES'!H:H,'CONSOLIDADO PEAJES'!AC:AC)</f>
        <v>0</v>
      </c>
    </row>
    <row r="107" spans="1:17" x14ac:dyDescent="0.3">
      <c r="A107" t="s">
        <v>781</v>
      </c>
      <c r="B107">
        <v>1356149</v>
      </c>
      <c r="C107" t="s">
        <v>782</v>
      </c>
      <c r="D107" s="8">
        <v>1</v>
      </c>
      <c r="E107">
        <v>4283.7650000000003</v>
      </c>
      <c r="F107" s="2">
        <v>-3.16</v>
      </c>
      <c r="H107" s="2">
        <v>462628.41</v>
      </c>
      <c r="I107" s="16">
        <f t="shared" si="6"/>
        <v>107.99574906653375</v>
      </c>
      <c r="J107" s="2">
        <v>23744.75</v>
      </c>
      <c r="K107">
        <v>145.53399999999999</v>
      </c>
      <c r="L107" s="15">
        <f t="shared" si="4"/>
        <v>0</v>
      </c>
      <c r="M107" s="15">
        <f t="shared" si="5"/>
        <v>23744.75</v>
      </c>
      <c r="N107" s="18">
        <v>163.15598827470689</v>
      </c>
      <c r="O107" s="8">
        <v>1</v>
      </c>
      <c r="Q107">
        <f>_xlfn.XLOOKUP(A107,'CONSOLIDADO PEAJES'!H:H,'CONSOLIDADO PEAJES'!AC:AC)</f>
        <v>1</v>
      </c>
    </row>
    <row r="108" spans="1:17" x14ac:dyDescent="0.3">
      <c r="A108" t="s">
        <v>1509</v>
      </c>
      <c r="B108">
        <v>1356300</v>
      </c>
      <c r="C108" t="s">
        <v>1510</v>
      </c>
      <c r="D108" s="8">
        <v>1</v>
      </c>
      <c r="E108">
        <v>1287.875</v>
      </c>
      <c r="F108" s="2">
        <v>4.97</v>
      </c>
      <c r="H108" s="2">
        <v>139085.03</v>
      </c>
      <c r="I108" s="16">
        <f t="shared" si="6"/>
        <v>107.99575269339027</v>
      </c>
      <c r="L108" s="15">
        <f t="shared" si="4"/>
        <v>0</v>
      </c>
      <c r="M108" s="15">
        <f t="shared" si="5"/>
        <v>0</v>
      </c>
      <c r="N108" s="18">
        <v>163.15598827470689</v>
      </c>
      <c r="O108" s="8">
        <v>1</v>
      </c>
      <c r="Q108">
        <f>_xlfn.XLOOKUP(A108,'CONSOLIDADO PEAJES'!H:H,'CONSOLIDADO PEAJES'!AC:AC)</f>
        <v>1</v>
      </c>
    </row>
    <row r="109" spans="1:17" x14ac:dyDescent="0.3">
      <c r="A109" t="s">
        <v>643</v>
      </c>
      <c r="B109">
        <v>1356301</v>
      </c>
      <c r="C109" t="s">
        <v>644</v>
      </c>
      <c r="D109" s="8">
        <v>1</v>
      </c>
      <c r="E109">
        <v>2372.4369999999999</v>
      </c>
      <c r="F109" s="2">
        <v>-3.11</v>
      </c>
      <c r="H109" s="2">
        <v>256213.11</v>
      </c>
      <c r="I109" s="16">
        <f t="shared" si="6"/>
        <v>107.99574867530728</v>
      </c>
      <c r="L109" s="15">
        <f t="shared" si="4"/>
        <v>0</v>
      </c>
      <c r="M109" s="15">
        <f t="shared" si="5"/>
        <v>0</v>
      </c>
      <c r="N109" s="18">
        <v>163.15598827470689</v>
      </c>
      <c r="O109" s="8">
        <v>1</v>
      </c>
      <c r="Q109">
        <f>_xlfn.XLOOKUP(A109,'CONSOLIDADO PEAJES'!H:H,'CONSOLIDADO PEAJES'!AC:AC)</f>
        <v>1</v>
      </c>
    </row>
    <row r="110" spans="1:17" x14ac:dyDescent="0.3">
      <c r="A110" t="s">
        <v>1168</v>
      </c>
      <c r="B110">
        <v>1356164</v>
      </c>
      <c r="C110" t="s">
        <v>1169</v>
      </c>
      <c r="D110" s="8">
        <v>1</v>
      </c>
      <c r="E110">
        <v>3739.183</v>
      </c>
      <c r="F110" s="2">
        <v>-1.0900000000000001</v>
      </c>
      <c r="H110" s="2">
        <v>403815.87</v>
      </c>
      <c r="I110" s="16">
        <f t="shared" si="6"/>
        <v>107.99574933882616</v>
      </c>
      <c r="J110" s="2">
        <v>1585.22</v>
      </c>
      <c r="K110">
        <v>9.7159999999999993</v>
      </c>
      <c r="L110" s="15">
        <f t="shared" si="4"/>
        <v>0</v>
      </c>
      <c r="M110" s="15">
        <f t="shared" si="5"/>
        <v>1585.22</v>
      </c>
      <c r="N110" s="18">
        <v>163.15598827470689</v>
      </c>
      <c r="O110" s="8">
        <v>1</v>
      </c>
      <c r="Q110">
        <f>_xlfn.XLOOKUP(A110,'CONSOLIDADO PEAJES'!H:H,'CONSOLIDADO PEAJES'!AC:AC)</f>
        <v>1</v>
      </c>
    </row>
    <row r="111" spans="1:17" x14ac:dyDescent="0.3">
      <c r="A111" t="s">
        <v>1171</v>
      </c>
      <c r="B111">
        <v>1356166</v>
      </c>
      <c r="C111" t="s">
        <v>1172</v>
      </c>
      <c r="D111" s="8">
        <v>1</v>
      </c>
      <c r="E111">
        <v>1937.279</v>
      </c>
      <c r="F111" s="2">
        <v>2.1</v>
      </c>
      <c r="H111" s="2">
        <v>209217.9</v>
      </c>
      <c r="I111" s="16">
        <f t="shared" si="6"/>
        <v>107.99575074111679</v>
      </c>
      <c r="L111" s="15">
        <f t="shared" si="4"/>
        <v>0</v>
      </c>
      <c r="M111" s="15">
        <f t="shared" si="5"/>
        <v>0</v>
      </c>
      <c r="N111" s="18">
        <v>163.15598827470689</v>
      </c>
      <c r="O111" s="8">
        <v>1</v>
      </c>
      <c r="Q111">
        <f>_xlfn.XLOOKUP(A111,'CONSOLIDADO PEAJES'!H:H,'CONSOLIDADO PEAJES'!AC:AC)</f>
        <v>1</v>
      </c>
    </row>
    <row r="112" spans="1:17" x14ac:dyDescent="0.3">
      <c r="A112" t="s">
        <v>214</v>
      </c>
      <c r="B112">
        <v>1356168</v>
      </c>
      <c r="C112" t="s">
        <v>215</v>
      </c>
      <c r="D112" s="8">
        <v>1</v>
      </c>
      <c r="E112">
        <v>3656.6849999999999</v>
      </c>
      <c r="F112" s="2">
        <v>-3.62</v>
      </c>
      <c r="H112" s="2">
        <v>394906.44</v>
      </c>
      <c r="I112" s="16">
        <f t="shared" si="6"/>
        <v>107.99575024920112</v>
      </c>
      <c r="J112" s="2">
        <v>6707.18</v>
      </c>
      <c r="K112">
        <v>41.109000000000002</v>
      </c>
      <c r="L112" s="15">
        <f t="shared" si="4"/>
        <v>0</v>
      </c>
      <c r="M112" s="15">
        <f t="shared" si="5"/>
        <v>6707.18</v>
      </c>
      <c r="N112" s="18">
        <v>163.15598827470689</v>
      </c>
      <c r="O112" s="8">
        <v>1</v>
      </c>
      <c r="Q112">
        <f>_xlfn.XLOOKUP(A112,'CONSOLIDADO PEAJES'!H:H,'CONSOLIDADO PEAJES'!AC:AC)</f>
        <v>1</v>
      </c>
    </row>
    <row r="113" spans="1:17" x14ac:dyDescent="0.3">
      <c r="A113" t="s">
        <v>793</v>
      </c>
      <c r="B113">
        <v>1356173</v>
      </c>
      <c r="C113" t="s">
        <v>794</v>
      </c>
      <c r="D113" s="8">
        <v>1</v>
      </c>
      <c r="E113">
        <v>3313.6840000000002</v>
      </c>
      <c r="F113" s="2">
        <v>-2.74</v>
      </c>
      <c r="H113" s="2">
        <v>357863.79</v>
      </c>
      <c r="I113" s="16">
        <f t="shared" si="6"/>
        <v>107.9957503491582</v>
      </c>
      <c r="J113" s="2">
        <v>768.95</v>
      </c>
      <c r="K113">
        <v>4.7130000000000001</v>
      </c>
      <c r="L113" s="15">
        <f t="shared" si="4"/>
        <v>0</v>
      </c>
      <c r="M113" s="15">
        <f t="shared" si="5"/>
        <v>768.95</v>
      </c>
      <c r="N113" s="18">
        <v>163.15598827470689</v>
      </c>
      <c r="O113" s="8">
        <v>1</v>
      </c>
      <c r="Q113">
        <f>_xlfn.XLOOKUP(A113,'CONSOLIDADO PEAJES'!H:H,'CONSOLIDADO PEAJES'!AC:AC)</f>
        <v>1</v>
      </c>
    </row>
    <row r="114" spans="1:17" x14ac:dyDescent="0.3">
      <c r="A114" t="s">
        <v>169</v>
      </c>
      <c r="B114">
        <v>1356203</v>
      </c>
      <c r="C114" t="s">
        <v>170</v>
      </c>
      <c r="D114" s="8">
        <v>1</v>
      </c>
      <c r="E114">
        <v>4068.3789999999999</v>
      </c>
      <c r="F114" s="2">
        <v>-0.28000000000000003</v>
      </c>
      <c r="H114" s="2">
        <v>579465.16</v>
      </c>
      <c r="I114" s="16">
        <f t="shared" si="6"/>
        <v>142.43145980254053</v>
      </c>
      <c r="J114" s="2">
        <v>32875.120000000003</v>
      </c>
      <c r="K114">
        <v>166.37899999999999</v>
      </c>
      <c r="L114" s="15">
        <f t="shared" si="4"/>
        <v>0</v>
      </c>
      <c r="M114" s="15">
        <f t="shared" si="5"/>
        <v>32875.120000000003</v>
      </c>
      <c r="N114" s="18">
        <v>197.59164336750544</v>
      </c>
      <c r="O114" s="8">
        <v>1</v>
      </c>
      <c r="Q114">
        <f>_xlfn.XLOOKUP(A114,'CONSOLIDADO PEAJES'!H:H,'CONSOLIDADO PEAJES'!AC:AC)</f>
        <v>0</v>
      </c>
    </row>
    <row r="115" spans="1:17" x14ac:dyDescent="0.3">
      <c r="A115" t="s">
        <v>1527</v>
      </c>
      <c r="B115">
        <v>1356208</v>
      </c>
      <c r="C115" t="s">
        <v>1528</v>
      </c>
      <c r="D115" s="8">
        <v>1</v>
      </c>
      <c r="E115">
        <v>5694.1180000000004</v>
      </c>
      <c r="F115" s="2">
        <v>-0.54</v>
      </c>
      <c r="H115" s="2">
        <v>614940.54</v>
      </c>
      <c r="I115" s="16">
        <f t="shared" si="6"/>
        <v>107.99574929778413</v>
      </c>
      <c r="L115" s="15">
        <f t="shared" si="4"/>
        <v>0</v>
      </c>
      <c r="M115" s="15">
        <f t="shared" si="5"/>
        <v>0</v>
      </c>
      <c r="N115" s="18">
        <v>163.15598827470689</v>
      </c>
      <c r="O115" s="8">
        <v>1</v>
      </c>
      <c r="Q115">
        <f>_xlfn.XLOOKUP(A115,'CONSOLIDADO PEAJES'!H:H,'CONSOLIDADO PEAJES'!AC:AC)</f>
        <v>1</v>
      </c>
    </row>
    <row r="116" spans="1:17" x14ac:dyDescent="0.3">
      <c r="A116" t="s">
        <v>1183</v>
      </c>
      <c r="B116">
        <v>1356212</v>
      </c>
      <c r="C116" t="s">
        <v>1184</v>
      </c>
      <c r="D116" s="8">
        <v>1</v>
      </c>
      <c r="E116">
        <v>3748.116</v>
      </c>
      <c r="F116" s="2">
        <v>0.37</v>
      </c>
      <c r="H116" s="2">
        <v>533849.63</v>
      </c>
      <c r="I116" s="16">
        <f t="shared" si="6"/>
        <v>142.43145889828384</v>
      </c>
      <c r="L116" s="15">
        <f t="shared" si="4"/>
        <v>0</v>
      </c>
      <c r="M116" s="15">
        <f t="shared" si="5"/>
        <v>0</v>
      </c>
      <c r="N116" s="18">
        <v>197.59164336750544</v>
      </c>
      <c r="O116" s="8">
        <v>1</v>
      </c>
      <c r="Q116">
        <f>_xlfn.XLOOKUP(A116,'CONSOLIDADO PEAJES'!H:H,'CONSOLIDADO PEAJES'!AC:AC)</f>
        <v>0</v>
      </c>
    </row>
    <row r="117" spans="1:17" x14ac:dyDescent="0.3">
      <c r="A117" t="s">
        <v>223</v>
      </c>
      <c r="B117">
        <v>1356216</v>
      </c>
      <c r="C117" t="s">
        <v>224</v>
      </c>
      <c r="D117" s="8">
        <v>1</v>
      </c>
      <c r="E117">
        <v>4612.2749999999996</v>
      </c>
      <c r="F117" s="2">
        <v>4.4000000000000004</v>
      </c>
      <c r="H117" s="2">
        <v>656933.06000000006</v>
      </c>
      <c r="I117" s="16">
        <f t="shared" si="6"/>
        <v>142.43145952919116</v>
      </c>
      <c r="J117" s="2">
        <v>382.54</v>
      </c>
      <c r="K117">
        <v>1.9359999999999999</v>
      </c>
      <c r="L117" s="15">
        <f t="shared" si="4"/>
        <v>0</v>
      </c>
      <c r="M117" s="15">
        <f t="shared" si="5"/>
        <v>382.54</v>
      </c>
      <c r="N117" s="18">
        <v>197.59164336750544</v>
      </c>
      <c r="O117" s="8">
        <v>1</v>
      </c>
      <c r="Q117">
        <f>_xlfn.XLOOKUP(A117,'CONSOLIDADO PEAJES'!H:H,'CONSOLIDADO PEAJES'!AC:AC)</f>
        <v>0</v>
      </c>
    </row>
    <row r="118" spans="1:17" x14ac:dyDescent="0.3">
      <c r="A118" t="s">
        <v>796</v>
      </c>
      <c r="B118">
        <v>1356219</v>
      </c>
      <c r="C118" t="s">
        <v>797</v>
      </c>
      <c r="D118" s="8">
        <v>1</v>
      </c>
      <c r="E118">
        <v>4586.991</v>
      </c>
      <c r="F118" s="2">
        <v>-1.83</v>
      </c>
      <c r="H118" s="2">
        <v>653331.82999999996</v>
      </c>
      <c r="I118" s="16">
        <f t="shared" si="6"/>
        <v>142.43146106020265</v>
      </c>
      <c r="L118" s="15">
        <f t="shared" si="4"/>
        <v>0</v>
      </c>
      <c r="M118" s="15">
        <f t="shared" si="5"/>
        <v>0</v>
      </c>
      <c r="N118" s="18">
        <v>197.59164336750544</v>
      </c>
      <c r="O118" s="8">
        <v>1</v>
      </c>
      <c r="Q118">
        <f>_xlfn.XLOOKUP(A118,'CONSOLIDADO PEAJES'!H:H,'CONSOLIDADO PEAJES'!AC:AC)</f>
        <v>0</v>
      </c>
    </row>
    <row r="119" spans="1:17" x14ac:dyDescent="0.3">
      <c r="A119" t="s">
        <v>805</v>
      </c>
      <c r="B119">
        <v>1356229</v>
      </c>
      <c r="C119" t="s">
        <v>806</v>
      </c>
      <c r="D119" s="8">
        <v>1</v>
      </c>
      <c r="E119">
        <v>3822.2530000000002</v>
      </c>
      <c r="F119" s="2">
        <v>2.4900000000000002</v>
      </c>
      <c r="H119" s="2">
        <v>412787.08</v>
      </c>
      <c r="I119" s="16">
        <f t="shared" si="6"/>
        <v>107.99575015050024</v>
      </c>
      <c r="J119" s="2">
        <v>6920.43</v>
      </c>
      <c r="K119">
        <v>42.415999999999997</v>
      </c>
      <c r="L119" s="15">
        <f t="shared" si="4"/>
        <v>0</v>
      </c>
      <c r="M119" s="15">
        <f t="shared" si="5"/>
        <v>6920.43</v>
      </c>
      <c r="N119" s="18">
        <v>163.15598827470689</v>
      </c>
      <c r="O119" s="8">
        <v>1</v>
      </c>
      <c r="Q119">
        <f>_xlfn.XLOOKUP(A119,'CONSOLIDADO PEAJES'!H:H,'CONSOLIDADO PEAJES'!AC:AC)</f>
        <v>1</v>
      </c>
    </row>
    <row r="120" spans="1:17" x14ac:dyDescent="0.3">
      <c r="A120" t="s">
        <v>1174</v>
      </c>
      <c r="B120">
        <v>1356233</v>
      </c>
      <c r="C120" t="s">
        <v>1175</v>
      </c>
      <c r="D120" s="8">
        <v>1</v>
      </c>
      <c r="E120">
        <v>2809.4870000000001</v>
      </c>
      <c r="F120" s="2">
        <v>3.72</v>
      </c>
      <c r="H120" s="2">
        <v>400159.34</v>
      </c>
      <c r="I120" s="16">
        <f t="shared" si="6"/>
        <v>142.43146168677771</v>
      </c>
      <c r="J120" s="2">
        <v>30066.94</v>
      </c>
      <c r="K120">
        <v>152.167</v>
      </c>
      <c r="L120" s="15">
        <f t="shared" si="4"/>
        <v>0</v>
      </c>
      <c r="M120" s="15">
        <f t="shared" si="5"/>
        <v>30066.94</v>
      </c>
      <c r="N120" s="18">
        <v>197.59164336750544</v>
      </c>
      <c r="O120" s="8">
        <v>1</v>
      </c>
      <c r="Q120">
        <f>_xlfn.XLOOKUP(A120,'CONSOLIDADO PEAJES'!H:H,'CONSOLIDADO PEAJES'!AC:AC)</f>
        <v>0</v>
      </c>
    </row>
    <row r="121" spans="1:17" x14ac:dyDescent="0.3">
      <c r="A121" t="s">
        <v>1394</v>
      </c>
      <c r="B121">
        <v>1356237</v>
      </c>
      <c r="C121" t="s">
        <v>1395</v>
      </c>
      <c r="D121" s="8">
        <v>1</v>
      </c>
      <c r="E121">
        <v>1412.347</v>
      </c>
      <c r="F121" s="2">
        <v>2.5299999999999998</v>
      </c>
      <c r="H121" s="2">
        <v>152527.47</v>
      </c>
      <c r="I121" s="16">
        <f t="shared" si="6"/>
        <v>107.99574750397743</v>
      </c>
      <c r="L121" s="15">
        <f t="shared" si="4"/>
        <v>0</v>
      </c>
      <c r="M121" s="15">
        <f t="shared" si="5"/>
        <v>0</v>
      </c>
      <c r="N121" s="18">
        <v>163.15598827470689</v>
      </c>
      <c r="O121" s="8">
        <v>1</v>
      </c>
      <c r="Q121">
        <f>_xlfn.XLOOKUP(A121,'CONSOLIDADO PEAJES'!H:H,'CONSOLIDADO PEAJES'!AC:AC)</f>
        <v>1</v>
      </c>
    </row>
    <row r="122" spans="1:17" x14ac:dyDescent="0.3">
      <c r="A122" t="s">
        <v>808</v>
      </c>
      <c r="B122">
        <v>1356241</v>
      </c>
      <c r="C122" t="s">
        <v>809</v>
      </c>
      <c r="D122" s="8">
        <v>1</v>
      </c>
      <c r="E122">
        <v>3086.1570000000002</v>
      </c>
      <c r="F122" s="2">
        <v>-1.84</v>
      </c>
      <c r="H122" s="2">
        <v>333291.84000000003</v>
      </c>
      <c r="I122" s="16">
        <f t="shared" si="6"/>
        <v>107.99575005419362</v>
      </c>
      <c r="L122" s="15">
        <f t="shared" si="4"/>
        <v>0</v>
      </c>
      <c r="M122" s="15">
        <f t="shared" si="5"/>
        <v>0</v>
      </c>
      <c r="N122" s="18">
        <v>163.15598827470689</v>
      </c>
      <c r="O122" s="8">
        <v>1</v>
      </c>
      <c r="Q122">
        <f>_xlfn.XLOOKUP(A122,'CONSOLIDADO PEAJES'!H:H,'CONSOLIDADO PEAJES'!AC:AC)</f>
        <v>1</v>
      </c>
    </row>
    <row r="123" spans="1:17" x14ac:dyDescent="0.3">
      <c r="A123" t="s">
        <v>1391</v>
      </c>
      <c r="B123">
        <v>1356235</v>
      </c>
      <c r="C123" t="s">
        <v>1392</v>
      </c>
      <c r="D123" s="8">
        <v>1</v>
      </c>
      <c r="E123">
        <v>3465.9560000000001</v>
      </c>
      <c r="F123" s="2">
        <v>-1.17</v>
      </c>
      <c r="H123" s="2">
        <v>493661.17</v>
      </c>
      <c r="I123" s="16">
        <f t="shared" si="6"/>
        <v>142.43145902602339</v>
      </c>
      <c r="L123" s="15">
        <f t="shared" si="4"/>
        <v>0</v>
      </c>
      <c r="M123" s="15">
        <f t="shared" si="5"/>
        <v>0</v>
      </c>
      <c r="N123" s="18">
        <v>197.59164336750544</v>
      </c>
      <c r="O123" s="8">
        <v>1</v>
      </c>
      <c r="Q123">
        <f>_xlfn.XLOOKUP(A123,'CONSOLIDADO PEAJES'!H:H,'CONSOLIDADO PEAJES'!AC:AC)</f>
        <v>0</v>
      </c>
    </row>
    <row r="124" spans="1:17" x14ac:dyDescent="0.3">
      <c r="A124" t="s">
        <v>217</v>
      </c>
      <c r="B124">
        <v>1356297</v>
      </c>
      <c r="C124" t="s">
        <v>218</v>
      </c>
      <c r="D124" s="8">
        <v>1</v>
      </c>
      <c r="E124">
        <v>893.31700000000001</v>
      </c>
      <c r="F124" s="2">
        <v>3.56</v>
      </c>
      <c r="H124" s="2">
        <v>127236.44</v>
      </c>
      <c r="I124" s="16">
        <f t="shared" si="6"/>
        <v>142.43145490346652</v>
      </c>
      <c r="L124" s="15">
        <f t="shared" si="4"/>
        <v>0</v>
      </c>
      <c r="M124" s="15">
        <f t="shared" si="5"/>
        <v>0</v>
      </c>
      <c r="N124" s="18">
        <v>197.59164336750544</v>
      </c>
      <c r="O124" s="8">
        <v>1</v>
      </c>
      <c r="Q124">
        <f>_xlfn.XLOOKUP(A124,'CONSOLIDADO PEAJES'!H:H,'CONSOLIDADO PEAJES'!AC:AC)</f>
        <v>0</v>
      </c>
    </row>
    <row r="125" spans="1:17" x14ac:dyDescent="0.3">
      <c r="A125" t="s">
        <v>1177</v>
      </c>
      <c r="B125">
        <v>1356253</v>
      </c>
      <c r="C125" t="s">
        <v>1178</v>
      </c>
      <c r="D125" s="8">
        <v>1</v>
      </c>
      <c r="E125">
        <v>7947.7240000000002</v>
      </c>
      <c r="F125" s="2">
        <v>4.07</v>
      </c>
      <c r="H125" s="2">
        <v>1132005.93</v>
      </c>
      <c r="I125" s="16">
        <f t="shared" si="6"/>
        <v>142.43145962290586</v>
      </c>
      <c r="L125" s="15">
        <f t="shared" si="4"/>
        <v>0</v>
      </c>
      <c r="M125" s="15">
        <f t="shared" si="5"/>
        <v>0</v>
      </c>
      <c r="N125" s="18">
        <v>197.59164336750544</v>
      </c>
      <c r="O125" s="8">
        <v>1</v>
      </c>
      <c r="Q125">
        <f>_xlfn.XLOOKUP(A125,'CONSOLIDADO PEAJES'!H:H,'CONSOLIDADO PEAJES'!AC:AC)</f>
        <v>0</v>
      </c>
    </row>
    <row r="126" spans="1:17" x14ac:dyDescent="0.3">
      <c r="A126" t="s">
        <v>1542</v>
      </c>
      <c r="B126">
        <v>1356250</v>
      </c>
      <c r="C126" t="s">
        <v>1543</v>
      </c>
      <c r="D126" s="8">
        <v>1</v>
      </c>
      <c r="E126">
        <v>19196.812999999998</v>
      </c>
      <c r="F126" s="2">
        <v>-0.1</v>
      </c>
      <c r="H126" s="2">
        <v>2734230.1</v>
      </c>
      <c r="I126" s="16">
        <f t="shared" si="6"/>
        <v>142.43145984700692</v>
      </c>
      <c r="L126" s="15">
        <f t="shared" si="4"/>
        <v>0</v>
      </c>
      <c r="M126" s="15">
        <f t="shared" si="5"/>
        <v>0</v>
      </c>
      <c r="N126" s="18">
        <v>197.59164336750544</v>
      </c>
      <c r="O126" s="8">
        <v>1</v>
      </c>
      <c r="Q126">
        <f>_xlfn.XLOOKUP(A126,'CONSOLIDADO PEAJES'!H:H,'CONSOLIDADO PEAJES'!AC:AC)</f>
        <v>0</v>
      </c>
    </row>
    <row r="127" spans="1:17" x14ac:dyDescent="0.3">
      <c r="A127" t="s">
        <v>599</v>
      </c>
      <c r="B127">
        <v>1356311</v>
      </c>
      <c r="C127" t="s">
        <v>600</v>
      </c>
      <c r="D127" s="8">
        <v>1</v>
      </c>
      <c r="E127">
        <v>2500.616</v>
      </c>
      <c r="F127" s="2">
        <v>4.0999999999999996</v>
      </c>
      <c r="H127" s="2">
        <v>270055.90000000002</v>
      </c>
      <c r="I127" s="16">
        <f t="shared" si="6"/>
        <v>107.99574984723765</v>
      </c>
      <c r="L127" s="15">
        <f t="shared" si="4"/>
        <v>0</v>
      </c>
      <c r="M127" s="15">
        <f t="shared" si="5"/>
        <v>0</v>
      </c>
      <c r="N127" s="18">
        <v>163.15598827470689</v>
      </c>
      <c r="O127" s="8">
        <v>1</v>
      </c>
      <c r="Q127">
        <f>_xlfn.XLOOKUP(A127,'CONSOLIDADO PEAJES'!H:H,'CONSOLIDADO PEAJES'!AC:AC)</f>
        <v>1</v>
      </c>
    </row>
    <row r="128" spans="1:17" x14ac:dyDescent="0.3">
      <c r="A128" t="s">
        <v>602</v>
      </c>
      <c r="B128">
        <v>1356330</v>
      </c>
      <c r="C128" t="s">
        <v>603</v>
      </c>
      <c r="D128" s="8">
        <v>1</v>
      </c>
      <c r="E128">
        <v>2061.913</v>
      </c>
      <c r="F128" s="2">
        <v>0.04</v>
      </c>
      <c r="H128" s="2">
        <v>222677.84</v>
      </c>
      <c r="I128" s="16">
        <f t="shared" si="6"/>
        <v>107.99574957818298</v>
      </c>
      <c r="J128" s="2">
        <v>2.12</v>
      </c>
      <c r="K128">
        <v>1.2999999999999999E-2</v>
      </c>
      <c r="L128" s="15">
        <f t="shared" si="4"/>
        <v>0</v>
      </c>
      <c r="M128" s="15">
        <f t="shared" si="5"/>
        <v>2.12</v>
      </c>
      <c r="N128" s="18">
        <v>163.15598827470689</v>
      </c>
      <c r="O128" s="8">
        <v>1</v>
      </c>
      <c r="Q128">
        <f>_xlfn.XLOOKUP(A128,'CONSOLIDADO PEAJES'!H:H,'CONSOLIDADO PEAJES'!AC:AC)</f>
        <v>1</v>
      </c>
    </row>
    <row r="129" spans="1:17" x14ac:dyDescent="0.3">
      <c r="A129" t="s">
        <v>1530</v>
      </c>
      <c r="B129">
        <v>1356263</v>
      </c>
      <c r="C129" t="s">
        <v>1531</v>
      </c>
      <c r="D129" s="8">
        <v>1</v>
      </c>
      <c r="E129">
        <v>3081.2339999999999</v>
      </c>
      <c r="F129" s="2">
        <v>-4.66</v>
      </c>
      <c r="H129" s="2">
        <v>438864.66</v>
      </c>
      <c r="I129" s="16">
        <f t="shared" si="6"/>
        <v>142.43146090170367</v>
      </c>
      <c r="L129" s="15">
        <f t="shared" si="4"/>
        <v>0</v>
      </c>
      <c r="M129" s="15">
        <f t="shared" si="5"/>
        <v>0</v>
      </c>
      <c r="N129" s="18">
        <v>197.59164336750544</v>
      </c>
      <c r="O129" s="8">
        <v>1</v>
      </c>
      <c r="Q129">
        <f>_xlfn.XLOOKUP(A129,'CONSOLIDADO PEAJES'!H:H,'CONSOLIDADO PEAJES'!AC:AC)</f>
        <v>0</v>
      </c>
    </row>
    <row r="130" spans="1:17" x14ac:dyDescent="0.3">
      <c r="A130" t="s">
        <v>1337</v>
      </c>
      <c r="B130">
        <v>1356318</v>
      </c>
      <c r="C130" t="s">
        <v>1338</v>
      </c>
      <c r="D130" s="8">
        <v>1</v>
      </c>
      <c r="E130">
        <v>2487.4189999999999</v>
      </c>
      <c r="F130" s="2">
        <v>-1.1599999999999999</v>
      </c>
      <c r="H130" s="2">
        <v>268630.68</v>
      </c>
      <c r="I130" s="16">
        <f t="shared" si="6"/>
        <v>107.99574981135065</v>
      </c>
      <c r="J130" s="2">
        <v>140.47999999999999</v>
      </c>
      <c r="K130">
        <v>0.86099999999999999</v>
      </c>
      <c r="L130" s="15">
        <f t="shared" ref="L130:L193" si="7">(J130*O130)-J130</f>
        <v>0</v>
      </c>
      <c r="M130" s="15">
        <f t="shared" ref="M130:M193" si="8">(J130*O130)</f>
        <v>140.47999999999999</v>
      </c>
      <c r="N130" s="18">
        <v>163.15598827470689</v>
      </c>
      <c r="O130" s="8">
        <v>1</v>
      </c>
      <c r="Q130">
        <f>_xlfn.XLOOKUP(A130,'CONSOLIDADO PEAJES'!H:H,'CONSOLIDADO PEAJES'!AC:AC)</f>
        <v>1</v>
      </c>
    </row>
    <row r="131" spans="1:17" x14ac:dyDescent="0.3">
      <c r="A131" t="s">
        <v>232</v>
      </c>
      <c r="B131">
        <v>1359833</v>
      </c>
      <c r="C131" t="s">
        <v>233</v>
      </c>
      <c r="D131" s="8">
        <v>1</v>
      </c>
      <c r="E131">
        <v>233.767</v>
      </c>
      <c r="F131" s="2">
        <v>1.22</v>
      </c>
      <c r="H131" s="2">
        <v>25245.84</v>
      </c>
      <c r="I131" s="16">
        <f t="shared" ref="I131:I194" si="9">(G131+H131)/E131</f>
        <v>107.99573934729881</v>
      </c>
      <c r="J131" s="2">
        <v>2.94</v>
      </c>
      <c r="K131">
        <v>1.7999999999999999E-2</v>
      </c>
      <c r="L131" s="15">
        <f t="shared" si="7"/>
        <v>0</v>
      </c>
      <c r="M131" s="15">
        <f t="shared" si="8"/>
        <v>2.94</v>
      </c>
      <c r="N131" s="18">
        <v>163.15598827470689</v>
      </c>
      <c r="O131" s="8">
        <v>1</v>
      </c>
      <c r="Q131">
        <f>_xlfn.XLOOKUP(A131,'CONSOLIDADO PEAJES'!H:H,'CONSOLIDADO PEAJES'!AC:AC)</f>
        <v>1</v>
      </c>
    </row>
    <row r="132" spans="1:17" x14ac:dyDescent="0.3">
      <c r="A132" t="s">
        <v>790</v>
      </c>
      <c r="B132">
        <v>1359838</v>
      </c>
      <c r="C132" t="s">
        <v>791</v>
      </c>
      <c r="D132" s="8">
        <v>1</v>
      </c>
      <c r="E132">
        <v>3632.3890000000001</v>
      </c>
      <c r="F132" s="2">
        <v>-2.57</v>
      </c>
      <c r="H132" s="2">
        <v>392282.57</v>
      </c>
      <c r="I132" s="16">
        <f t="shared" si="9"/>
        <v>107.99574880333576</v>
      </c>
      <c r="L132" s="15">
        <f t="shared" si="7"/>
        <v>0</v>
      </c>
      <c r="M132" s="15">
        <f t="shared" si="8"/>
        <v>0</v>
      </c>
      <c r="N132" s="18">
        <v>163.15598827470689</v>
      </c>
      <c r="O132" s="8">
        <v>1</v>
      </c>
      <c r="Q132">
        <f>_xlfn.XLOOKUP(A132,'CONSOLIDADO PEAJES'!H:H,'CONSOLIDADO PEAJES'!AC:AC)</f>
        <v>1</v>
      </c>
    </row>
    <row r="133" spans="1:17" x14ac:dyDescent="0.3">
      <c r="A133" t="s">
        <v>220</v>
      </c>
      <c r="B133">
        <v>1359839</v>
      </c>
      <c r="C133" t="s">
        <v>221</v>
      </c>
      <c r="D133" s="8">
        <v>1</v>
      </c>
      <c r="E133">
        <v>2214.098</v>
      </c>
      <c r="F133" s="2">
        <v>2.4</v>
      </c>
      <c r="H133" s="2">
        <v>315357.21000000002</v>
      </c>
      <c r="I133" s="16">
        <f t="shared" si="9"/>
        <v>142.43145967342008</v>
      </c>
      <c r="J133" s="2">
        <v>63850.39</v>
      </c>
      <c r="K133">
        <v>323.14299999999997</v>
      </c>
      <c r="L133" s="15">
        <f t="shared" si="7"/>
        <v>0</v>
      </c>
      <c r="M133" s="15">
        <f t="shared" si="8"/>
        <v>63850.39</v>
      </c>
      <c r="N133" s="18">
        <v>197.59164336750544</v>
      </c>
      <c r="O133" s="8">
        <v>1</v>
      </c>
      <c r="Q133">
        <f>_xlfn.XLOOKUP(A133,'CONSOLIDADO PEAJES'!H:H,'CONSOLIDADO PEAJES'!AC:AC)</f>
        <v>0</v>
      </c>
    </row>
    <row r="134" spans="1:17" x14ac:dyDescent="0.3">
      <c r="A134" t="s">
        <v>1397</v>
      </c>
      <c r="B134">
        <v>1359841</v>
      </c>
      <c r="C134" t="s">
        <v>1398</v>
      </c>
      <c r="D134" s="8">
        <v>1</v>
      </c>
      <c r="E134">
        <v>2155.5430000000001</v>
      </c>
      <c r="F134" s="2">
        <v>-1.1100000000000001</v>
      </c>
      <c r="H134" s="2">
        <v>307017.14</v>
      </c>
      <c r="I134" s="16">
        <f t="shared" si="9"/>
        <v>142.43146158531749</v>
      </c>
      <c r="J134" s="2">
        <v>66083.97</v>
      </c>
      <c r="K134">
        <v>334.447</v>
      </c>
      <c r="L134" s="15">
        <f t="shared" si="7"/>
        <v>0</v>
      </c>
      <c r="M134" s="15">
        <f t="shared" si="8"/>
        <v>66083.97</v>
      </c>
      <c r="N134" s="18">
        <v>197.59164336750544</v>
      </c>
      <c r="O134" s="8">
        <v>1</v>
      </c>
      <c r="Q134">
        <f>_xlfn.XLOOKUP(A134,'CONSOLIDADO PEAJES'!H:H,'CONSOLIDADO PEAJES'!AC:AC)</f>
        <v>0</v>
      </c>
    </row>
    <row r="135" spans="1:17" x14ac:dyDescent="0.3">
      <c r="A135" t="s">
        <v>142</v>
      </c>
      <c r="B135">
        <v>1359843</v>
      </c>
      <c r="C135" t="s">
        <v>143</v>
      </c>
      <c r="D135" s="8">
        <v>1</v>
      </c>
      <c r="E135">
        <v>4297.509</v>
      </c>
      <c r="F135" s="2">
        <v>-2.71</v>
      </c>
      <c r="H135" s="2">
        <v>464112.71</v>
      </c>
      <c r="I135" s="16">
        <f t="shared" si="9"/>
        <v>107.99575056154625</v>
      </c>
      <c r="L135" s="15">
        <f t="shared" si="7"/>
        <v>0</v>
      </c>
      <c r="M135" s="15">
        <f t="shared" si="8"/>
        <v>0</v>
      </c>
      <c r="N135" s="18">
        <v>163.15598827470689</v>
      </c>
      <c r="O135" s="8">
        <v>1</v>
      </c>
      <c r="Q135">
        <f>_xlfn.XLOOKUP(A135,'CONSOLIDADO PEAJES'!H:H,'CONSOLIDADO PEAJES'!AC:AC)</f>
        <v>1</v>
      </c>
    </row>
    <row r="136" spans="1:17" x14ac:dyDescent="0.3">
      <c r="A136" t="s">
        <v>784</v>
      </c>
      <c r="B136">
        <v>1356268</v>
      </c>
      <c r="C136" t="s">
        <v>785</v>
      </c>
      <c r="D136" s="8">
        <v>1</v>
      </c>
      <c r="E136">
        <v>2068.4079999999999</v>
      </c>
      <c r="F136" s="2">
        <v>3.63</v>
      </c>
      <c r="H136" s="2">
        <v>294606.37</v>
      </c>
      <c r="I136" s="16">
        <f t="shared" si="9"/>
        <v>142.43145936391659</v>
      </c>
      <c r="L136" s="15">
        <f t="shared" si="7"/>
        <v>0</v>
      </c>
      <c r="M136" s="15">
        <f t="shared" si="8"/>
        <v>0</v>
      </c>
      <c r="N136" s="18">
        <v>197.59164336750544</v>
      </c>
      <c r="O136" s="8">
        <v>1</v>
      </c>
      <c r="Q136">
        <f>_xlfn.XLOOKUP(A136,'CONSOLIDADO PEAJES'!H:H,'CONSOLIDADO PEAJES'!AC:AC)</f>
        <v>0</v>
      </c>
    </row>
    <row r="137" spans="1:17" x14ac:dyDescent="0.3">
      <c r="A137" t="s">
        <v>139</v>
      </c>
      <c r="B137">
        <v>1359844</v>
      </c>
      <c r="C137" t="s">
        <v>140</v>
      </c>
      <c r="D137" s="8">
        <v>1</v>
      </c>
      <c r="E137">
        <v>576.91499999999996</v>
      </c>
      <c r="F137" s="2">
        <v>3.32</v>
      </c>
      <c r="H137" s="2">
        <v>62304.37</v>
      </c>
      <c r="I137" s="16">
        <f t="shared" si="9"/>
        <v>107.99575327387917</v>
      </c>
      <c r="J137" s="2">
        <v>202.31</v>
      </c>
      <c r="K137">
        <v>1.24</v>
      </c>
      <c r="L137" s="15">
        <f t="shared" si="7"/>
        <v>0</v>
      </c>
      <c r="M137" s="15">
        <f t="shared" si="8"/>
        <v>202.31</v>
      </c>
      <c r="N137" s="18">
        <v>163.15598827470689</v>
      </c>
      <c r="O137" s="8">
        <v>1</v>
      </c>
      <c r="Q137">
        <f>_xlfn.XLOOKUP(A137,'CONSOLIDADO PEAJES'!H:H,'CONSOLIDADO PEAJES'!AC:AC)</f>
        <v>1</v>
      </c>
    </row>
    <row r="138" spans="1:17" x14ac:dyDescent="0.3">
      <c r="A138" t="s">
        <v>1615</v>
      </c>
      <c r="B138">
        <v>1356333</v>
      </c>
      <c r="C138" t="s">
        <v>1616</v>
      </c>
      <c r="D138" s="8">
        <v>1</v>
      </c>
      <c r="E138">
        <v>2100.7489999999998</v>
      </c>
      <c r="F138" s="2">
        <v>3.77</v>
      </c>
      <c r="H138" s="2">
        <v>226871.96</v>
      </c>
      <c r="I138" s="16">
        <f t="shared" si="9"/>
        <v>107.99574818314802</v>
      </c>
      <c r="J138" s="2">
        <v>9414.27</v>
      </c>
      <c r="K138">
        <v>57.701000000000001</v>
      </c>
      <c r="L138" s="15">
        <f t="shared" si="7"/>
        <v>0</v>
      </c>
      <c r="M138" s="15">
        <f t="shared" si="8"/>
        <v>9414.27</v>
      </c>
      <c r="N138" s="18">
        <v>163.15598827470689</v>
      </c>
      <c r="O138" s="8">
        <v>1</v>
      </c>
      <c r="Q138">
        <f>_xlfn.XLOOKUP(A138,'CONSOLIDADO PEAJES'!H:H,'CONSOLIDADO PEAJES'!AC:AC)</f>
        <v>1</v>
      </c>
    </row>
    <row r="139" spans="1:17" x14ac:dyDescent="0.3">
      <c r="A139" t="s">
        <v>787</v>
      </c>
      <c r="B139">
        <v>1356366</v>
      </c>
      <c r="C139" t="s">
        <v>788</v>
      </c>
      <c r="D139" s="8">
        <v>1</v>
      </c>
      <c r="E139">
        <v>2037.7380000000001</v>
      </c>
      <c r="F139" s="2">
        <v>2.96</v>
      </c>
      <c r="H139" s="2">
        <v>220067.04</v>
      </c>
      <c r="I139" s="16">
        <f t="shared" si="9"/>
        <v>107.99574822671021</v>
      </c>
      <c r="L139" s="15">
        <f t="shared" si="7"/>
        <v>0</v>
      </c>
      <c r="M139" s="15">
        <f t="shared" si="8"/>
        <v>0</v>
      </c>
      <c r="N139" s="18">
        <v>163.15598827470689</v>
      </c>
      <c r="O139" s="8">
        <v>1</v>
      </c>
      <c r="Q139">
        <f>_xlfn.XLOOKUP(A139,'CONSOLIDADO PEAJES'!H:H,'CONSOLIDADO PEAJES'!AC:AC)</f>
        <v>1</v>
      </c>
    </row>
    <row r="140" spans="1:17" x14ac:dyDescent="0.3">
      <c r="A140" t="s">
        <v>802</v>
      </c>
      <c r="B140">
        <v>1356272</v>
      </c>
      <c r="C140" t="s">
        <v>803</v>
      </c>
      <c r="D140" s="8">
        <v>1</v>
      </c>
      <c r="E140">
        <v>4511.6180000000004</v>
      </c>
      <c r="F140" s="2">
        <v>-2.4700000000000002</v>
      </c>
      <c r="H140" s="2">
        <v>487235.57</v>
      </c>
      <c r="I140" s="16">
        <f t="shared" si="9"/>
        <v>107.99575008345121</v>
      </c>
      <c r="J140" s="2">
        <v>176136.9</v>
      </c>
      <c r="K140">
        <v>1079.5609999999999</v>
      </c>
      <c r="L140" s="15">
        <f t="shared" si="7"/>
        <v>352273.79999999993</v>
      </c>
      <c r="M140" s="15">
        <f t="shared" si="8"/>
        <v>528410.69999999995</v>
      </c>
      <c r="N140" s="18">
        <v>163.15598827470689</v>
      </c>
      <c r="O140" s="8">
        <v>3</v>
      </c>
      <c r="Q140">
        <f>_xlfn.XLOOKUP(A140,'CONSOLIDADO PEAJES'!H:H,'CONSOLIDADO PEAJES'!AC:AC)</f>
        <v>1</v>
      </c>
    </row>
    <row r="141" spans="1:17" x14ac:dyDescent="0.3">
      <c r="A141" t="s">
        <v>1355</v>
      </c>
      <c r="B141">
        <v>1360640</v>
      </c>
      <c r="C141" t="s">
        <v>1356</v>
      </c>
      <c r="D141" s="8">
        <v>1</v>
      </c>
      <c r="E141">
        <v>4131.3360000000002</v>
      </c>
      <c r="F141" s="2">
        <v>2.42</v>
      </c>
      <c r="H141" s="2">
        <v>588432.22</v>
      </c>
      <c r="I141" s="16">
        <f t="shared" si="9"/>
        <v>142.43146042829727</v>
      </c>
      <c r="J141" s="2">
        <v>85.36</v>
      </c>
      <c r="K141">
        <v>0.432</v>
      </c>
      <c r="L141" s="15">
        <f t="shared" si="7"/>
        <v>0</v>
      </c>
      <c r="M141" s="15">
        <f t="shared" si="8"/>
        <v>85.36</v>
      </c>
      <c r="N141" s="18">
        <v>197.59164336750544</v>
      </c>
      <c r="O141" s="8">
        <v>1</v>
      </c>
      <c r="Q141">
        <f>_xlfn.XLOOKUP(A141,'CONSOLIDADO PEAJES'!H:H,'CONSOLIDADO PEAJES'!AC:AC)</f>
        <v>0</v>
      </c>
    </row>
    <row r="142" spans="1:17" x14ac:dyDescent="0.3">
      <c r="A142" t="s">
        <v>340</v>
      </c>
      <c r="B142">
        <v>1360642</v>
      </c>
      <c r="C142" t="s">
        <v>341</v>
      </c>
      <c r="D142" s="8">
        <v>1</v>
      </c>
      <c r="E142">
        <v>4392.7619999999997</v>
      </c>
      <c r="F142" s="2">
        <v>-1.54</v>
      </c>
      <c r="H142" s="2">
        <v>625667.51</v>
      </c>
      <c r="I142" s="16">
        <f t="shared" si="9"/>
        <v>142.43146111717414</v>
      </c>
      <c r="J142" s="2">
        <v>4674.03</v>
      </c>
      <c r="K142">
        <v>23.655000000000001</v>
      </c>
      <c r="L142" s="15">
        <f t="shared" si="7"/>
        <v>0</v>
      </c>
      <c r="M142" s="15">
        <f t="shared" si="8"/>
        <v>4674.03</v>
      </c>
      <c r="N142" s="18">
        <v>197.59164336750544</v>
      </c>
      <c r="O142" s="8">
        <v>1</v>
      </c>
      <c r="Q142">
        <f>_xlfn.XLOOKUP(A142,'CONSOLIDADO PEAJES'!H:H,'CONSOLIDADO PEAJES'!AC:AC)</f>
        <v>0</v>
      </c>
    </row>
    <row r="143" spans="1:17" x14ac:dyDescent="0.3">
      <c r="A143" t="s">
        <v>1400</v>
      </c>
      <c r="B143">
        <v>1359845</v>
      </c>
      <c r="C143" t="s">
        <v>1401</v>
      </c>
      <c r="D143" s="8">
        <v>1</v>
      </c>
      <c r="E143">
        <v>6137.5540000000001</v>
      </c>
      <c r="F143" s="2">
        <v>-4.51</v>
      </c>
      <c r="H143" s="2">
        <v>874180.78</v>
      </c>
      <c r="I143" s="16">
        <f t="shared" si="9"/>
        <v>142.43146048083651</v>
      </c>
      <c r="J143" s="2">
        <v>317333.73</v>
      </c>
      <c r="K143">
        <v>1606.0070000000001</v>
      </c>
      <c r="L143" s="15">
        <f t="shared" si="7"/>
        <v>317333.73</v>
      </c>
      <c r="M143" s="15">
        <f t="shared" si="8"/>
        <v>634667.46</v>
      </c>
      <c r="N143" s="18">
        <v>197.59164336750544</v>
      </c>
      <c r="O143" s="8">
        <v>2</v>
      </c>
      <c r="Q143">
        <f>_xlfn.XLOOKUP(A143,'CONSOLIDADO PEAJES'!H:H,'CONSOLIDADO PEAJES'!AC:AC)</f>
        <v>0</v>
      </c>
    </row>
    <row r="144" spans="1:17" x14ac:dyDescent="0.3">
      <c r="A144" t="s">
        <v>76</v>
      </c>
      <c r="B144">
        <v>1360644</v>
      </c>
      <c r="C144" t="s">
        <v>77</v>
      </c>
      <c r="D144" s="8">
        <v>1</v>
      </c>
      <c r="E144">
        <v>3646.2460000000001</v>
      </c>
      <c r="F144" s="2">
        <v>2.99</v>
      </c>
      <c r="H144" s="2">
        <v>519340.14</v>
      </c>
      <c r="I144" s="16">
        <f t="shared" si="9"/>
        <v>142.4314596436993</v>
      </c>
      <c r="J144" s="2">
        <v>6196.87</v>
      </c>
      <c r="K144">
        <v>31.361999999999998</v>
      </c>
      <c r="L144" s="15">
        <f t="shared" si="7"/>
        <v>0</v>
      </c>
      <c r="M144" s="15">
        <f t="shared" si="8"/>
        <v>6196.87</v>
      </c>
      <c r="N144" s="18">
        <v>197.59164336750544</v>
      </c>
      <c r="O144" s="8">
        <v>1</v>
      </c>
      <c r="Q144">
        <f>_xlfn.XLOOKUP(A144,'CONSOLIDADO PEAJES'!H:H,'CONSOLIDADO PEAJES'!AC:AC)</f>
        <v>0</v>
      </c>
    </row>
    <row r="145" spans="1:17" x14ac:dyDescent="0.3">
      <c r="A145" t="s">
        <v>202</v>
      </c>
      <c r="B145">
        <v>1359030</v>
      </c>
      <c r="C145" t="s">
        <v>203</v>
      </c>
      <c r="D145" s="8">
        <v>1</v>
      </c>
      <c r="E145">
        <v>3820.4960000000001</v>
      </c>
      <c r="F145" s="2">
        <v>2.5099999999999998</v>
      </c>
      <c r="H145" s="2">
        <v>412597.33</v>
      </c>
      <c r="I145" s="16">
        <f t="shared" si="9"/>
        <v>107.99574976652247</v>
      </c>
      <c r="J145" s="2">
        <v>0.16</v>
      </c>
      <c r="K145">
        <v>1E-3</v>
      </c>
      <c r="L145" s="15">
        <f t="shared" si="7"/>
        <v>0</v>
      </c>
      <c r="M145" s="15">
        <f t="shared" si="8"/>
        <v>0.16</v>
      </c>
      <c r="N145" s="18">
        <v>163.15598827470689</v>
      </c>
      <c r="O145" s="8">
        <v>1</v>
      </c>
      <c r="Q145">
        <f>_xlfn.XLOOKUP(A145,'CONSOLIDADO PEAJES'!H:H,'CONSOLIDADO PEAJES'!AC:AC)</f>
        <v>1</v>
      </c>
    </row>
    <row r="146" spans="1:17" x14ac:dyDescent="0.3">
      <c r="A146" t="s">
        <v>1165</v>
      </c>
      <c r="B146">
        <v>1359031</v>
      </c>
      <c r="C146" t="s">
        <v>1166</v>
      </c>
      <c r="D146" s="8">
        <v>1</v>
      </c>
      <c r="E146">
        <v>2199.8389999999999</v>
      </c>
      <c r="F146" s="2">
        <v>-3.26</v>
      </c>
      <c r="H146" s="2">
        <v>237573.26</v>
      </c>
      <c r="I146" s="16">
        <f t="shared" si="9"/>
        <v>107.99574877979707</v>
      </c>
      <c r="L146" s="15">
        <f t="shared" si="7"/>
        <v>0</v>
      </c>
      <c r="M146" s="15">
        <f t="shared" si="8"/>
        <v>0</v>
      </c>
      <c r="N146" s="18">
        <v>163.15598827470689</v>
      </c>
      <c r="O146" s="8">
        <v>1</v>
      </c>
      <c r="Q146">
        <f>_xlfn.XLOOKUP(A146,'CONSOLIDADO PEAJES'!H:H,'CONSOLIDADO PEAJES'!AC:AC)</f>
        <v>1</v>
      </c>
    </row>
    <row r="147" spans="1:17" x14ac:dyDescent="0.3">
      <c r="A147" t="s">
        <v>1524</v>
      </c>
      <c r="B147">
        <v>1359035</v>
      </c>
      <c r="C147" t="s">
        <v>1525</v>
      </c>
      <c r="D147" s="8">
        <v>1</v>
      </c>
      <c r="E147">
        <v>2646.826</v>
      </c>
      <c r="F147" s="2">
        <v>4.04</v>
      </c>
      <c r="H147" s="2">
        <v>285845.96000000002</v>
      </c>
      <c r="I147" s="16">
        <f t="shared" si="9"/>
        <v>107.99575038177804</v>
      </c>
      <c r="L147" s="15">
        <f t="shared" si="7"/>
        <v>0</v>
      </c>
      <c r="M147" s="15">
        <f t="shared" si="8"/>
        <v>0</v>
      </c>
      <c r="N147" s="18">
        <v>163.15598827470689</v>
      </c>
      <c r="O147" s="8">
        <v>1</v>
      </c>
      <c r="Q147">
        <f>_xlfn.XLOOKUP(A147,'CONSOLIDADO PEAJES'!H:H,'CONSOLIDADO PEAJES'!AC:AC)</f>
        <v>1</v>
      </c>
    </row>
    <row r="148" spans="1:17" x14ac:dyDescent="0.3">
      <c r="A148" t="s">
        <v>1497</v>
      </c>
      <c r="B148">
        <v>1358831</v>
      </c>
      <c r="C148" t="s">
        <v>1498</v>
      </c>
      <c r="D148" s="8">
        <v>1</v>
      </c>
      <c r="E148">
        <v>3052.6280000000002</v>
      </c>
      <c r="F148" s="2">
        <v>-0.85</v>
      </c>
      <c r="H148" s="2">
        <v>329670.84999999998</v>
      </c>
      <c r="I148" s="16">
        <f t="shared" si="9"/>
        <v>107.99574989156882</v>
      </c>
      <c r="L148" s="15">
        <f t="shared" si="7"/>
        <v>0</v>
      </c>
      <c r="M148" s="15">
        <f t="shared" si="8"/>
        <v>0</v>
      </c>
      <c r="N148" s="18">
        <v>163.15598827470689</v>
      </c>
      <c r="O148" s="8">
        <v>1</v>
      </c>
      <c r="Q148">
        <f>_xlfn.XLOOKUP(A148,'CONSOLIDADO PEAJES'!H:H,'CONSOLIDADO PEAJES'!AC:AC)</f>
        <v>1</v>
      </c>
    </row>
    <row r="149" spans="1:17" x14ac:dyDescent="0.3">
      <c r="A149" t="s">
        <v>605</v>
      </c>
      <c r="B149">
        <v>1358836</v>
      </c>
      <c r="C149" t="s">
        <v>606</v>
      </c>
      <c r="D149" s="8">
        <v>1</v>
      </c>
      <c r="E149">
        <v>4283.29</v>
      </c>
      <c r="F149" s="2">
        <v>-3.95</v>
      </c>
      <c r="H149" s="2">
        <v>462577.12</v>
      </c>
      <c r="I149" s="16">
        <f t="shared" si="9"/>
        <v>107.99575092977594</v>
      </c>
      <c r="J149" s="2">
        <v>46.83</v>
      </c>
      <c r="K149">
        <v>0.28699999999999998</v>
      </c>
      <c r="L149" s="15">
        <f t="shared" si="7"/>
        <v>0</v>
      </c>
      <c r="M149" s="15">
        <f t="shared" si="8"/>
        <v>46.83</v>
      </c>
      <c r="N149" s="18">
        <v>163.15598827470689</v>
      </c>
      <c r="O149" s="8">
        <v>1</v>
      </c>
      <c r="Q149">
        <f>_xlfn.XLOOKUP(A149,'CONSOLIDADO PEAJES'!H:H,'CONSOLIDADO PEAJES'!AC:AC)</f>
        <v>1</v>
      </c>
    </row>
    <row r="150" spans="1:17" x14ac:dyDescent="0.3">
      <c r="A150" t="s">
        <v>229</v>
      </c>
      <c r="B150">
        <v>1359846</v>
      </c>
      <c r="C150" t="s">
        <v>230</v>
      </c>
      <c r="D150" s="8">
        <v>1</v>
      </c>
      <c r="E150">
        <v>4162.0050000000001</v>
      </c>
      <c r="F150" s="2">
        <v>-2.94</v>
      </c>
      <c r="H150" s="2">
        <v>592800.44999999995</v>
      </c>
      <c r="I150" s="16">
        <f t="shared" si="9"/>
        <v>142.43146031780356</v>
      </c>
      <c r="J150" s="2">
        <v>2552.4899999999998</v>
      </c>
      <c r="K150">
        <v>12.917999999999999</v>
      </c>
      <c r="L150" s="15">
        <f t="shared" si="7"/>
        <v>0</v>
      </c>
      <c r="M150" s="15">
        <f t="shared" si="8"/>
        <v>2552.4899999999998</v>
      </c>
      <c r="N150" s="18">
        <v>197.59164336750544</v>
      </c>
      <c r="O150" s="8">
        <v>1</v>
      </c>
      <c r="Q150">
        <f>_xlfn.XLOOKUP(A150,'CONSOLIDADO PEAJES'!H:H,'CONSOLIDADO PEAJES'!AC:AC)</f>
        <v>0</v>
      </c>
    </row>
    <row r="151" spans="1:17" x14ac:dyDescent="0.3">
      <c r="A151" t="s">
        <v>769</v>
      </c>
      <c r="B151">
        <v>1363124</v>
      </c>
      <c r="C151" t="s">
        <v>770</v>
      </c>
      <c r="D151" s="8">
        <v>1</v>
      </c>
      <c r="E151">
        <v>2138.2440000000001</v>
      </c>
      <c r="F151" s="2">
        <v>-1.26</v>
      </c>
      <c r="H151" s="2">
        <v>230921.26</v>
      </c>
      <c r="I151" s="16">
        <f t="shared" si="9"/>
        <v>107.99574791277328</v>
      </c>
      <c r="L151" s="15">
        <f t="shared" si="7"/>
        <v>0</v>
      </c>
      <c r="M151" s="15">
        <f t="shared" si="8"/>
        <v>0</v>
      </c>
      <c r="N151" s="18">
        <v>163.15598827470689</v>
      </c>
      <c r="O151" s="8">
        <v>1</v>
      </c>
      <c r="Q151">
        <f>_xlfn.XLOOKUP(A151,'CONSOLIDADO PEAJES'!H:H,'CONSOLIDADO PEAJES'!AC:AC)</f>
        <v>1</v>
      </c>
    </row>
    <row r="152" spans="1:17" x14ac:dyDescent="0.3">
      <c r="A152" t="s">
        <v>646</v>
      </c>
      <c r="B152">
        <v>1362945</v>
      </c>
      <c r="C152" t="s">
        <v>647</v>
      </c>
      <c r="D152" s="8">
        <v>1</v>
      </c>
      <c r="E152">
        <v>2499.9459999999999</v>
      </c>
      <c r="F152" s="2">
        <v>-3.54</v>
      </c>
      <c r="H152" s="2">
        <v>269983.53999999998</v>
      </c>
      <c r="I152" s="16">
        <f t="shared" si="9"/>
        <v>107.99574870817209</v>
      </c>
      <c r="L152" s="15">
        <f t="shared" si="7"/>
        <v>0</v>
      </c>
      <c r="M152" s="15">
        <f t="shared" si="8"/>
        <v>0</v>
      </c>
      <c r="N152" s="18">
        <v>163.15598827470689</v>
      </c>
      <c r="O152" s="8">
        <v>1</v>
      </c>
      <c r="Q152">
        <f>_xlfn.XLOOKUP(A152,'CONSOLIDADO PEAJES'!H:H,'CONSOLIDADO PEAJES'!AC:AC)</f>
        <v>1</v>
      </c>
    </row>
    <row r="153" spans="1:17" x14ac:dyDescent="0.3">
      <c r="A153" t="s">
        <v>1159</v>
      </c>
      <c r="B153">
        <v>1363121</v>
      </c>
      <c r="C153" t="s">
        <v>1160</v>
      </c>
      <c r="D153" s="8">
        <v>1</v>
      </c>
      <c r="E153">
        <v>7132.9669999999996</v>
      </c>
      <c r="F153" s="2">
        <v>3.66</v>
      </c>
      <c r="H153" s="2">
        <v>770330.12</v>
      </c>
      <c r="I153" s="16">
        <f t="shared" si="9"/>
        <v>107.99574987519219</v>
      </c>
      <c r="J153" s="2">
        <v>1136.22</v>
      </c>
      <c r="K153">
        <v>6.9640000000000004</v>
      </c>
      <c r="L153" s="15">
        <f t="shared" si="7"/>
        <v>0</v>
      </c>
      <c r="M153" s="15">
        <f t="shared" si="8"/>
        <v>1136.22</v>
      </c>
      <c r="N153" s="18">
        <v>163.15598827470689</v>
      </c>
      <c r="O153" s="8">
        <v>1</v>
      </c>
      <c r="Q153">
        <f>_xlfn.XLOOKUP(A153,'CONSOLIDADO PEAJES'!H:H,'CONSOLIDADO PEAJES'!AC:AC)</f>
        <v>1</v>
      </c>
    </row>
    <row r="154" spans="1:17" x14ac:dyDescent="0.3">
      <c r="A154" t="s">
        <v>173</v>
      </c>
      <c r="B154">
        <v>1363134</v>
      </c>
      <c r="C154" t="s">
        <v>174</v>
      </c>
      <c r="D154" s="8">
        <v>1</v>
      </c>
      <c r="E154">
        <v>2362.4549999999999</v>
      </c>
      <c r="F154" s="2">
        <v>4.9000000000000004</v>
      </c>
      <c r="H154" s="2">
        <v>255135.1</v>
      </c>
      <c r="I154" s="16">
        <f t="shared" si="9"/>
        <v>107.99575018360139</v>
      </c>
      <c r="L154" s="15">
        <f t="shared" si="7"/>
        <v>0</v>
      </c>
      <c r="M154" s="15">
        <f t="shared" si="8"/>
        <v>0</v>
      </c>
      <c r="N154" s="18">
        <v>163.15598827470689</v>
      </c>
      <c r="O154" s="8">
        <v>1</v>
      </c>
      <c r="Q154">
        <f>_xlfn.XLOOKUP(A154,'CONSOLIDADO PEAJES'!H:H,'CONSOLIDADO PEAJES'!AC:AC)</f>
        <v>1</v>
      </c>
    </row>
    <row r="155" spans="1:17" x14ac:dyDescent="0.3">
      <c r="A155" t="s">
        <v>833</v>
      </c>
      <c r="B155">
        <v>1363498</v>
      </c>
      <c r="C155" t="s">
        <v>834</v>
      </c>
      <c r="D155" s="8">
        <v>1</v>
      </c>
      <c r="E155">
        <v>7163.9989999999998</v>
      </c>
      <c r="F155" s="2">
        <v>-1.45</v>
      </c>
      <c r="H155" s="2">
        <v>773681.45</v>
      </c>
      <c r="I155" s="16">
        <f t="shared" si="9"/>
        <v>107.99575069734097</v>
      </c>
      <c r="L155" s="15">
        <f t="shared" si="7"/>
        <v>0</v>
      </c>
      <c r="M155" s="15">
        <f t="shared" si="8"/>
        <v>0</v>
      </c>
      <c r="N155" s="18">
        <v>163.15598827470689</v>
      </c>
      <c r="O155" s="8">
        <v>1</v>
      </c>
      <c r="Q155">
        <f>_xlfn.XLOOKUP(A155,'CONSOLIDADO PEAJES'!H:H,'CONSOLIDADO PEAJES'!AC:AC)</f>
        <v>1</v>
      </c>
    </row>
    <row r="156" spans="1:17" x14ac:dyDescent="0.3">
      <c r="A156" t="s">
        <v>652</v>
      </c>
      <c r="B156">
        <v>1363370</v>
      </c>
      <c r="C156" t="s">
        <v>653</v>
      </c>
      <c r="D156" s="8">
        <v>1</v>
      </c>
      <c r="E156">
        <v>63.603999999999999</v>
      </c>
      <c r="F156" s="2">
        <v>0.35</v>
      </c>
      <c r="H156" s="2">
        <v>6868.96</v>
      </c>
      <c r="I156" s="16">
        <f t="shared" si="9"/>
        <v>107.99572353940005</v>
      </c>
      <c r="J156" s="2">
        <v>920.69</v>
      </c>
      <c r="K156">
        <v>5.6429999999999998</v>
      </c>
      <c r="L156" s="15">
        <f t="shared" si="7"/>
        <v>0</v>
      </c>
      <c r="M156" s="15">
        <f t="shared" si="8"/>
        <v>920.69</v>
      </c>
      <c r="N156" s="18">
        <v>163.15598827470689</v>
      </c>
      <c r="O156" s="8">
        <v>1</v>
      </c>
      <c r="Q156">
        <f>_xlfn.XLOOKUP(A156,'CONSOLIDADO PEAJES'!H:H,'CONSOLIDADO PEAJES'!AC:AC)</f>
        <v>1</v>
      </c>
    </row>
    <row r="157" spans="1:17" x14ac:dyDescent="0.3">
      <c r="A157" t="s">
        <v>205</v>
      </c>
      <c r="B157">
        <v>1363377</v>
      </c>
      <c r="C157" t="s">
        <v>206</v>
      </c>
      <c r="D157" s="8">
        <v>1</v>
      </c>
      <c r="E157">
        <v>2111.373</v>
      </c>
      <c r="F157" s="2">
        <v>0.54</v>
      </c>
      <c r="H157" s="2">
        <v>228019.31</v>
      </c>
      <c r="I157" s="16">
        <f t="shared" si="9"/>
        <v>107.99574968515748</v>
      </c>
      <c r="J157" s="2">
        <v>8490.15</v>
      </c>
      <c r="K157">
        <v>52.036999999999999</v>
      </c>
      <c r="L157" s="15">
        <f t="shared" si="7"/>
        <v>0</v>
      </c>
      <c r="M157" s="15">
        <f t="shared" si="8"/>
        <v>8490.15</v>
      </c>
      <c r="N157" s="18">
        <v>163.15598827470689</v>
      </c>
      <c r="O157" s="8">
        <v>1</v>
      </c>
      <c r="Q157">
        <f>_xlfn.XLOOKUP(A157,'CONSOLIDADO PEAJES'!H:H,'CONSOLIDADO PEAJES'!AC:AC)</f>
        <v>1</v>
      </c>
    </row>
    <row r="158" spans="1:17" x14ac:dyDescent="0.3">
      <c r="A158" t="s">
        <v>157</v>
      </c>
      <c r="B158">
        <v>1363362</v>
      </c>
      <c r="C158" t="s">
        <v>158</v>
      </c>
      <c r="D158" s="8">
        <v>1</v>
      </c>
      <c r="E158">
        <v>667.52099999999996</v>
      </c>
      <c r="F158" s="2">
        <v>-3.24</v>
      </c>
      <c r="H158" s="2">
        <v>72089.429999999993</v>
      </c>
      <c r="I158" s="16">
        <f t="shared" si="9"/>
        <v>107.99574844836341</v>
      </c>
      <c r="J158" s="2">
        <v>93.81</v>
      </c>
      <c r="K158">
        <v>0.57499999999999996</v>
      </c>
      <c r="L158" s="15">
        <f t="shared" si="7"/>
        <v>0</v>
      </c>
      <c r="M158" s="15">
        <f t="shared" si="8"/>
        <v>93.81</v>
      </c>
      <c r="N158" s="18">
        <v>163.15598827470689</v>
      </c>
      <c r="O158" s="8">
        <v>1</v>
      </c>
      <c r="Q158">
        <f>_xlfn.XLOOKUP(A158,'CONSOLIDADO PEAJES'!H:H,'CONSOLIDADO PEAJES'!AC:AC)</f>
        <v>1</v>
      </c>
    </row>
    <row r="159" spans="1:17" x14ac:dyDescent="0.3">
      <c r="A159" t="s">
        <v>1205</v>
      </c>
      <c r="B159">
        <v>1363524</v>
      </c>
      <c r="C159" t="s">
        <v>1206</v>
      </c>
      <c r="D159" s="8">
        <v>1</v>
      </c>
      <c r="E159">
        <v>3956.7069999999999</v>
      </c>
      <c r="F159" s="2">
        <v>1.41</v>
      </c>
      <c r="H159" s="2">
        <v>563559.55000000005</v>
      </c>
      <c r="I159" s="16">
        <f t="shared" si="9"/>
        <v>142.43145878630892</v>
      </c>
      <c r="J159" s="2">
        <v>259.04000000000002</v>
      </c>
      <c r="K159">
        <v>1.3109999999999999</v>
      </c>
      <c r="L159" s="15">
        <f t="shared" si="7"/>
        <v>0</v>
      </c>
      <c r="M159" s="15">
        <f t="shared" si="8"/>
        <v>259.04000000000002</v>
      </c>
      <c r="N159" s="18">
        <v>197.59164336750544</v>
      </c>
      <c r="O159" s="8">
        <v>1</v>
      </c>
      <c r="Q159">
        <f>_xlfn.XLOOKUP(A159,'CONSOLIDADO PEAJES'!H:H,'CONSOLIDADO PEAJES'!AC:AC)</f>
        <v>0</v>
      </c>
    </row>
    <row r="160" spans="1:17" x14ac:dyDescent="0.3">
      <c r="A160" t="s">
        <v>1117</v>
      </c>
      <c r="B160">
        <v>1363525</v>
      </c>
      <c r="C160" t="s">
        <v>1118</v>
      </c>
      <c r="D160" s="8">
        <v>1</v>
      </c>
      <c r="E160">
        <v>3835.3249999999998</v>
      </c>
      <c r="F160" s="2">
        <v>0.35</v>
      </c>
      <c r="H160" s="2">
        <v>546270.93999999994</v>
      </c>
      <c r="I160" s="16">
        <f t="shared" si="9"/>
        <v>142.43146017612588</v>
      </c>
      <c r="J160" s="2">
        <v>237568.71</v>
      </c>
      <c r="K160">
        <v>1202.3209999999999</v>
      </c>
      <c r="L160" s="15">
        <f t="shared" si="7"/>
        <v>0</v>
      </c>
      <c r="M160" s="15">
        <f t="shared" si="8"/>
        <v>237568.71</v>
      </c>
      <c r="N160" s="18">
        <v>197.59164336750544</v>
      </c>
      <c r="O160" s="8">
        <v>1</v>
      </c>
      <c r="Q160">
        <f>_xlfn.XLOOKUP(A160,'CONSOLIDADO PEAJES'!H:H,'CONSOLIDADO PEAJES'!AC:AC)</f>
        <v>0</v>
      </c>
    </row>
    <row r="161" spans="1:17" x14ac:dyDescent="0.3">
      <c r="A161" t="s">
        <v>294</v>
      </c>
      <c r="B161">
        <v>1363527</v>
      </c>
      <c r="C161" t="s">
        <v>295</v>
      </c>
      <c r="D161" s="8">
        <v>1</v>
      </c>
      <c r="E161">
        <v>4026.9769999999999</v>
      </c>
      <c r="F161" s="2">
        <v>-2.74</v>
      </c>
      <c r="H161" s="2">
        <v>573568.21</v>
      </c>
      <c r="I161" s="16">
        <f t="shared" si="9"/>
        <v>142.4314591317507</v>
      </c>
      <c r="J161" s="2">
        <v>151794.53</v>
      </c>
      <c r="K161">
        <v>768.22299999999996</v>
      </c>
      <c r="L161" s="15">
        <f t="shared" si="7"/>
        <v>0</v>
      </c>
      <c r="M161" s="15">
        <f t="shared" si="8"/>
        <v>151794.53</v>
      </c>
      <c r="N161" s="18">
        <v>197.59164336750544</v>
      </c>
      <c r="O161" s="8">
        <v>1</v>
      </c>
      <c r="Q161">
        <f>_xlfn.XLOOKUP(A161,'CONSOLIDADO PEAJES'!H:H,'CONSOLIDADO PEAJES'!AC:AC)</f>
        <v>0</v>
      </c>
    </row>
    <row r="162" spans="1:17" x14ac:dyDescent="0.3">
      <c r="A162" t="s">
        <v>649</v>
      </c>
      <c r="B162">
        <v>1363374</v>
      </c>
      <c r="C162" t="s">
        <v>650</v>
      </c>
      <c r="D162" s="8">
        <v>1</v>
      </c>
      <c r="E162">
        <v>8429.36</v>
      </c>
      <c r="F162" s="2">
        <v>1.98</v>
      </c>
      <c r="H162" s="2">
        <v>1200606.05</v>
      </c>
      <c r="I162" s="16">
        <f t="shared" si="9"/>
        <v>142.43145980240493</v>
      </c>
      <c r="J162" s="2">
        <v>86201.97</v>
      </c>
      <c r="K162">
        <v>436.26299999999998</v>
      </c>
      <c r="L162" s="15">
        <f t="shared" si="7"/>
        <v>0</v>
      </c>
      <c r="M162" s="15">
        <f t="shared" si="8"/>
        <v>86201.97</v>
      </c>
      <c r="N162" s="18">
        <v>197.59164336750544</v>
      </c>
      <c r="O162" s="8">
        <v>1</v>
      </c>
      <c r="Q162">
        <f>_xlfn.XLOOKUP(A162,'CONSOLIDADO PEAJES'!H:H,'CONSOLIDADO PEAJES'!AC:AC)</f>
        <v>0</v>
      </c>
    </row>
    <row r="163" spans="1:17" x14ac:dyDescent="0.3">
      <c r="A163" t="s">
        <v>297</v>
      </c>
      <c r="B163">
        <v>1363529</v>
      </c>
      <c r="C163" t="s">
        <v>298</v>
      </c>
      <c r="D163" s="8">
        <v>1</v>
      </c>
      <c r="E163">
        <v>7133.8280000000004</v>
      </c>
      <c r="F163" s="2">
        <v>3.94</v>
      </c>
      <c r="H163" s="2">
        <v>1016081.54</v>
      </c>
      <c r="I163" s="16">
        <f t="shared" si="9"/>
        <v>142.43146036041239</v>
      </c>
      <c r="J163" s="2">
        <v>794.52</v>
      </c>
      <c r="K163">
        <v>4.0209999999999999</v>
      </c>
      <c r="L163" s="15">
        <f t="shared" si="7"/>
        <v>0</v>
      </c>
      <c r="M163" s="15">
        <f t="shared" si="8"/>
        <v>794.52</v>
      </c>
      <c r="N163" s="18">
        <v>197.59164336750544</v>
      </c>
      <c r="O163" s="8">
        <v>1</v>
      </c>
      <c r="Q163">
        <f>_xlfn.XLOOKUP(A163,'CONSOLIDADO PEAJES'!H:H,'CONSOLIDADO PEAJES'!AC:AC)</f>
        <v>0</v>
      </c>
    </row>
    <row r="164" spans="1:17" x14ac:dyDescent="0.3">
      <c r="A164" t="s">
        <v>739</v>
      </c>
      <c r="B164">
        <v>1363365</v>
      </c>
      <c r="C164" t="s">
        <v>740</v>
      </c>
      <c r="D164" s="8">
        <v>1</v>
      </c>
      <c r="E164">
        <v>1169.4490000000001</v>
      </c>
      <c r="F164" s="2">
        <v>4.4800000000000004</v>
      </c>
      <c r="H164" s="2">
        <v>126295.52</v>
      </c>
      <c r="I164" s="16">
        <f t="shared" si="9"/>
        <v>107.99574842511302</v>
      </c>
      <c r="L164" s="15">
        <f t="shared" si="7"/>
        <v>0</v>
      </c>
      <c r="M164" s="15">
        <f t="shared" si="8"/>
        <v>0</v>
      </c>
      <c r="N164" s="18">
        <v>163.15598827470689</v>
      </c>
      <c r="O164" s="8">
        <v>1</v>
      </c>
      <c r="Q164">
        <f>_xlfn.XLOOKUP(A164,'CONSOLIDADO PEAJES'!H:H,'CONSOLIDADO PEAJES'!AC:AC)</f>
        <v>1</v>
      </c>
    </row>
    <row r="165" spans="1:17" x14ac:dyDescent="0.3">
      <c r="A165" t="s">
        <v>1597</v>
      </c>
      <c r="B165">
        <v>1363531</v>
      </c>
      <c r="C165" t="s">
        <v>1598</v>
      </c>
      <c r="D165" s="8">
        <v>1</v>
      </c>
      <c r="E165">
        <v>18948.999</v>
      </c>
      <c r="F165" s="2">
        <v>3.32</v>
      </c>
      <c r="H165" s="2">
        <v>2698933.59</v>
      </c>
      <c r="I165" s="16">
        <f t="shared" si="9"/>
        <v>142.43145983595227</v>
      </c>
      <c r="J165" s="2">
        <v>4423.09</v>
      </c>
      <c r="K165">
        <v>22.385000000000002</v>
      </c>
      <c r="L165" s="15">
        <f t="shared" si="7"/>
        <v>0</v>
      </c>
      <c r="M165" s="15">
        <f t="shared" si="8"/>
        <v>4423.09</v>
      </c>
      <c r="N165" s="18">
        <v>197.59164336750544</v>
      </c>
      <c r="O165" s="8">
        <v>1</v>
      </c>
      <c r="Q165">
        <f>_xlfn.XLOOKUP(A165,'CONSOLIDADO PEAJES'!H:H,'CONSOLIDADO PEAJES'!AC:AC)</f>
        <v>0</v>
      </c>
    </row>
    <row r="166" spans="1:17" x14ac:dyDescent="0.3">
      <c r="A166" t="s">
        <v>327</v>
      </c>
      <c r="B166">
        <v>1364865</v>
      </c>
      <c r="C166" t="s">
        <v>328</v>
      </c>
      <c r="D166" s="8">
        <v>1</v>
      </c>
      <c r="E166">
        <v>115.917</v>
      </c>
      <c r="F166" s="2">
        <v>-0.43</v>
      </c>
      <c r="H166" s="2">
        <v>16510.23</v>
      </c>
      <c r="I166" s="16">
        <f t="shared" si="9"/>
        <v>142.43148114599239</v>
      </c>
      <c r="J166" s="2">
        <v>640.20000000000005</v>
      </c>
      <c r="K166">
        <v>3.24</v>
      </c>
      <c r="L166" s="15">
        <f t="shared" si="7"/>
        <v>0</v>
      </c>
      <c r="M166" s="15">
        <f t="shared" si="8"/>
        <v>640.20000000000005</v>
      </c>
      <c r="N166" s="18">
        <v>197.59164336750544</v>
      </c>
      <c r="O166" s="8">
        <v>1</v>
      </c>
      <c r="Q166">
        <f>_xlfn.XLOOKUP(A166,'CONSOLIDADO PEAJES'!H:H,'CONSOLIDADO PEAJES'!AC:AC)</f>
        <v>0</v>
      </c>
    </row>
    <row r="167" spans="1:17" x14ac:dyDescent="0.3">
      <c r="A167" t="s">
        <v>1340</v>
      </c>
      <c r="B167">
        <v>1363421</v>
      </c>
      <c r="C167" t="s">
        <v>1341</v>
      </c>
      <c r="D167" s="8">
        <v>1</v>
      </c>
      <c r="E167">
        <v>1672.7729999999999</v>
      </c>
      <c r="F167" s="2">
        <v>-0.48</v>
      </c>
      <c r="H167" s="2">
        <v>238255.5</v>
      </c>
      <c r="I167" s="16">
        <f t="shared" si="9"/>
        <v>142.43145961825067</v>
      </c>
      <c r="J167" s="2">
        <v>7254.98</v>
      </c>
      <c r="K167">
        <v>36.716999999999999</v>
      </c>
      <c r="L167" s="15">
        <f t="shared" si="7"/>
        <v>0</v>
      </c>
      <c r="M167" s="15">
        <f t="shared" si="8"/>
        <v>7254.98</v>
      </c>
      <c r="N167" s="18">
        <v>197.59164336750544</v>
      </c>
      <c r="O167" s="8">
        <v>1</v>
      </c>
      <c r="Q167">
        <f>_xlfn.XLOOKUP(A167,'CONSOLIDADO PEAJES'!H:H,'CONSOLIDADO PEAJES'!AC:AC)</f>
        <v>0</v>
      </c>
    </row>
    <row r="168" spans="1:17" x14ac:dyDescent="0.3">
      <c r="A168" t="s">
        <v>1600</v>
      </c>
      <c r="B168">
        <v>1363536</v>
      </c>
      <c r="C168" t="s">
        <v>1601</v>
      </c>
      <c r="D168" s="8">
        <v>1</v>
      </c>
      <c r="E168">
        <v>4115.22</v>
      </c>
      <c r="F168" s="2">
        <v>-1.89</v>
      </c>
      <c r="H168" s="2">
        <v>444426.27</v>
      </c>
      <c r="I168" s="16">
        <f t="shared" si="9"/>
        <v>107.99574992345488</v>
      </c>
      <c r="J168" s="2">
        <v>163965.62</v>
      </c>
      <c r="K168">
        <v>1004.962</v>
      </c>
      <c r="L168" s="15">
        <f t="shared" si="7"/>
        <v>0</v>
      </c>
      <c r="M168" s="15">
        <f t="shared" si="8"/>
        <v>163965.62</v>
      </c>
      <c r="N168" s="18">
        <v>163.15598827470689</v>
      </c>
      <c r="O168" s="8">
        <v>1</v>
      </c>
      <c r="Q168">
        <f>_xlfn.XLOOKUP(A168,'CONSOLIDADO PEAJES'!H:H,'CONSOLIDADO PEAJES'!AC:AC)</f>
        <v>1</v>
      </c>
    </row>
    <row r="169" spans="1:17" x14ac:dyDescent="0.3">
      <c r="A169" t="s">
        <v>839</v>
      </c>
      <c r="B169">
        <v>1363541</v>
      </c>
      <c r="C169" t="s">
        <v>840</v>
      </c>
      <c r="D169" s="8">
        <v>1</v>
      </c>
      <c r="E169">
        <v>2970.3110000000001</v>
      </c>
      <c r="F169" s="2">
        <v>0.06</v>
      </c>
      <c r="H169" s="2">
        <v>320780.96000000002</v>
      </c>
      <c r="I169" s="16">
        <f t="shared" si="9"/>
        <v>107.99574859332911</v>
      </c>
      <c r="J169" s="2">
        <v>27908.98</v>
      </c>
      <c r="K169">
        <v>171.05699999999999</v>
      </c>
      <c r="L169" s="15">
        <f t="shared" si="7"/>
        <v>0</v>
      </c>
      <c r="M169" s="15">
        <f t="shared" si="8"/>
        <v>27908.98</v>
      </c>
      <c r="N169" s="18">
        <v>163.15598827470689</v>
      </c>
      <c r="O169" s="8">
        <v>1</v>
      </c>
      <c r="Q169">
        <f>_xlfn.XLOOKUP(A169,'CONSOLIDADO PEAJES'!H:H,'CONSOLIDADO PEAJES'!AC:AC)</f>
        <v>1</v>
      </c>
    </row>
    <row r="170" spans="1:17" x14ac:dyDescent="0.3">
      <c r="A170" t="s">
        <v>766</v>
      </c>
      <c r="B170">
        <v>1363454</v>
      </c>
      <c r="C170" t="s">
        <v>767</v>
      </c>
      <c r="D170" s="8">
        <v>1</v>
      </c>
      <c r="E170">
        <v>3138.1559999999999</v>
      </c>
      <c r="F170" s="2">
        <v>2.4900000000000002</v>
      </c>
      <c r="H170" s="2">
        <v>338907.51</v>
      </c>
      <c r="I170" s="16">
        <f t="shared" si="9"/>
        <v>107.99574973328286</v>
      </c>
      <c r="L170" s="15">
        <f t="shared" si="7"/>
        <v>0</v>
      </c>
      <c r="M170" s="15">
        <f t="shared" si="8"/>
        <v>0</v>
      </c>
      <c r="N170" s="18">
        <v>163.15598827470689</v>
      </c>
      <c r="O170" s="8">
        <v>1</v>
      </c>
      <c r="Q170">
        <f>_xlfn.XLOOKUP(A170,'CONSOLIDADO PEAJES'!H:H,'CONSOLIDADO PEAJES'!AC:AC)</f>
        <v>1</v>
      </c>
    </row>
    <row r="171" spans="1:17" x14ac:dyDescent="0.3">
      <c r="A171" t="s">
        <v>1412</v>
      </c>
      <c r="B171">
        <v>1363545</v>
      </c>
      <c r="C171" t="s">
        <v>1413</v>
      </c>
      <c r="D171" s="8">
        <v>1</v>
      </c>
      <c r="E171">
        <v>5446.6610000000001</v>
      </c>
      <c r="F171" s="2">
        <v>4.12</v>
      </c>
      <c r="H171" s="2">
        <v>775775.88</v>
      </c>
      <c r="I171" s="16">
        <f t="shared" si="9"/>
        <v>142.43146030200887</v>
      </c>
      <c r="L171" s="15">
        <f t="shared" si="7"/>
        <v>0</v>
      </c>
      <c r="M171" s="15">
        <f t="shared" si="8"/>
        <v>0</v>
      </c>
      <c r="N171" s="18">
        <v>197.59164336750544</v>
      </c>
      <c r="O171" s="8">
        <v>1</v>
      </c>
      <c r="Q171">
        <f>_xlfn.XLOOKUP(A171,'CONSOLIDADO PEAJES'!H:H,'CONSOLIDADO PEAJES'!AC:AC)</f>
        <v>0</v>
      </c>
    </row>
    <row r="172" spans="1:17" x14ac:dyDescent="0.3">
      <c r="A172" t="s">
        <v>587</v>
      </c>
      <c r="B172">
        <v>1363344</v>
      </c>
      <c r="C172" t="s">
        <v>588</v>
      </c>
      <c r="D172" s="8">
        <v>1</v>
      </c>
      <c r="E172">
        <v>4024.49</v>
      </c>
      <c r="F172" s="2">
        <v>-1.82</v>
      </c>
      <c r="H172" s="2">
        <v>434627.82</v>
      </c>
      <c r="I172" s="16">
        <f t="shared" si="9"/>
        <v>107.99575101441425</v>
      </c>
      <c r="J172" s="2">
        <v>434</v>
      </c>
      <c r="K172">
        <v>2.66</v>
      </c>
      <c r="L172" s="15">
        <f t="shared" si="7"/>
        <v>0</v>
      </c>
      <c r="M172" s="15">
        <f t="shared" si="8"/>
        <v>434</v>
      </c>
      <c r="N172" s="18">
        <v>163.15598827470689</v>
      </c>
      <c r="O172" s="8">
        <v>1</v>
      </c>
      <c r="Q172">
        <f>_xlfn.XLOOKUP(A172,'CONSOLIDADO PEAJES'!H:H,'CONSOLIDADO PEAJES'!AC:AC)</f>
        <v>1</v>
      </c>
    </row>
    <row r="173" spans="1:17" x14ac:dyDescent="0.3">
      <c r="A173" t="s">
        <v>842</v>
      </c>
      <c r="B173">
        <v>1363562</v>
      </c>
      <c r="C173" t="s">
        <v>843</v>
      </c>
      <c r="D173" s="8">
        <v>1</v>
      </c>
      <c r="E173">
        <v>5985.625</v>
      </c>
      <c r="F173" s="2">
        <v>-1.31</v>
      </c>
      <c r="H173" s="2">
        <v>852541.31</v>
      </c>
      <c r="I173" s="16">
        <f t="shared" si="9"/>
        <v>142.43146037381226</v>
      </c>
      <c r="L173" s="15">
        <f t="shared" si="7"/>
        <v>0</v>
      </c>
      <c r="M173" s="15">
        <f t="shared" si="8"/>
        <v>0</v>
      </c>
      <c r="N173" s="18">
        <v>197.59164336750544</v>
      </c>
      <c r="O173" s="8">
        <v>1</v>
      </c>
      <c r="Q173">
        <f>_xlfn.XLOOKUP(A173,'CONSOLIDADO PEAJES'!H:H,'CONSOLIDADO PEAJES'!AC:AC)</f>
        <v>0</v>
      </c>
    </row>
    <row r="174" spans="1:17" x14ac:dyDescent="0.3">
      <c r="A174" t="s">
        <v>845</v>
      </c>
      <c r="B174">
        <v>1363557</v>
      </c>
      <c r="C174" t="s">
        <v>846</v>
      </c>
      <c r="D174" s="8">
        <v>1</v>
      </c>
      <c r="E174">
        <v>3472.7640000000001</v>
      </c>
      <c r="F174" s="2">
        <v>-2.85</v>
      </c>
      <c r="H174" s="2">
        <v>494630.85</v>
      </c>
      <c r="I174" s="16">
        <f t="shared" si="9"/>
        <v>142.43146093428749</v>
      </c>
      <c r="J174" s="2">
        <v>82</v>
      </c>
      <c r="K174">
        <v>0.41499999999999998</v>
      </c>
      <c r="L174" s="15">
        <f t="shared" si="7"/>
        <v>0</v>
      </c>
      <c r="M174" s="15">
        <f t="shared" si="8"/>
        <v>82</v>
      </c>
      <c r="N174" s="18">
        <v>197.59164336750544</v>
      </c>
      <c r="O174" s="8">
        <v>1</v>
      </c>
      <c r="Q174">
        <f>_xlfn.XLOOKUP(A174,'CONSOLIDADO PEAJES'!H:H,'CONSOLIDADO PEAJES'!AC:AC)</f>
        <v>0</v>
      </c>
    </row>
    <row r="175" spans="1:17" x14ac:dyDescent="0.3">
      <c r="A175" t="s">
        <v>1060</v>
      </c>
      <c r="B175">
        <v>1363439</v>
      </c>
      <c r="C175" t="s">
        <v>1061</v>
      </c>
      <c r="D175" s="8">
        <v>1</v>
      </c>
      <c r="E175">
        <v>11781.155000000001</v>
      </c>
      <c r="F175" s="2">
        <v>2.89</v>
      </c>
      <c r="H175" s="2">
        <v>1678007.11</v>
      </c>
      <c r="I175" s="16">
        <f t="shared" si="9"/>
        <v>142.43146024307464</v>
      </c>
      <c r="L175" s="15">
        <f t="shared" si="7"/>
        <v>0</v>
      </c>
      <c r="M175" s="15">
        <f t="shared" si="8"/>
        <v>0</v>
      </c>
      <c r="N175" s="18">
        <v>197.59164336750544</v>
      </c>
      <c r="O175" s="8">
        <v>1</v>
      </c>
      <c r="Q175">
        <f>_xlfn.XLOOKUP(A175,'CONSOLIDADO PEAJES'!H:H,'CONSOLIDADO PEAJES'!AC:AC)</f>
        <v>0</v>
      </c>
    </row>
    <row r="176" spans="1:17" x14ac:dyDescent="0.3">
      <c r="A176" t="s">
        <v>357</v>
      </c>
      <c r="B176">
        <v>1364682</v>
      </c>
      <c r="C176" t="s">
        <v>358</v>
      </c>
      <c r="D176" s="8">
        <v>1</v>
      </c>
      <c r="E176">
        <v>564.89400000000001</v>
      </c>
      <c r="F176" s="2">
        <v>1.32</v>
      </c>
      <c r="H176" s="2">
        <v>80458.679999999993</v>
      </c>
      <c r="I176" s="16">
        <f t="shared" si="9"/>
        <v>142.43146501821579</v>
      </c>
      <c r="L176" s="15">
        <f t="shared" si="7"/>
        <v>0</v>
      </c>
      <c r="M176" s="15">
        <f t="shared" si="8"/>
        <v>0</v>
      </c>
      <c r="N176" s="18">
        <v>197.59164336750544</v>
      </c>
      <c r="O176" s="8">
        <v>1</v>
      </c>
      <c r="Q176">
        <f>_xlfn.XLOOKUP(A176,'CONSOLIDADO PEAJES'!H:H,'CONSOLIDADO PEAJES'!AC:AC)</f>
        <v>0</v>
      </c>
    </row>
    <row r="177" spans="1:17" x14ac:dyDescent="0.3">
      <c r="A177" t="s">
        <v>583</v>
      </c>
      <c r="B177">
        <v>1365126</v>
      </c>
      <c r="C177" t="s">
        <v>584</v>
      </c>
      <c r="D177" s="8">
        <v>1</v>
      </c>
      <c r="E177">
        <v>1067.982</v>
      </c>
      <c r="F177" s="2">
        <v>-4.24</v>
      </c>
      <c r="H177" s="2">
        <v>152114.23999999999</v>
      </c>
      <c r="I177" s="16">
        <f t="shared" si="9"/>
        <v>142.4314642007075</v>
      </c>
      <c r="L177" s="15">
        <f t="shared" si="7"/>
        <v>0</v>
      </c>
      <c r="M177" s="15">
        <f t="shared" si="8"/>
        <v>0</v>
      </c>
      <c r="N177" s="18">
        <v>197.59164336750544</v>
      </c>
      <c r="O177" s="8">
        <v>1</v>
      </c>
      <c r="Q177">
        <f>_xlfn.XLOOKUP(A177,'CONSOLIDADO PEAJES'!H:H,'CONSOLIDADO PEAJES'!AC:AC)</f>
        <v>0</v>
      </c>
    </row>
    <row r="178" spans="1:17" x14ac:dyDescent="0.3">
      <c r="A178" t="s">
        <v>1545</v>
      </c>
      <c r="B178">
        <v>1364738</v>
      </c>
      <c r="C178" t="s">
        <v>1546</v>
      </c>
      <c r="D178" s="8">
        <v>1</v>
      </c>
      <c r="E178">
        <v>9381.9969999999994</v>
      </c>
      <c r="F178" s="2">
        <v>2.09</v>
      </c>
      <c r="H178" s="2">
        <v>1336291.53</v>
      </c>
      <c r="I178" s="16">
        <f t="shared" si="9"/>
        <v>142.43145995463439</v>
      </c>
      <c r="J178" s="2">
        <v>193076.38</v>
      </c>
      <c r="K178">
        <v>977.14800000000002</v>
      </c>
      <c r="L178" s="15">
        <f t="shared" si="7"/>
        <v>193076.38</v>
      </c>
      <c r="M178" s="15">
        <f t="shared" si="8"/>
        <v>386152.76</v>
      </c>
      <c r="N178" s="18">
        <v>197.59164336750544</v>
      </c>
      <c r="O178" s="8">
        <v>2</v>
      </c>
      <c r="Q178">
        <f>_xlfn.XLOOKUP(A178,'CONSOLIDADO PEAJES'!H:H,'CONSOLIDADO PEAJES'!AC:AC)</f>
        <v>0</v>
      </c>
    </row>
    <row r="179" spans="1:17" x14ac:dyDescent="0.3">
      <c r="A179" t="s">
        <v>715</v>
      </c>
      <c r="B179">
        <v>1364766</v>
      </c>
      <c r="C179" t="s">
        <v>716</v>
      </c>
      <c r="D179" s="8">
        <v>1</v>
      </c>
      <c r="E179">
        <v>4342.0529999999999</v>
      </c>
      <c r="F179" s="2">
        <v>0.6</v>
      </c>
      <c r="H179" s="2">
        <v>618444.94999999995</v>
      </c>
      <c r="I179" s="16">
        <f t="shared" si="9"/>
        <v>142.43146041745689</v>
      </c>
      <c r="J179" s="2">
        <v>17324.45</v>
      </c>
      <c r="K179">
        <v>87.677999999999997</v>
      </c>
      <c r="L179" s="15">
        <f t="shared" si="7"/>
        <v>0</v>
      </c>
      <c r="M179" s="15">
        <f t="shared" si="8"/>
        <v>17324.45</v>
      </c>
      <c r="N179" s="18">
        <v>197.59164336750544</v>
      </c>
      <c r="O179" s="8">
        <v>1</v>
      </c>
      <c r="Q179">
        <f>_xlfn.XLOOKUP(A179,'CONSOLIDADO PEAJES'!H:H,'CONSOLIDADO PEAJES'!AC:AC)</f>
        <v>0</v>
      </c>
    </row>
    <row r="180" spans="1:17" x14ac:dyDescent="0.3">
      <c r="A180" t="s">
        <v>314</v>
      </c>
      <c r="B180">
        <v>1364799</v>
      </c>
      <c r="C180" t="s">
        <v>315</v>
      </c>
      <c r="D180" s="8">
        <v>1</v>
      </c>
      <c r="E180">
        <v>2602.4090000000001</v>
      </c>
      <c r="F180" s="2">
        <v>2.73</v>
      </c>
      <c r="H180" s="2">
        <v>281049.11</v>
      </c>
      <c r="I180" s="16">
        <f t="shared" si="9"/>
        <v>107.99574932303108</v>
      </c>
      <c r="J180" s="2">
        <v>9938.16</v>
      </c>
      <c r="K180">
        <v>60.911999999999999</v>
      </c>
      <c r="L180" s="15">
        <f t="shared" si="7"/>
        <v>0</v>
      </c>
      <c r="M180" s="15">
        <f t="shared" si="8"/>
        <v>9938.16</v>
      </c>
      <c r="N180" s="18">
        <v>163.15598827470689</v>
      </c>
      <c r="O180" s="8">
        <v>1</v>
      </c>
      <c r="Q180">
        <f>_xlfn.XLOOKUP(A180,'CONSOLIDADO PEAJES'!H:H,'CONSOLIDADO PEAJES'!AC:AC)</f>
        <v>1</v>
      </c>
    </row>
    <row r="181" spans="1:17" x14ac:dyDescent="0.3">
      <c r="A181" t="s">
        <v>1063</v>
      </c>
      <c r="B181">
        <v>1374489</v>
      </c>
      <c r="C181" t="s">
        <v>1064</v>
      </c>
      <c r="D181" s="8">
        <v>1</v>
      </c>
      <c r="E181">
        <v>1154.3440000000001</v>
      </c>
      <c r="F181" s="2">
        <v>-4.25</v>
      </c>
      <c r="H181" s="2">
        <v>124664.25</v>
      </c>
      <c r="I181" s="16">
        <f t="shared" si="9"/>
        <v>107.99575343225243</v>
      </c>
      <c r="L181" s="15">
        <f t="shared" si="7"/>
        <v>0</v>
      </c>
      <c r="M181" s="15">
        <f t="shared" si="8"/>
        <v>0</v>
      </c>
      <c r="N181" s="18">
        <v>163.15598827470689</v>
      </c>
      <c r="O181" s="8">
        <v>1</v>
      </c>
      <c r="Q181">
        <f>_xlfn.XLOOKUP(A181,'CONSOLIDADO PEAJES'!H:H,'CONSOLIDADO PEAJES'!AC:AC)</f>
        <v>1</v>
      </c>
    </row>
    <row r="182" spans="1:17" x14ac:dyDescent="0.3">
      <c r="A182" t="s">
        <v>317</v>
      </c>
      <c r="B182">
        <v>1364859</v>
      </c>
      <c r="C182" t="s">
        <v>318</v>
      </c>
      <c r="D182" s="8">
        <v>1</v>
      </c>
      <c r="E182">
        <v>3605.1559999999999</v>
      </c>
      <c r="F182" s="2">
        <v>-2.61</v>
      </c>
      <c r="H182" s="2">
        <v>389341.53</v>
      </c>
      <c r="I182" s="16">
        <f t="shared" si="9"/>
        <v>107.99575108538994</v>
      </c>
      <c r="J182" s="2">
        <v>50491.08</v>
      </c>
      <c r="K182">
        <v>309.46499999999997</v>
      </c>
      <c r="L182" s="15">
        <f t="shared" si="7"/>
        <v>0</v>
      </c>
      <c r="M182" s="15">
        <f t="shared" si="8"/>
        <v>50491.08</v>
      </c>
      <c r="N182" s="18">
        <v>163.15598827470689</v>
      </c>
      <c r="O182" s="8">
        <v>1</v>
      </c>
      <c r="Q182">
        <f>_xlfn.XLOOKUP(A182,'CONSOLIDADO PEAJES'!H:H,'CONSOLIDADO PEAJES'!AC:AC)</f>
        <v>1</v>
      </c>
    </row>
    <row r="183" spans="1:17" x14ac:dyDescent="0.3">
      <c r="A183" t="s">
        <v>1548</v>
      </c>
      <c r="B183">
        <v>1376596</v>
      </c>
      <c r="C183" t="s">
        <v>1549</v>
      </c>
      <c r="D183" s="8">
        <v>1</v>
      </c>
      <c r="E183">
        <v>7119.4920000000002</v>
      </c>
      <c r="F183" s="2">
        <v>0.36</v>
      </c>
      <c r="H183" s="2">
        <v>1014039.64</v>
      </c>
      <c r="I183" s="16">
        <f t="shared" si="9"/>
        <v>142.43145999742677</v>
      </c>
      <c r="L183" s="15">
        <f t="shared" si="7"/>
        <v>0</v>
      </c>
      <c r="M183" s="15">
        <f t="shared" si="8"/>
        <v>0</v>
      </c>
      <c r="N183" s="18">
        <v>197.59164336750544</v>
      </c>
      <c r="O183" s="8">
        <v>1</v>
      </c>
      <c r="Q183">
        <f>_xlfn.XLOOKUP(A183,'CONSOLIDADO PEAJES'!H:H,'CONSOLIDADO PEAJES'!AC:AC)</f>
        <v>0</v>
      </c>
    </row>
    <row r="184" spans="1:17" x14ac:dyDescent="0.3">
      <c r="A184" t="s">
        <v>772</v>
      </c>
      <c r="B184">
        <v>1377966</v>
      </c>
      <c r="C184" t="s">
        <v>773</v>
      </c>
      <c r="D184" s="8">
        <v>1</v>
      </c>
      <c r="E184">
        <v>3112.3209999999999</v>
      </c>
      <c r="F184" s="2">
        <v>2.56</v>
      </c>
      <c r="H184" s="2">
        <v>336117.44</v>
      </c>
      <c r="I184" s="16">
        <f t="shared" si="9"/>
        <v>107.99574979573123</v>
      </c>
      <c r="L184" s="15">
        <f t="shared" si="7"/>
        <v>0</v>
      </c>
      <c r="M184" s="15">
        <f t="shared" si="8"/>
        <v>0</v>
      </c>
      <c r="N184" s="18">
        <v>163.15598827470689</v>
      </c>
      <c r="O184" s="8">
        <v>1</v>
      </c>
      <c r="Q184">
        <f>_xlfn.XLOOKUP(A184,'CONSOLIDADO PEAJES'!H:H,'CONSOLIDADO PEAJES'!AC:AC)</f>
        <v>1</v>
      </c>
    </row>
    <row r="185" spans="1:17" x14ac:dyDescent="0.3">
      <c r="A185" t="s">
        <v>712</v>
      </c>
      <c r="B185">
        <v>1375762</v>
      </c>
      <c r="C185" t="s">
        <v>713</v>
      </c>
      <c r="D185" s="8">
        <v>1</v>
      </c>
      <c r="E185">
        <v>9260.6389999999992</v>
      </c>
      <c r="F185" s="2">
        <v>2.1800000000000002</v>
      </c>
      <c r="H185" s="2">
        <v>1000109.65</v>
      </c>
      <c r="I185" s="16">
        <f t="shared" si="9"/>
        <v>107.99574953736995</v>
      </c>
      <c r="J185" s="2">
        <v>9318.17</v>
      </c>
      <c r="K185">
        <v>57.112000000000002</v>
      </c>
      <c r="L185" s="15">
        <f t="shared" si="7"/>
        <v>0</v>
      </c>
      <c r="M185" s="15">
        <f t="shared" si="8"/>
        <v>9318.17</v>
      </c>
      <c r="N185" s="18">
        <v>163.15598827470689</v>
      </c>
      <c r="O185" s="8">
        <v>1</v>
      </c>
      <c r="Q185">
        <f>_xlfn.XLOOKUP(A185,'CONSOLIDADO PEAJES'!H:H,'CONSOLIDADO PEAJES'!AC:AC)</f>
        <v>1</v>
      </c>
    </row>
    <row r="186" spans="1:17" x14ac:dyDescent="0.3">
      <c r="A186" t="s">
        <v>320</v>
      </c>
      <c r="B186">
        <v>1375853</v>
      </c>
      <c r="C186" t="s">
        <v>321</v>
      </c>
      <c r="D186" s="8">
        <v>1</v>
      </c>
      <c r="E186">
        <v>2491.6770000000001</v>
      </c>
      <c r="F186" s="2">
        <v>-3.19</v>
      </c>
      <c r="H186" s="2">
        <v>354893.19</v>
      </c>
      <c r="I186" s="16">
        <f t="shared" si="9"/>
        <v>142.43145881267915</v>
      </c>
      <c r="L186" s="15">
        <f t="shared" si="7"/>
        <v>0</v>
      </c>
      <c r="M186" s="15">
        <f t="shared" si="8"/>
        <v>0</v>
      </c>
      <c r="N186" s="18">
        <v>197.59164336750544</v>
      </c>
      <c r="O186" s="8">
        <v>1</v>
      </c>
      <c r="Q186">
        <f>_xlfn.XLOOKUP(A186,'CONSOLIDADO PEAJES'!H:H,'CONSOLIDADO PEAJES'!AC:AC)</f>
        <v>0</v>
      </c>
    </row>
    <row r="187" spans="1:17" x14ac:dyDescent="0.3">
      <c r="A187" t="s">
        <v>337</v>
      </c>
      <c r="B187">
        <v>1377620</v>
      </c>
      <c r="C187" t="s">
        <v>338</v>
      </c>
      <c r="D187" s="8">
        <v>1</v>
      </c>
      <c r="E187">
        <v>11112.773999999999</v>
      </c>
      <c r="F187" s="2">
        <v>-0.76</v>
      </c>
      <c r="H187" s="2">
        <v>1582808.63</v>
      </c>
      <c r="I187" s="16">
        <f t="shared" si="9"/>
        <v>142.4314604076354</v>
      </c>
      <c r="J187" s="2">
        <v>25572.13</v>
      </c>
      <c r="K187">
        <v>129.41900000000001</v>
      </c>
      <c r="L187" s="15">
        <f t="shared" si="7"/>
        <v>0</v>
      </c>
      <c r="M187" s="15">
        <f t="shared" si="8"/>
        <v>25572.13</v>
      </c>
      <c r="N187" s="18">
        <v>197.59164336750544</v>
      </c>
      <c r="O187" s="8">
        <v>1</v>
      </c>
      <c r="Q187">
        <f>_xlfn.XLOOKUP(A187,'CONSOLIDADO PEAJES'!H:H,'CONSOLIDADO PEAJES'!AC:AC)</f>
        <v>0</v>
      </c>
    </row>
    <row r="188" spans="1:17" x14ac:dyDescent="0.3">
      <c r="A188" t="s">
        <v>871</v>
      </c>
      <c r="B188">
        <v>1377666</v>
      </c>
      <c r="C188" t="s">
        <v>872</v>
      </c>
      <c r="D188" s="8">
        <v>1</v>
      </c>
      <c r="E188">
        <v>7541.2039999999997</v>
      </c>
      <c r="F188" s="2">
        <v>4.97</v>
      </c>
      <c r="H188" s="2">
        <v>1074104.7</v>
      </c>
      <c r="I188" s="16">
        <f t="shared" si="9"/>
        <v>142.4314605466183</v>
      </c>
      <c r="J188" s="2">
        <v>65020.33</v>
      </c>
      <c r="K188">
        <v>329.06400000000002</v>
      </c>
      <c r="L188" s="15">
        <f t="shared" si="7"/>
        <v>0</v>
      </c>
      <c r="M188" s="15">
        <f t="shared" si="8"/>
        <v>65020.33</v>
      </c>
      <c r="N188" s="18">
        <v>197.59164336750544</v>
      </c>
      <c r="O188" s="8">
        <v>1</v>
      </c>
      <c r="Q188">
        <f>_xlfn.XLOOKUP(A188,'CONSOLIDADO PEAJES'!H:H,'CONSOLIDADO PEAJES'!AC:AC)</f>
        <v>0</v>
      </c>
    </row>
    <row r="189" spans="1:17" x14ac:dyDescent="0.3">
      <c r="A189" t="s">
        <v>775</v>
      </c>
      <c r="B189">
        <v>1377542</v>
      </c>
      <c r="C189" t="s">
        <v>776</v>
      </c>
      <c r="D189" s="8">
        <v>1</v>
      </c>
      <c r="E189">
        <v>8309.4989999999998</v>
      </c>
      <c r="F189" s="2">
        <v>-0.57999999999999996</v>
      </c>
      <c r="H189" s="2">
        <v>897390.58</v>
      </c>
      <c r="I189" s="16">
        <f t="shared" si="9"/>
        <v>107.9957504056502</v>
      </c>
      <c r="L189" s="15">
        <f t="shared" si="7"/>
        <v>0</v>
      </c>
      <c r="M189" s="15">
        <f t="shared" si="8"/>
        <v>0</v>
      </c>
      <c r="N189" s="18">
        <v>163.15598827470689</v>
      </c>
      <c r="O189" s="8">
        <v>1</v>
      </c>
      <c r="Q189">
        <f>_xlfn.XLOOKUP(A189,'CONSOLIDADO PEAJES'!H:H,'CONSOLIDADO PEAJES'!AC:AC)</f>
        <v>1</v>
      </c>
    </row>
    <row r="190" spans="1:17" x14ac:dyDescent="0.3">
      <c r="A190" t="s">
        <v>1406</v>
      </c>
      <c r="B190">
        <v>1377789</v>
      </c>
      <c r="C190" t="s">
        <v>1407</v>
      </c>
      <c r="D190" s="8">
        <v>1</v>
      </c>
      <c r="E190">
        <v>14403.957</v>
      </c>
      <c r="F190" s="2">
        <v>-0.79</v>
      </c>
      <c r="H190" s="2">
        <v>1555566.14</v>
      </c>
      <c r="I190" s="16">
        <f t="shared" si="9"/>
        <v>107.99575005673788</v>
      </c>
      <c r="J190" s="2">
        <v>5554.65</v>
      </c>
      <c r="K190">
        <v>34.045000000000002</v>
      </c>
      <c r="L190" s="15">
        <f t="shared" si="7"/>
        <v>0</v>
      </c>
      <c r="M190" s="15">
        <f t="shared" si="8"/>
        <v>5554.65</v>
      </c>
      <c r="N190" s="18">
        <v>163.15598827470689</v>
      </c>
      <c r="O190" s="8">
        <v>1</v>
      </c>
      <c r="Q190">
        <f>_xlfn.XLOOKUP(A190,'CONSOLIDADO PEAJES'!H:H,'CONSOLIDADO PEAJES'!AC:AC)</f>
        <v>1</v>
      </c>
    </row>
    <row r="191" spans="1:17" x14ac:dyDescent="0.3">
      <c r="A191" t="s">
        <v>1202</v>
      </c>
      <c r="B191">
        <v>1377790</v>
      </c>
      <c r="C191" t="s">
        <v>1203</v>
      </c>
      <c r="D191" s="8">
        <v>1</v>
      </c>
      <c r="E191">
        <v>3121.6149999999998</v>
      </c>
      <c r="F191" s="2">
        <v>1.68</v>
      </c>
      <c r="H191" s="2">
        <v>444616.18</v>
      </c>
      <c r="I191" s="16">
        <f t="shared" si="9"/>
        <v>142.43145935677526</v>
      </c>
      <c r="J191" s="2">
        <v>15692.14</v>
      </c>
      <c r="K191">
        <v>79.417000000000002</v>
      </c>
      <c r="L191" s="15">
        <f t="shared" si="7"/>
        <v>0</v>
      </c>
      <c r="M191" s="15">
        <f t="shared" si="8"/>
        <v>15692.14</v>
      </c>
      <c r="N191" s="18">
        <v>197.59164336750544</v>
      </c>
      <c r="O191" s="8">
        <v>1</v>
      </c>
      <c r="Q191">
        <f>_xlfn.XLOOKUP(A191,'CONSOLIDADO PEAJES'!H:H,'CONSOLIDADO PEAJES'!AC:AC)</f>
        <v>0</v>
      </c>
    </row>
    <row r="192" spans="1:17" x14ac:dyDescent="0.3">
      <c r="A192" t="s">
        <v>166</v>
      </c>
      <c r="B192">
        <v>1377792</v>
      </c>
      <c r="C192" t="s">
        <v>167</v>
      </c>
      <c r="D192" s="8">
        <v>1</v>
      </c>
      <c r="E192">
        <v>16369.42</v>
      </c>
      <c r="F192" s="2">
        <v>0.16</v>
      </c>
      <c r="H192" s="2">
        <v>1767827.79</v>
      </c>
      <c r="I192" s="16">
        <f t="shared" si="9"/>
        <v>107.99575000213814</v>
      </c>
      <c r="J192" s="2">
        <v>604822.05000000005</v>
      </c>
      <c r="K192">
        <v>3707.0160000000001</v>
      </c>
      <c r="L192" s="15">
        <f t="shared" si="7"/>
        <v>0</v>
      </c>
      <c r="M192" s="15">
        <f t="shared" si="8"/>
        <v>604822.05000000005</v>
      </c>
      <c r="N192" s="18">
        <v>163.15598827470689</v>
      </c>
      <c r="O192" s="8">
        <v>1</v>
      </c>
      <c r="Q192">
        <f>_xlfn.XLOOKUP(A192,'CONSOLIDADO PEAJES'!H:H,'CONSOLIDADO PEAJES'!AC:AC)</f>
        <v>1</v>
      </c>
    </row>
    <row r="193" spans="1:17" x14ac:dyDescent="0.3">
      <c r="A193" t="s">
        <v>87</v>
      </c>
      <c r="B193">
        <v>1377539</v>
      </c>
      <c r="C193" t="s">
        <v>88</v>
      </c>
      <c r="D193" s="8">
        <v>1</v>
      </c>
      <c r="E193">
        <v>11284.700999999999</v>
      </c>
      <c r="F193" s="2">
        <v>3.56</v>
      </c>
      <c r="H193" s="2">
        <v>1607296.44</v>
      </c>
      <c r="I193" s="16">
        <f t="shared" si="9"/>
        <v>142.43146008033355</v>
      </c>
      <c r="L193" s="15">
        <f t="shared" si="7"/>
        <v>0</v>
      </c>
      <c r="M193" s="15">
        <f t="shared" si="8"/>
        <v>0</v>
      </c>
      <c r="N193" s="18">
        <v>197.59164336750544</v>
      </c>
      <c r="O193" s="8">
        <v>1</v>
      </c>
      <c r="Q193">
        <f>_xlfn.XLOOKUP(A193,'CONSOLIDADO PEAJES'!H:H,'CONSOLIDADO PEAJES'!AC:AC)</f>
        <v>0</v>
      </c>
    </row>
    <row r="194" spans="1:17" x14ac:dyDescent="0.3">
      <c r="A194" t="s">
        <v>330</v>
      </c>
      <c r="B194">
        <v>1377801</v>
      </c>
      <c r="C194" t="s">
        <v>331</v>
      </c>
      <c r="D194" s="8">
        <v>1</v>
      </c>
      <c r="E194">
        <v>4177.7259999999997</v>
      </c>
      <c r="F194" s="2">
        <v>-1.57</v>
      </c>
      <c r="H194" s="2">
        <v>451176.65</v>
      </c>
      <c r="I194" s="16">
        <f t="shared" si="9"/>
        <v>107.99574936221285</v>
      </c>
      <c r="J194" s="2">
        <v>21784.92</v>
      </c>
      <c r="K194">
        <v>133.52199999999999</v>
      </c>
      <c r="L194" s="15">
        <f t="shared" ref="L194:L257" si="10">(J194*O194)-J194</f>
        <v>0</v>
      </c>
      <c r="M194" s="15">
        <f t="shared" ref="M194:M257" si="11">(J194*O194)</f>
        <v>21784.92</v>
      </c>
      <c r="N194" s="18">
        <v>163.15598827470689</v>
      </c>
      <c r="O194" s="8">
        <v>1</v>
      </c>
      <c r="Q194">
        <f>_xlfn.XLOOKUP(A194,'CONSOLIDADO PEAJES'!H:H,'CONSOLIDADO PEAJES'!AC:AC)</f>
        <v>1</v>
      </c>
    </row>
    <row r="195" spans="1:17" x14ac:dyDescent="0.3">
      <c r="A195" t="s">
        <v>1214</v>
      </c>
      <c r="B195">
        <v>1379385</v>
      </c>
      <c r="C195" t="s">
        <v>1215</v>
      </c>
      <c r="D195" s="8">
        <v>1</v>
      </c>
      <c r="E195">
        <v>5032.192</v>
      </c>
      <c r="F195" s="2">
        <v>4.49</v>
      </c>
      <c r="H195" s="2">
        <v>543455.35</v>
      </c>
      <c r="I195" s="16">
        <f t="shared" ref="I195:I258" si="12">(G195+H195)/E195</f>
        <v>107.99575016215597</v>
      </c>
      <c r="J195" s="2">
        <v>0.16</v>
      </c>
      <c r="K195">
        <v>1E-3</v>
      </c>
      <c r="L195" s="15">
        <f t="shared" si="10"/>
        <v>0</v>
      </c>
      <c r="M195" s="15">
        <f t="shared" si="11"/>
        <v>0.16</v>
      </c>
      <c r="N195" s="18">
        <v>163.15598827470689</v>
      </c>
      <c r="O195" s="8">
        <v>1</v>
      </c>
      <c r="Q195">
        <f>_xlfn.XLOOKUP(A195,'CONSOLIDADO PEAJES'!H:H,'CONSOLIDADO PEAJES'!AC:AC)</f>
        <v>1</v>
      </c>
    </row>
    <row r="196" spans="1:17" x14ac:dyDescent="0.3">
      <c r="A196" t="s">
        <v>1211</v>
      </c>
      <c r="B196">
        <v>1379402</v>
      </c>
      <c r="C196" t="s">
        <v>1212</v>
      </c>
      <c r="D196" s="8">
        <v>1</v>
      </c>
      <c r="E196">
        <v>3211.779</v>
      </c>
      <c r="F196" s="2">
        <v>2.98</v>
      </c>
      <c r="H196" s="2">
        <v>457458.37</v>
      </c>
      <c r="I196" s="16">
        <f t="shared" si="12"/>
        <v>142.43145932519019</v>
      </c>
      <c r="J196" s="2">
        <v>170048.65</v>
      </c>
      <c r="K196">
        <v>860.60599999999999</v>
      </c>
      <c r="L196" s="15">
        <f t="shared" si="10"/>
        <v>0</v>
      </c>
      <c r="M196" s="15">
        <f t="shared" si="11"/>
        <v>170048.65</v>
      </c>
      <c r="N196" s="18">
        <v>197.59164336750544</v>
      </c>
      <c r="O196" s="8">
        <v>1</v>
      </c>
      <c r="Q196">
        <f>_xlfn.XLOOKUP(A196,'CONSOLIDADO PEAJES'!H:H,'CONSOLIDADO PEAJES'!AC:AC)</f>
        <v>0</v>
      </c>
    </row>
    <row r="197" spans="1:17" x14ac:dyDescent="0.3">
      <c r="A197" t="s">
        <v>656</v>
      </c>
      <c r="B197">
        <v>1379575</v>
      </c>
      <c r="C197" t="s">
        <v>657</v>
      </c>
      <c r="D197" s="8">
        <v>1</v>
      </c>
      <c r="E197">
        <v>2304.9810000000002</v>
      </c>
      <c r="F197" s="2">
        <v>-2.5</v>
      </c>
      <c r="H197" s="2">
        <v>248928.15</v>
      </c>
      <c r="I197" s="16">
        <f t="shared" si="12"/>
        <v>107.99574920574182</v>
      </c>
      <c r="J197" s="2">
        <v>10874.35</v>
      </c>
      <c r="K197">
        <v>66.650000000000006</v>
      </c>
      <c r="L197" s="15">
        <f t="shared" si="10"/>
        <v>0</v>
      </c>
      <c r="M197" s="15">
        <f t="shared" si="11"/>
        <v>10874.35</v>
      </c>
      <c r="N197" s="18">
        <v>163.15598827470689</v>
      </c>
      <c r="O197" s="8">
        <v>1</v>
      </c>
      <c r="Q197">
        <f>_xlfn.XLOOKUP(A197,'CONSOLIDADO PEAJES'!H:H,'CONSOLIDADO PEAJES'!AC:AC)</f>
        <v>1</v>
      </c>
    </row>
    <row r="198" spans="1:17" x14ac:dyDescent="0.3">
      <c r="A198" t="s">
        <v>1120</v>
      </c>
      <c r="B198">
        <v>1379265</v>
      </c>
      <c r="C198" t="s">
        <v>1121</v>
      </c>
      <c r="D198" s="8">
        <v>1</v>
      </c>
      <c r="E198">
        <v>784.721</v>
      </c>
      <c r="F198" s="2">
        <v>-2.76</v>
      </c>
      <c r="H198" s="2">
        <v>84746.53</v>
      </c>
      <c r="I198" s="16">
        <f t="shared" si="12"/>
        <v>107.99574625886143</v>
      </c>
      <c r="J198" s="2">
        <v>89616.23</v>
      </c>
      <c r="K198">
        <v>549.26700000000005</v>
      </c>
      <c r="L198" s="15">
        <f t="shared" si="10"/>
        <v>0</v>
      </c>
      <c r="M198" s="15">
        <f t="shared" si="11"/>
        <v>89616.23</v>
      </c>
      <c r="N198" s="18">
        <v>163.15598827470689</v>
      </c>
      <c r="O198" s="8">
        <v>1</v>
      </c>
      <c r="Q198">
        <f>_xlfn.XLOOKUP(A198,'CONSOLIDADO PEAJES'!H:H,'CONSOLIDADO PEAJES'!AC:AC)</f>
        <v>1</v>
      </c>
    </row>
    <row r="199" spans="1:17" x14ac:dyDescent="0.3">
      <c r="A199" t="s">
        <v>354</v>
      </c>
      <c r="B199">
        <v>1379412</v>
      </c>
      <c r="C199" t="s">
        <v>355</v>
      </c>
      <c r="D199" s="8">
        <v>1</v>
      </c>
      <c r="E199">
        <v>1786.0039999999999</v>
      </c>
      <c r="F199" s="2">
        <v>-1.74</v>
      </c>
      <c r="H199" s="2">
        <v>192880.84</v>
      </c>
      <c r="I199" s="16">
        <f t="shared" si="12"/>
        <v>107.99574916965472</v>
      </c>
      <c r="J199" s="2">
        <v>18950.900000000001</v>
      </c>
      <c r="K199">
        <v>116.152</v>
      </c>
      <c r="L199" s="15">
        <f t="shared" si="10"/>
        <v>0</v>
      </c>
      <c r="M199" s="15">
        <f t="shared" si="11"/>
        <v>18950.900000000001</v>
      </c>
      <c r="N199" s="18">
        <v>163.15598827470689</v>
      </c>
      <c r="O199" s="8">
        <v>1</v>
      </c>
      <c r="Q199">
        <f>_xlfn.XLOOKUP(A199,'CONSOLIDADO PEAJES'!H:H,'CONSOLIDADO PEAJES'!AC:AC)</f>
        <v>1</v>
      </c>
    </row>
    <row r="200" spans="1:17" x14ac:dyDescent="0.3">
      <c r="A200" t="s">
        <v>208</v>
      </c>
      <c r="B200">
        <v>1380542</v>
      </c>
      <c r="C200" t="s">
        <v>209</v>
      </c>
      <c r="D200" s="8">
        <v>1</v>
      </c>
      <c r="E200">
        <v>2802.0520000000001</v>
      </c>
      <c r="F200" s="2">
        <v>0.56000000000000005</v>
      </c>
      <c r="H200" s="2">
        <v>399100.36</v>
      </c>
      <c r="I200" s="16">
        <f t="shared" si="12"/>
        <v>142.43146094362274</v>
      </c>
      <c r="J200" s="2">
        <v>19619.080000000002</v>
      </c>
      <c r="K200">
        <v>99.290999999999997</v>
      </c>
      <c r="L200" s="15">
        <f t="shared" si="10"/>
        <v>0</v>
      </c>
      <c r="M200" s="15">
        <f t="shared" si="11"/>
        <v>19619.080000000002</v>
      </c>
      <c r="N200" s="18">
        <v>197.59164336750544</v>
      </c>
      <c r="O200" s="8">
        <v>1</v>
      </c>
      <c r="Q200">
        <f>_xlfn.XLOOKUP(A200,'CONSOLIDADO PEAJES'!H:H,'CONSOLIDADO PEAJES'!AC:AC)</f>
        <v>0</v>
      </c>
    </row>
    <row r="201" spans="1:17" x14ac:dyDescent="0.3">
      <c r="A201" t="s">
        <v>1102</v>
      </c>
      <c r="B201">
        <v>1379275</v>
      </c>
      <c r="C201" t="s">
        <v>1103</v>
      </c>
      <c r="D201" s="8">
        <v>1</v>
      </c>
      <c r="E201">
        <v>4983.3680000000004</v>
      </c>
      <c r="F201" s="2">
        <v>-1.6</v>
      </c>
      <c r="H201" s="2">
        <v>709788.38</v>
      </c>
      <c r="I201" s="16">
        <f t="shared" si="12"/>
        <v>142.43146000857251</v>
      </c>
      <c r="J201" s="2">
        <v>113.22</v>
      </c>
      <c r="K201">
        <v>0.57299999999999995</v>
      </c>
      <c r="L201" s="15">
        <f t="shared" si="10"/>
        <v>0</v>
      </c>
      <c r="M201" s="15">
        <f t="shared" si="11"/>
        <v>113.22</v>
      </c>
      <c r="N201" s="18">
        <v>197.59164336750544</v>
      </c>
      <c r="O201" s="8">
        <v>1</v>
      </c>
      <c r="Q201">
        <f>_xlfn.XLOOKUP(A201,'CONSOLIDADO PEAJES'!H:H,'CONSOLIDADO PEAJES'!AC:AC)</f>
        <v>0</v>
      </c>
    </row>
    <row r="202" spans="1:17" x14ac:dyDescent="0.3">
      <c r="A202" t="s">
        <v>1126</v>
      </c>
      <c r="B202">
        <v>1379271</v>
      </c>
      <c r="C202" t="s">
        <v>1127</v>
      </c>
      <c r="D202" s="8">
        <v>1</v>
      </c>
      <c r="E202">
        <v>1866.797</v>
      </c>
      <c r="F202" s="2">
        <v>3.08</v>
      </c>
      <c r="H202" s="2">
        <v>201606.14</v>
      </c>
      <c r="I202" s="16">
        <f t="shared" si="12"/>
        <v>107.99574886824867</v>
      </c>
      <c r="J202" s="2">
        <v>3100.78</v>
      </c>
      <c r="K202">
        <v>19.004999999999999</v>
      </c>
      <c r="L202" s="15">
        <f t="shared" si="10"/>
        <v>0</v>
      </c>
      <c r="M202" s="15">
        <f t="shared" si="11"/>
        <v>3100.78</v>
      </c>
      <c r="N202" s="18">
        <v>163.15598827470689</v>
      </c>
      <c r="O202" s="8">
        <v>1</v>
      </c>
      <c r="Q202">
        <f>_xlfn.XLOOKUP(A202,'CONSOLIDADO PEAJES'!H:H,'CONSOLIDADO PEAJES'!AC:AC)</f>
        <v>1</v>
      </c>
    </row>
    <row r="203" spans="1:17" x14ac:dyDescent="0.3">
      <c r="A203" t="s">
        <v>1030</v>
      </c>
      <c r="B203">
        <v>1380283</v>
      </c>
      <c r="C203" t="s">
        <v>1031</v>
      </c>
      <c r="D203" s="8">
        <v>1</v>
      </c>
      <c r="E203">
        <v>1230.403</v>
      </c>
      <c r="F203" s="2">
        <v>0.97</v>
      </c>
      <c r="H203" s="2">
        <v>132878.29</v>
      </c>
      <c r="I203" s="16">
        <f t="shared" si="12"/>
        <v>107.99574610920162</v>
      </c>
      <c r="J203" s="2">
        <v>1460.74</v>
      </c>
      <c r="K203">
        <v>8.9529999999999994</v>
      </c>
      <c r="L203" s="15">
        <f t="shared" si="10"/>
        <v>0</v>
      </c>
      <c r="M203" s="15">
        <f t="shared" si="11"/>
        <v>1460.74</v>
      </c>
      <c r="N203" s="18">
        <v>163.15598827470689</v>
      </c>
      <c r="O203" s="8">
        <v>1</v>
      </c>
      <c r="Q203">
        <f>_xlfn.XLOOKUP(A203,'CONSOLIDADO PEAJES'!H:H,'CONSOLIDADO PEAJES'!AC:AC)</f>
        <v>1</v>
      </c>
    </row>
    <row r="204" spans="1:17" x14ac:dyDescent="0.3">
      <c r="A204" t="s">
        <v>1036</v>
      </c>
      <c r="B204">
        <v>1380293</v>
      </c>
      <c r="C204" t="s">
        <v>1037</v>
      </c>
      <c r="D204" s="8">
        <v>1</v>
      </c>
      <c r="E204">
        <v>1026.703</v>
      </c>
      <c r="F204" s="2">
        <v>1.81</v>
      </c>
      <c r="H204" s="2">
        <v>110879.56</v>
      </c>
      <c r="I204" s="16">
        <f t="shared" si="12"/>
        <v>107.99574950107285</v>
      </c>
      <c r="J204" s="2">
        <v>51588.63</v>
      </c>
      <c r="K204">
        <v>316.19200000000001</v>
      </c>
      <c r="L204" s="15">
        <f t="shared" si="10"/>
        <v>0</v>
      </c>
      <c r="M204" s="15">
        <f t="shared" si="11"/>
        <v>51588.63</v>
      </c>
      <c r="N204" s="18">
        <v>163.15598827470689</v>
      </c>
      <c r="O204" s="8">
        <v>1</v>
      </c>
      <c r="Q204">
        <f>_xlfn.XLOOKUP(A204,'CONSOLIDADO PEAJES'!H:H,'CONSOLIDADO PEAJES'!AC:AC)</f>
        <v>1</v>
      </c>
    </row>
    <row r="205" spans="1:17" x14ac:dyDescent="0.3">
      <c r="A205" t="s">
        <v>360</v>
      </c>
      <c r="B205">
        <v>1380609</v>
      </c>
      <c r="C205" t="s">
        <v>361</v>
      </c>
      <c r="D205" s="8">
        <v>1</v>
      </c>
      <c r="E205">
        <v>2412.692</v>
      </c>
      <c r="F205" s="2">
        <v>1.99</v>
      </c>
      <c r="H205" s="2">
        <v>343643.24</v>
      </c>
      <c r="I205" s="16">
        <f t="shared" si="12"/>
        <v>142.43145830466548</v>
      </c>
      <c r="J205" s="2">
        <v>57304.77</v>
      </c>
      <c r="K205">
        <v>290.01600000000002</v>
      </c>
      <c r="L205" s="15">
        <f t="shared" si="10"/>
        <v>0</v>
      </c>
      <c r="M205" s="15">
        <f t="shared" si="11"/>
        <v>57304.77</v>
      </c>
      <c r="N205" s="18">
        <v>197.59164336750544</v>
      </c>
      <c r="O205" s="8">
        <v>1</v>
      </c>
      <c r="Q205">
        <f>_xlfn.XLOOKUP(A205,'CONSOLIDADO PEAJES'!H:H,'CONSOLIDADO PEAJES'!AC:AC)</f>
        <v>0</v>
      </c>
    </row>
    <row r="206" spans="1:17" x14ac:dyDescent="0.3">
      <c r="A206" t="s">
        <v>733</v>
      </c>
      <c r="B206">
        <v>1380619</v>
      </c>
      <c r="C206" t="s">
        <v>734</v>
      </c>
      <c r="D206" s="8">
        <v>1</v>
      </c>
      <c r="E206">
        <v>4174.2150000000001</v>
      </c>
      <c r="F206" s="2">
        <v>-1.55</v>
      </c>
      <c r="H206" s="2">
        <v>594539.54</v>
      </c>
      <c r="I206" s="16">
        <f t="shared" si="12"/>
        <v>142.43146076567692</v>
      </c>
      <c r="J206" s="2">
        <v>26632.01</v>
      </c>
      <c r="K206">
        <v>134.78299999999999</v>
      </c>
      <c r="L206" s="15">
        <f t="shared" si="10"/>
        <v>0</v>
      </c>
      <c r="M206" s="15">
        <f t="shared" si="11"/>
        <v>26632.01</v>
      </c>
      <c r="N206" s="18">
        <v>197.59164336750544</v>
      </c>
      <c r="O206" s="8">
        <v>1</v>
      </c>
      <c r="Q206">
        <f>_xlfn.XLOOKUP(A206,'CONSOLIDADO PEAJES'!H:H,'CONSOLIDADO PEAJES'!AC:AC)</f>
        <v>0</v>
      </c>
    </row>
    <row r="207" spans="1:17" x14ac:dyDescent="0.3">
      <c r="A207" t="s">
        <v>1555</v>
      </c>
      <c r="B207">
        <v>1383087</v>
      </c>
      <c r="C207" t="s">
        <v>1556</v>
      </c>
      <c r="D207" s="8">
        <v>1</v>
      </c>
      <c r="E207">
        <v>1590.2170000000001</v>
      </c>
      <c r="F207" s="2">
        <v>-1.43</v>
      </c>
      <c r="H207" s="2">
        <v>226496.93</v>
      </c>
      <c r="I207" s="16">
        <f t="shared" si="12"/>
        <v>142.43146061197936</v>
      </c>
      <c r="J207" s="2">
        <v>24.5</v>
      </c>
      <c r="K207">
        <v>0.124</v>
      </c>
      <c r="L207" s="15">
        <f t="shared" si="10"/>
        <v>0</v>
      </c>
      <c r="M207" s="15">
        <f t="shared" si="11"/>
        <v>24.5</v>
      </c>
      <c r="N207" s="18">
        <v>197.59164336750544</v>
      </c>
      <c r="O207" s="8">
        <v>1</v>
      </c>
      <c r="Q207">
        <f>_xlfn.XLOOKUP(A207,'CONSOLIDADO PEAJES'!H:H,'CONSOLIDADO PEAJES'!AC:AC)</f>
        <v>0</v>
      </c>
    </row>
    <row r="208" spans="1:17" x14ac:dyDescent="0.3">
      <c r="A208" t="s">
        <v>877</v>
      </c>
      <c r="B208">
        <v>1383084</v>
      </c>
      <c r="C208" t="s">
        <v>878</v>
      </c>
      <c r="D208" s="8">
        <v>1</v>
      </c>
      <c r="E208">
        <v>1670.751</v>
      </c>
      <c r="F208" s="2">
        <v>-4.75</v>
      </c>
      <c r="H208" s="2">
        <v>180434.01</v>
      </c>
      <c r="I208" s="16">
        <f t="shared" si="12"/>
        <v>107.99575161110184</v>
      </c>
      <c r="J208" s="2">
        <v>42660.74</v>
      </c>
      <c r="K208">
        <v>261.47199999999998</v>
      </c>
      <c r="L208" s="15">
        <f t="shared" si="10"/>
        <v>0</v>
      </c>
      <c r="M208" s="15">
        <f t="shared" si="11"/>
        <v>42660.74</v>
      </c>
      <c r="N208" s="18">
        <v>163.15598827470689</v>
      </c>
      <c r="O208" s="8">
        <v>1</v>
      </c>
      <c r="Q208">
        <f>_xlfn.XLOOKUP(A208,'CONSOLIDADO PEAJES'!H:H,'CONSOLIDADO PEAJES'!AC:AC)</f>
        <v>1</v>
      </c>
    </row>
    <row r="209" spans="1:17" x14ac:dyDescent="0.3">
      <c r="A209" t="s">
        <v>880</v>
      </c>
      <c r="B209">
        <v>1383085</v>
      </c>
      <c r="C209" t="s">
        <v>881</v>
      </c>
      <c r="D209" s="8">
        <v>1</v>
      </c>
      <c r="E209">
        <v>1596.615</v>
      </c>
      <c r="F209" s="2">
        <v>2.06</v>
      </c>
      <c r="H209" s="2">
        <v>227408.21</v>
      </c>
      <c r="I209" s="16">
        <f t="shared" si="12"/>
        <v>142.43146281351483</v>
      </c>
      <c r="J209" s="2">
        <v>16579.73</v>
      </c>
      <c r="K209">
        <v>83.909000000000006</v>
      </c>
      <c r="L209" s="15">
        <f t="shared" si="10"/>
        <v>0</v>
      </c>
      <c r="M209" s="15">
        <f t="shared" si="11"/>
        <v>16579.73</v>
      </c>
      <c r="N209" s="18">
        <v>197.59164336750544</v>
      </c>
      <c r="O209" s="8">
        <v>1</v>
      </c>
      <c r="Q209">
        <f>_xlfn.XLOOKUP(A209,'CONSOLIDADO PEAJES'!H:H,'CONSOLIDADO PEAJES'!AC:AC)</f>
        <v>0</v>
      </c>
    </row>
    <row r="210" spans="1:17" x14ac:dyDescent="0.3">
      <c r="A210" t="s">
        <v>883</v>
      </c>
      <c r="B210">
        <v>1383086</v>
      </c>
      <c r="C210" t="s">
        <v>884</v>
      </c>
      <c r="D210" s="8">
        <v>1</v>
      </c>
      <c r="E210">
        <v>1435.971</v>
      </c>
      <c r="F210" s="2">
        <v>-1.99</v>
      </c>
      <c r="H210" s="2">
        <v>204527.45</v>
      </c>
      <c r="I210" s="16">
        <f t="shared" si="12"/>
        <v>142.43146275238149</v>
      </c>
      <c r="J210" s="2">
        <v>4.54</v>
      </c>
      <c r="K210">
        <v>2.3E-2</v>
      </c>
      <c r="L210" s="15">
        <f t="shared" si="10"/>
        <v>0</v>
      </c>
      <c r="M210" s="15">
        <f t="shared" si="11"/>
        <v>4.54</v>
      </c>
      <c r="N210" s="18">
        <v>197.59164336750544</v>
      </c>
      <c r="O210" s="8">
        <v>1</v>
      </c>
      <c r="Q210">
        <f>_xlfn.XLOOKUP(A210,'CONSOLIDADO PEAJES'!H:H,'CONSOLIDADO PEAJES'!AC:AC)</f>
        <v>0</v>
      </c>
    </row>
    <row r="211" spans="1:17" x14ac:dyDescent="0.3">
      <c r="A211" t="s">
        <v>363</v>
      </c>
      <c r="B211">
        <v>1383080</v>
      </c>
      <c r="C211" t="s">
        <v>364</v>
      </c>
      <c r="D211" s="8">
        <v>1</v>
      </c>
      <c r="E211">
        <v>3231.654</v>
      </c>
      <c r="F211" s="2">
        <v>-1.75</v>
      </c>
      <c r="H211" s="2">
        <v>349004.9</v>
      </c>
      <c r="I211" s="16">
        <f t="shared" si="12"/>
        <v>107.99575078272613</v>
      </c>
      <c r="J211" s="2">
        <v>59796.85</v>
      </c>
      <c r="K211">
        <v>366.50099999999998</v>
      </c>
      <c r="L211" s="15">
        <f t="shared" si="10"/>
        <v>0</v>
      </c>
      <c r="M211" s="15">
        <f t="shared" si="11"/>
        <v>59796.85</v>
      </c>
      <c r="N211" s="18">
        <v>163.15598827470689</v>
      </c>
      <c r="O211" s="8">
        <v>1</v>
      </c>
      <c r="Q211">
        <f>_xlfn.XLOOKUP(A211,'CONSOLIDADO PEAJES'!H:H,'CONSOLIDADO PEAJES'!AC:AC)</f>
        <v>1</v>
      </c>
    </row>
    <row r="212" spans="1:17" x14ac:dyDescent="0.3">
      <c r="A212" t="s">
        <v>350</v>
      </c>
      <c r="B212">
        <v>1383088</v>
      </c>
      <c r="C212" t="s">
        <v>351</v>
      </c>
      <c r="D212" s="8">
        <v>1</v>
      </c>
      <c r="E212">
        <v>3253.1909999999998</v>
      </c>
      <c r="F212" s="2">
        <v>1.95</v>
      </c>
      <c r="H212" s="2">
        <v>463356.74</v>
      </c>
      <c r="I212" s="16">
        <f t="shared" si="12"/>
        <v>142.43145883534044</v>
      </c>
      <c r="J212" s="2">
        <v>14251.31</v>
      </c>
      <c r="K212">
        <v>72.125</v>
      </c>
      <c r="L212" s="15">
        <f t="shared" si="10"/>
        <v>0</v>
      </c>
      <c r="M212" s="15">
        <f t="shared" si="11"/>
        <v>14251.31</v>
      </c>
      <c r="N212" s="18">
        <v>197.59164336750544</v>
      </c>
      <c r="O212" s="8">
        <v>1</v>
      </c>
      <c r="Q212">
        <f>_xlfn.XLOOKUP(A212,'CONSOLIDADO PEAJES'!H:H,'CONSOLIDADO PEAJES'!AC:AC)</f>
        <v>0</v>
      </c>
    </row>
    <row r="213" spans="1:17" x14ac:dyDescent="0.3">
      <c r="A213" t="s">
        <v>1123</v>
      </c>
      <c r="B213">
        <v>1382485</v>
      </c>
      <c r="C213" t="s">
        <v>1124</v>
      </c>
      <c r="D213" s="8">
        <v>1</v>
      </c>
      <c r="E213">
        <v>508.60500000000002</v>
      </c>
      <c r="F213" s="2">
        <v>-1.65</v>
      </c>
      <c r="H213" s="2">
        <v>72441.350000000006</v>
      </c>
      <c r="I213" s="16">
        <f t="shared" si="12"/>
        <v>142.4314546652117</v>
      </c>
      <c r="J213" s="2">
        <v>500.3</v>
      </c>
      <c r="K213">
        <v>2.532</v>
      </c>
      <c r="L213" s="15">
        <f t="shared" si="10"/>
        <v>0</v>
      </c>
      <c r="M213" s="15">
        <f t="shared" si="11"/>
        <v>500.3</v>
      </c>
      <c r="N213" s="18">
        <v>197.59164336750544</v>
      </c>
      <c r="O213" s="8">
        <v>1</v>
      </c>
      <c r="Q213">
        <f>_xlfn.XLOOKUP(A213,'CONSOLIDADO PEAJES'!H:H,'CONSOLIDADO PEAJES'!AC:AC)</f>
        <v>0</v>
      </c>
    </row>
    <row r="214" spans="1:17" x14ac:dyDescent="0.3">
      <c r="A214" t="s">
        <v>1208</v>
      </c>
      <c r="B214">
        <v>1383092</v>
      </c>
      <c r="C214" t="s">
        <v>1209</v>
      </c>
      <c r="D214" s="8">
        <v>1</v>
      </c>
      <c r="E214">
        <v>10321.957</v>
      </c>
      <c r="F214" s="2">
        <v>2.5099999999999998</v>
      </c>
      <c r="H214" s="2">
        <v>1114727.49</v>
      </c>
      <c r="I214" s="16">
        <f t="shared" si="12"/>
        <v>107.99575022449716</v>
      </c>
      <c r="L214" s="15">
        <f t="shared" si="10"/>
        <v>0</v>
      </c>
      <c r="M214" s="15">
        <f t="shared" si="11"/>
        <v>0</v>
      </c>
      <c r="N214" s="18">
        <v>163.15598827470689</v>
      </c>
      <c r="O214" s="8">
        <v>1</v>
      </c>
      <c r="Q214">
        <f>_xlfn.XLOOKUP(A214,'CONSOLIDADO PEAJES'!H:H,'CONSOLIDADO PEAJES'!AC:AC)</f>
        <v>1</v>
      </c>
    </row>
    <row r="215" spans="1:17" x14ac:dyDescent="0.3">
      <c r="A215" t="s">
        <v>1217</v>
      </c>
      <c r="B215">
        <v>1383128</v>
      </c>
      <c r="C215" t="s">
        <v>1218</v>
      </c>
      <c r="D215" s="8">
        <v>1</v>
      </c>
      <c r="E215">
        <v>4286.2169999999996</v>
      </c>
      <c r="F215" s="2">
        <v>-3.26</v>
      </c>
      <c r="H215" s="2">
        <v>462893.22</v>
      </c>
      <c r="I215" s="16">
        <f t="shared" si="12"/>
        <v>107.99575009851344</v>
      </c>
      <c r="J215" s="2">
        <v>12740.04</v>
      </c>
      <c r="K215">
        <v>78.084999999999994</v>
      </c>
      <c r="L215" s="15">
        <f t="shared" si="10"/>
        <v>0</v>
      </c>
      <c r="M215" s="15">
        <f t="shared" si="11"/>
        <v>12740.04</v>
      </c>
      <c r="N215" s="18">
        <v>163.15598827470689</v>
      </c>
      <c r="O215" s="8">
        <v>1</v>
      </c>
      <c r="Q215">
        <f>_xlfn.XLOOKUP(A215,'CONSOLIDADO PEAJES'!H:H,'CONSOLIDADO PEAJES'!AC:AC)</f>
        <v>1</v>
      </c>
    </row>
    <row r="216" spans="1:17" x14ac:dyDescent="0.3">
      <c r="A216" t="s">
        <v>163</v>
      </c>
      <c r="B216">
        <v>1383090</v>
      </c>
      <c r="C216" t="s">
        <v>164</v>
      </c>
      <c r="D216" s="8">
        <v>1</v>
      </c>
      <c r="E216">
        <v>33.801000000000002</v>
      </c>
      <c r="F216" s="2">
        <v>-0.36</v>
      </c>
      <c r="H216" s="2">
        <v>3650.36</v>
      </c>
      <c r="I216" s="16">
        <f t="shared" si="12"/>
        <v>107.9956214313186</v>
      </c>
      <c r="L216" s="15">
        <f t="shared" si="10"/>
        <v>0</v>
      </c>
      <c r="M216" s="15">
        <f t="shared" si="11"/>
        <v>0</v>
      </c>
      <c r="N216" s="18">
        <v>163.15598827470689</v>
      </c>
      <c r="O216" s="8">
        <v>1</v>
      </c>
      <c r="Q216">
        <f>_xlfn.XLOOKUP(A216,'CONSOLIDADO PEAJES'!H:H,'CONSOLIDADO PEAJES'!AC:AC)</f>
        <v>1</v>
      </c>
    </row>
    <row r="217" spans="1:17" x14ac:dyDescent="0.3">
      <c r="A217" t="s">
        <v>724</v>
      </c>
      <c r="B217">
        <v>1382487</v>
      </c>
      <c r="C217" t="s">
        <v>725</v>
      </c>
      <c r="D217" s="8">
        <v>1</v>
      </c>
      <c r="E217">
        <v>4704.2659999999996</v>
      </c>
      <c r="F217" s="2">
        <v>4.33</v>
      </c>
      <c r="H217" s="2">
        <v>670035.47</v>
      </c>
      <c r="I217" s="16">
        <f t="shared" si="12"/>
        <v>142.43145902038702</v>
      </c>
      <c r="J217" s="2">
        <v>0.2</v>
      </c>
      <c r="K217">
        <v>1E-3</v>
      </c>
      <c r="L217" s="15">
        <f t="shared" si="10"/>
        <v>0</v>
      </c>
      <c r="M217" s="15">
        <f t="shared" si="11"/>
        <v>0.2</v>
      </c>
      <c r="N217" s="18">
        <v>197.59164336750544</v>
      </c>
      <c r="O217" s="8">
        <v>1</v>
      </c>
      <c r="Q217">
        <f>_xlfn.XLOOKUP(A217,'CONSOLIDADO PEAJES'!H:H,'CONSOLIDADO PEAJES'!AC:AC)</f>
        <v>0</v>
      </c>
    </row>
    <row r="218" spans="1:17" x14ac:dyDescent="0.3">
      <c r="A218" t="s">
        <v>160</v>
      </c>
      <c r="B218">
        <v>1383133</v>
      </c>
      <c r="C218" t="s">
        <v>161</v>
      </c>
      <c r="D218" s="8">
        <v>1</v>
      </c>
      <c r="E218">
        <v>1444.482</v>
      </c>
      <c r="F218" s="2">
        <v>-1.02</v>
      </c>
      <c r="H218" s="2">
        <v>155997.92000000001</v>
      </c>
      <c r="I218" s="16">
        <f t="shared" si="12"/>
        <v>107.99575211044514</v>
      </c>
      <c r="J218" s="2">
        <v>243.1</v>
      </c>
      <c r="K218">
        <v>1.49</v>
      </c>
      <c r="L218" s="15">
        <f t="shared" si="10"/>
        <v>0</v>
      </c>
      <c r="M218" s="15">
        <f t="shared" si="11"/>
        <v>243.1</v>
      </c>
      <c r="N218" s="18">
        <v>163.15598827470689</v>
      </c>
      <c r="O218" s="8">
        <v>1</v>
      </c>
      <c r="Q218">
        <f>_xlfn.XLOOKUP(A218,'CONSOLIDADO PEAJES'!H:H,'CONSOLIDADO PEAJES'!AC:AC)</f>
        <v>1</v>
      </c>
    </row>
    <row r="219" spans="1:17" x14ac:dyDescent="0.3">
      <c r="A219" t="s">
        <v>1376</v>
      </c>
      <c r="B219">
        <v>1384574</v>
      </c>
      <c r="C219" t="s">
        <v>1377</v>
      </c>
      <c r="D219" s="8">
        <v>1</v>
      </c>
      <c r="E219">
        <v>18029.080000000002</v>
      </c>
      <c r="F219" s="2">
        <v>-1.9</v>
      </c>
      <c r="H219" s="2">
        <v>1947064.02</v>
      </c>
      <c r="I219" s="16">
        <f t="shared" si="12"/>
        <v>107.99575019912274</v>
      </c>
      <c r="J219" s="2">
        <v>0</v>
      </c>
      <c r="K219">
        <v>3312.2150000000001</v>
      </c>
      <c r="L219" s="15">
        <f t="shared" si="10"/>
        <v>0</v>
      </c>
      <c r="M219" s="15">
        <f t="shared" si="11"/>
        <v>0</v>
      </c>
      <c r="N219" s="18">
        <v>163.15598827470689</v>
      </c>
      <c r="O219" s="8">
        <v>1</v>
      </c>
      <c r="P219" s="8" t="s">
        <v>1650</v>
      </c>
      <c r="Q219">
        <f>_xlfn.XLOOKUP(A219,'CONSOLIDADO PEAJES'!H:H,'CONSOLIDADO PEAJES'!AC:AC)</f>
        <v>1</v>
      </c>
    </row>
    <row r="220" spans="1:17" x14ac:dyDescent="0.3">
      <c r="A220" t="s">
        <v>151</v>
      </c>
      <c r="B220">
        <v>1384358</v>
      </c>
      <c r="C220" t="s">
        <v>152</v>
      </c>
      <c r="D220" s="8">
        <v>1</v>
      </c>
      <c r="E220">
        <v>1248.173</v>
      </c>
      <c r="F220" s="2">
        <v>3.64</v>
      </c>
      <c r="H220" s="2">
        <v>134797.38</v>
      </c>
      <c r="I220" s="16">
        <f t="shared" si="12"/>
        <v>107.99575058906098</v>
      </c>
      <c r="J220" s="2">
        <v>4198.9799999999996</v>
      </c>
      <c r="K220">
        <v>25.736000000000001</v>
      </c>
      <c r="L220" s="15">
        <f t="shared" si="10"/>
        <v>0</v>
      </c>
      <c r="M220" s="15">
        <f t="shared" si="11"/>
        <v>4198.9799999999996</v>
      </c>
      <c r="N220" s="18">
        <v>163.15598827470689</v>
      </c>
      <c r="O220" s="8">
        <v>1</v>
      </c>
      <c r="Q220">
        <f>_xlfn.XLOOKUP(A220,'CONSOLIDADO PEAJES'!H:H,'CONSOLIDADO PEAJES'!AC:AC)</f>
        <v>1</v>
      </c>
    </row>
    <row r="221" spans="1:17" x14ac:dyDescent="0.3">
      <c r="A221" t="s">
        <v>366</v>
      </c>
      <c r="B221">
        <v>1384580</v>
      </c>
      <c r="C221" t="s">
        <v>367</v>
      </c>
      <c r="D221" s="8">
        <v>1</v>
      </c>
      <c r="E221">
        <v>3395.8040000000001</v>
      </c>
      <c r="F221" s="2">
        <v>4.99</v>
      </c>
      <c r="H221" s="2">
        <v>483669.32</v>
      </c>
      <c r="I221" s="16">
        <f t="shared" si="12"/>
        <v>142.43145953064428</v>
      </c>
      <c r="J221" s="2">
        <v>54275.69</v>
      </c>
      <c r="K221">
        <v>274.68599999999998</v>
      </c>
      <c r="L221" s="15">
        <f t="shared" si="10"/>
        <v>0</v>
      </c>
      <c r="M221" s="15">
        <f t="shared" si="11"/>
        <v>54275.69</v>
      </c>
      <c r="N221" s="18">
        <v>197.59164336750544</v>
      </c>
      <c r="O221" s="8">
        <v>1</v>
      </c>
      <c r="Q221">
        <f>_xlfn.XLOOKUP(A221,'CONSOLIDADO PEAJES'!H:H,'CONSOLIDADO PEAJES'!AC:AC)</f>
        <v>0</v>
      </c>
    </row>
    <row r="222" spans="1:17" x14ac:dyDescent="0.3">
      <c r="A222" t="s">
        <v>778</v>
      </c>
      <c r="B222">
        <v>1384733</v>
      </c>
      <c r="C222" t="s">
        <v>779</v>
      </c>
      <c r="D222" s="8">
        <v>1</v>
      </c>
      <c r="E222">
        <v>5204.4579999999996</v>
      </c>
      <c r="F222" s="2">
        <v>-3.11</v>
      </c>
      <c r="H222" s="2">
        <v>741278.55</v>
      </c>
      <c r="I222" s="16">
        <f t="shared" si="12"/>
        <v>142.43145972164635</v>
      </c>
      <c r="J222" s="2">
        <v>127144.56</v>
      </c>
      <c r="K222">
        <v>643.471</v>
      </c>
      <c r="L222" s="15">
        <f t="shared" si="10"/>
        <v>0</v>
      </c>
      <c r="M222" s="15">
        <f t="shared" si="11"/>
        <v>127144.56</v>
      </c>
      <c r="N222" s="18">
        <v>197.59164336750544</v>
      </c>
      <c r="O222" s="8">
        <v>1</v>
      </c>
      <c r="Q222">
        <f>_xlfn.XLOOKUP(A222,'CONSOLIDADO PEAJES'!H:H,'CONSOLIDADO PEAJES'!AC:AC)</f>
        <v>0</v>
      </c>
    </row>
    <row r="223" spans="1:17" x14ac:dyDescent="0.3">
      <c r="A223" t="s">
        <v>1045</v>
      </c>
      <c r="B223">
        <v>1403632</v>
      </c>
      <c r="C223" t="s">
        <v>1046</v>
      </c>
      <c r="D223" s="8">
        <v>1</v>
      </c>
      <c r="E223">
        <v>1823.422</v>
      </c>
      <c r="F223" s="2">
        <v>0.41</v>
      </c>
      <c r="H223" s="2">
        <v>196921.83</v>
      </c>
      <c r="I223" s="16">
        <f t="shared" si="12"/>
        <v>107.99575194332414</v>
      </c>
      <c r="J223" s="2">
        <v>57.76</v>
      </c>
      <c r="K223">
        <v>0.35399999999999998</v>
      </c>
      <c r="L223" s="15">
        <f t="shared" si="10"/>
        <v>0</v>
      </c>
      <c r="M223" s="15">
        <f t="shared" si="11"/>
        <v>57.76</v>
      </c>
      <c r="N223" s="18">
        <v>163.15598827470689</v>
      </c>
      <c r="O223" s="8">
        <v>1</v>
      </c>
      <c r="Q223">
        <f>_xlfn.XLOOKUP(A223,'CONSOLIDADO PEAJES'!H:H,'CONSOLIDADO PEAJES'!AC:AC)</f>
        <v>1</v>
      </c>
    </row>
    <row r="224" spans="1:17" x14ac:dyDescent="0.3">
      <c r="A224" t="s">
        <v>1220</v>
      </c>
      <c r="B224">
        <v>1395779</v>
      </c>
      <c r="C224" t="s">
        <v>1221</v>
      </c>
      <c r="D224" s="8">
        <v>1</v>
      </c>
      <c r="E224">
        <v>4187.585</v>
      </c>
      <c r="F224" s="2">
        <v>-3.85</v>
      </c>
      <c r="H224" s="2">
        <v>596443.85</v>
      </c>
      <c r="I224" s="16">
        <f t="shared" si="12"/>
        <v>142.43146109273005</v>
      </c>
      <c r="L224" s="15">
        <f t="shared" si="10"/>
        <v>0</v>
      </c>
      <c r="M224" s="15">
        <f t="shared" si="11"/>
        <v>0</v>
      </c>
      <c r="N224" s="18">
        <v>197.59164336750544</v>
      </c>
      <c r="O224" s="8">
        <v>1</v>
      </c>
      <c r="Q224">
        <f>_xlfn.XLOOKUP(A224,'CONSOLIDADO PEAJES'!H:H,'CONSOLIDADO PEAJES'!AC:AC)</f>
        <v>0</v>
      </c>
    </row>
    <row r="225" spans="1:17" x14ac:dyDescent="0.3">
      <c r="A225" t="s">
        <v>1226</v>
      </c>
      <c r="B225">
        <v>1395781</v>
      </c>
      <c r="C225" t="s">
        <v>1227</v>
      </c>
      <c r="D225" s="8">
        <v>1</v>
      </c>
      <c r="E225">
        <v>13494.675999999999</v>
      </c>
      <c r="F225" s="2">
        <v>-4.26</v>
      </c>
      <c r="H225" s="2">
        <v>1457367.66</v>
      </c>
      <c r="I225" s="16">
        <f t="shared" si="12"/>
        <v>107.99575032405372</v>
      </c>
      <c r="J225" s="2">
        <v>816.6</v>
      </c>
      <c r="K225">
        <v>5.0049999999999999</v>
      </c>
      <c r="L225" s="15">
        <f t="shared" si="10"/>
        <v>0</v>
      </c>
      <c r="M225" s="15">
        <f t="shared" si="11"/>
        <v>816.6</v>
      </c>
      <c r="N225" s="18">
        <v>163.15598827470689</v>
      </c>
      <c r="O225" s="8">
        <v>1</v>
      </c>
      <c r="Q225">
        <f>_xlfn.XLOOKUP(A225,'CONSOLIDADO PEAJES'!H:H,'CONSOLIDADO PEAJES'!AC:AC)</f>
        <v>1</v>
      </c>
    </row>
    <row r="226" spans="1:17" x14ac:dyDescent="0.3">
      <c r="A226" t="s">
        <v>373</v>
      </c>
      <c r="B226">
        <v>1395783</v>
      </c>
      <c r="C226" t="s">
        <v>374</v>
      </c>
      <c r="D226" s="8">
        <v>1</v>
      </c>
      <c r="E226">
        <v>23632.927</v>
      </c>
      <c r="F226" s="2">
        <v>2.2000000000000002</v>
      </c>
      <c r="H226" s="2">
        <v>2552255.6800000002</v>
      </c>
      <c r="I226" s="16">
        <f t="shared" si="12"/>
        <v>107.99575016670597</v>
      </c>
      <c r="J226" s="2">
        <v>552.12</v>
      </c>
      <c r="K226">
        <v>3.3839999999999999</v>
      </c>
      <c r="L226" s="15">
        <f t="shared" si="10"/>
        <v>0</v>
      </c>
      <c r="M226" s="15">
        <f t="shared" si="11"/>
        <v>552.12</v>
      </c>
      <c r="N226" s="18">
        <v>163.15598827470689</v>
      </c>
      <c r="O226" s="8">
        <v>1</v>
      </c>
      <c r="Q226">
        <f>_xlfn.XLOOKUP(A226,'CONSOLIDADO PEAJES'!H:H,'CONSOLIDADO PEAJES'!AC:AC)</f>
        <v>1</v>
      </c>
    </row>
    <row r="227" spans="1:17" x14ac:dyDescent="0.3">
      <c r="A227" t="s">
        <v>1564</v>
      </c>
      <c r="B227">
        <v>1395787</v>
      </c>
      <c r="C227" t="s">
        <v>1565</v>
      </c>
      <c r="D227" s="8">
        <v>1</v>
      </c>
      <c r="E227">
        <v>8611.4220000000005</v>
      </c>
      <c r="F227" s="2">
        <v>3.02</v>
      </c>
      <c r="H227" s="2">
        <v>929996.98</v>
      </c>
      <c r="I227" s="16">
        <f t="shared" si="12"/>
        <v>107.99575029536352</v>
      </c>
      <c r="L227" s="15">
        <f t="shared" si="10"/>
        <v>0</v>
      </c>
      <c r="M227" s="15">
        <f t="shared" si="11"/>
        <v>0</v>
      </c>
      <c r="N227" s="18">
        <v>163.15598827470689</v>
      </c>
      <c r="O227" s="8">
        <v>1</v>
      </c>
      <c r="Q227">
        <f>_xlfn.XLOOKUP(A227,'CONSOLIDADO PEAJES'!H:H,'CONSOLIDADO PEAJES'!AC:AC)</f>
        <v>1</v>
      </c>
    </row>
    <row r="228" spans="1:17" x14ac:dyDescent="0.3">
      <c r="A228" t="s">
        <v>58</v>
      </c>
      <c r="B228">
        <v>1395792</v>
      </c>
      <c r="C228" t="s">
        <v>59</v>
      </c>
      <c r="D228" s="8">
        <v>1</v>
      </c>
      <c r="E228">
        <v>57069.387999999999</v>
      </c>
      <c r="F228" s="2">
        <v>-1.36</v>
      </c>
      <c r="G228" s="2">
        <v>6163251.3600000003</v>
      </c>
      <c r="I228" s="16">
        <f t="shared" si="12"/>
        <v>107.99575001575276</v>
      </c>
      <c r="L228" s="15">
        <f t="shared" si="10"/>
        <v>0</v>
      </c>
      <c r="M228" s="15">
        <f t="shared" si="11"/>
        <v>0</v>
      </c>
      <c r="N228" s="18">
        <v>163.15598827470689</v>
      </c>
      <c r="O228" s="8">
        <v>1</v>
      </c>
      <c r="Q228">
        <f>_xlfn.XLOOKUP(A228,'CONSOLIDADO PEAJES'!H:H,'CONSOLIDADO PEAJES'!AC:AC)</f>
        <v>1</v>
      </c>
    </row>
    <row r="229" spans="1:17" x14ac:dyDescent="0.3">
      <c r="A229" t="s">
        <v>1425</v>
      </c>
      <c r="B229">
        <v>1395796</v>
      </c>
      <c r="C229" t="s">
        <v>1426</v>
      </c>
      <c r="D229" s="8">
        <v>1</v>
      </c>
      <c r="E229">
        <v>2232.2280000000001</v>
      </c>
      <c r="F229" s="2">
        <v>-1.51</v>
      </c>
      <c r="H229" s="2">
        <v>241071.14</v>
      </c>
      <c r="I229" s="16">
        <f t="shared" si="12"/>
        <v>107.99575133006127</v>
      </c>
      <c r="J229" s="2">
        <v>300.37</v>
      </c>
      <c r="K229">
        <v>1.841</v>
      </c>
      <c r="L229" s="15">
        <f t="shared" si="10"/>
        <v>0</v>
      </c>
      <c r="M229" s="15">
        <f t="shared" si="11"/>
        <v>300.37</v>
      </c>
      <c r="N229" s="18">
        <v>163.15598827470689</v>
      </c>
      <c r="O229" s="8">
        <v>1</v>
      </c>
      <c r="Q229">
        <f>_xlfn.XLOOKUP(A229,'CONSOLIDADO PEAJES'!H:H,'CONSOLIDADO PEAJES'!AC:AC)</f>
        <v>1</v>
      </c>
    </row>
    <row r="230" spans="1:17" x14ac:dyDescent="0.3">
      <c r="A230" t="s">
        <v>1153</v>
      </c>
      <c r="B230">
        <v>1398093</v>
      </c>
      <c r="C230" t="s">
        <v>1154</v>
      </c>
      <c r="D230" s="8">
        <v>1</v>
      </c>
      <c r="E230">
        <v>2199.9160000000002</v>
      </c>
      <c r="F230" s="2">
        <v>2.75</v>
      </c>
      <c r="H230" s="2">
        <v>313337.25</v>
      </c>
      <c r="I230" s="16">
        <f t="shared" si="12"/>
        <v>142.43146101942074</v>
      </c>
      <c r="L230" s="15">
        <f t="shared" si="10"/>
        <v>0</v>
      </c>
      <c r="M230" s="15">
        <f t="shared" si="11"/>
        <v>0</v>
      </c>
      <c r="N230" s="18">
        <v>197.59164336750544</v>
      </c>
      <c r="O230" s="8">
        <v>1</v>
      </c>
      <c r="Q230">
        <f>_xlfn.XLOOKUP(A230,'CONSOLIDADO PEAJES'!H:H,'CONSOLIDADO PEAJES'!AC:AC)</f>
        <v>0</v>
      </c>
    </row>
    <row r="231" spans="1:17" x14ac:dyDescent="0.3">
      <c r="A231" t="s">
        <v>379</v>
      </c>
      <c r="B231">
        <v>1395799</v>
      </c>
      <c r="C231" t="s">
        <v>380</v>
      </c>
      <c r="D231" s="8">
        <v>1</v>
      </c>
      <c r="E231">
        <v>6163.0209999999997</v>
      </c>
      <c r="F231" s="2">
        <v>4.2</v>
      </c>
      <c r="H231" s="2">
        <v>877808.08</v>
      </c>
      <c r="I231" s="16">
        <f t="shared" si="12"/>
        <v>142.43146015566066</v>
      </c>
      <c r="J231" s="2">
        <v>126507.72</v>
      </c>
      <c r="K231">
        <v>640.24800000000005</v>
      </c>
      <c r="L231" s="15">
        <f t="shared" si="10"/>
        <v>0</v>
      </c>
      <c r="M231" s="15">
        <f t="shared" si="11"/>
        <v>126507.72</v>
      </c>
      <c r="N231" s="18">
        <v>197.59164336750544</v>
      </c>
      <c r="O231" s="8">
        <v>1</v>
      </c>
      <c r="Q231">
        <f>_xlfn.XLOOKUP(A231,'CONSOLIDADO PEAJES'!H:H,'CONSOLIDADO PEAJES'!AC:AC)</f>
        <v>0</v>
      </c>
    </row>
    <row r="232" spans="1:17" x14ac:dyDescent="0.3">
      <c r="A232" t="s">
        <v>370</v>
      </c>
      <c r="B232">
        <v>1395800</v>
      </c>
      <c r="C232" t="s">
        <v>371</v>
      </c>
      <c r="D232" s="8">
        <v>1</v>
      </c>
      <c r="E232">
        <v>7327.8310000000001</v>
      </c>
      <c r="F232" s="2">
        <v>-3.67</v>
      </c>
      <c r="H232" s="2">
        <v>1043713.67</v>
      </c>
      <c r="I232" s="16">
        <f t="shared" si="12"/>
        <v>142.43146027794583</v>
      </c>
      <c r="L232" s="15">
        <f t="shared" si="10"/>
        <v>0</v>
      </c>
      <c r="M232" s="15">
        <f t="shared" si="11"/>
        <v>0</v>
      </c>
      <c r="N232" s="18">
        <v>197.59164336750544</v>
      </c>
      <c r="O232" s="8">
        <v>1</v>
      </c>
      <c r="Q232">
        <f>_xlfn.XLOOKUP(A232,'CONSOLIDADO PEAJES'!H:H,'CONSOLIDADO PEAJES'!AC:AC)</f>
        <v>0</v>
      </c>
    </row>
    <row r="233" spans="1:17" x14ac:dyDescent="0.3">
      <c r="A233" t="s">
        <v>376</v>
      </c>
      <c r="B233">
        <v>1395801</v>
      </c>
      <c r="C233" t="s">
        <v>377</v>
      </c>
      <c r="D233" s="8">
        <v>1</v>
      </c>
      <c r="E233">
        <v>1971.058</v>
      </c>
      <c r="F233" s="2">
        <v>-2.66</v>
      </c>
      <c r="H233" s="2">
        <v>280740.67</v>
      </c>
      <c r="I233" s="16">
        <f t="shared" si="12"/>
        <v>142.43146066731674</v>
      </c>
      <c r="J233" s="2">
        <v>10781.99</v>
      </c>
      <c r="K233">
        <v>54.567</v>
      </c>
      <c r="L233" s="15">
        <f t="shared" si="10"/>
        <v>0</v>
      </c>
      <c r="M233" s="15">
        <f t="shared" si="11"/>
        <v>10781.99</v>
      </c>
      <c r="N233" s="18">
        <v>197.59164336750544</v>
      </c>
      <c r="O233" s="8">
        <v>1</v>
      </c>
      <c r="Q233">
        <f>_xlfn.XLOOKUP(A233,'CONSOLIDADO PEAJES'!H:H,'CONSOLIDADO PEAJES'!AC:AC)</f>
        <v>0</v>
      </c>
    </row>
    <row r="234" spans="1:17" x14ac:dyDescent="0.3">
      <c r="A234" t="s">
        <v>1223</v>
      </c>
      <c r="B234">
        <v>1395834</v>
      </c>
      <c r="C234" t="s">
        <v>1224</v>
      </c>
      <c r="D234" s="8">
        <v>1</v>
      </c>
      <c r="E234">
        <v>2804.6849999999999</v>
      </c>
      <c r="F234" s="2">
        <v>-0.86</v>
      </c>
      <c r="H234" s="2">
        <v>399475.38</v>
      </c>
      <c r="I234" s="16">
        <f t="shared" si="12"/>
        <v>142.43146021745758</v>
      </c>
      <c r="J234" s="2">
        <v>305.48</v>
      </c>
      <c r="K234">
        <v>1.546</v>
      </c>
      <c r="L234" s="15">
        <f t="shared" si="10"/>
        <v>0</v>
      </c>
      <c r="M234" s="15">
        <f t="shared" si="11"/>
        <v>305.48</v>
      </c>
      <c r="N234" s="18">
        <v>197.59164336750544</v>
      </c>
      <c r="O234" s="8">
        <v>1</v>
      </c>
      <c r="Q234">
        <f>_xlfn.XLOOKUP(A234,'CONSOLIDADO PEAJES'!H:H,'CONSOLIDADO PEAJES'!AC:AC)</f>
        <v>0</v>
      </c>
    </row>
    <row r="235" spans="1:17" x14ac:dyDescent="0.3">
      <c r="A235" t="s">
        <v>1229</v>
      </c>
      <c r="B235">
        <v>1403606</v>
      </c>
      <c r="C235" t="s">
        <v>1230</v>
      </c>
      <c r="D235" s="8">
        <v>1</v>
      </c>
      <c r="E235">
        <v>2870.4850000000001</v>
      </c>
      <c r="F235" s="2">
        <v>-0.18</v>
      </c>
      <c r="H235" s="2">
        <v>310000.18</v>
      </c>
      <c r="I235" s="16">
        <f t="shared" si="12"/>
        <v>107.99574984715126</v>
      </c>
      <c r="L235" s="15">
        <f t="shared" si="10"/>
        <v>0</v>
      </c>
      <c r="M235" s="15">
        <f t="shared" si="11"/>
        <v>0</v>
      </c>
      <c r="N235" s="18">
        <v>163.15598827470689</v>
      </c>
      <c r="O235" s="8">
        <v>1</v>
      </c>
      <c r="Q235">
        <f>_xlfn.XLOOKUP(A235,'CONSOLIDADO PEAJES'!H:H,'CONSOLIDADO PEAJES'!AC:AC)</f>
        <v>1</v>
      </c>
    </row>
    <row r="236" spans="1:17" x14ac:dyDescent="0.3">
      <c r="A236" t="s">
        <v>904</v>
      </c>
      <c r="B236">
        <v>1406172</v>
      </c>
      <c r="C236" t="s">
        <v>905</v>
      </c>
      <c r="D236" s="8">
        <v>1</v>
      </c>
      <c r="E236">
        <v>43581.120999999999</v>
      </c>
      <c r="F236" s="2">
        <v>-1.05</v>
      </c>
      <c r="H236" s="2">
        <v>4706575.8499999996</v>
      </c>
      <c r="I236" s="16">
        <f t="shared" si="12"/>
        <v>107.99575004048197</v>
      </c>
      <c r="J236" s="2">
        <v>677765.2</v>
      </c>
      <c r="K236">
        <v>4154.0919999999996</v>
      </c>
      <c r="L236" s="15">
        <f t="shared" si="10"/>
        <v>0</v>
      </c>
      <c r="M236" s="15">
        <f t="shared" si="11"/>
        <v>677765.2</v>
      </c>
      <c r="N236" s="18">
        <v>163.15598827470689</v>
      </c>
      <c r="O236" s="8">
        <v>1</v>
      </c>
      <c r="Q236">
        <f>_xlfn.XLOOKUP(A236,'CONSOLIDADO PEAJES'!H:H,'CONSOLIDADO PEAJES'!AC:AC)</f>
        <v>1</v>
      </c>
    </row>
    <row r="237" spans="1:17" x14ac:dyDescent="0.3">
      <c r="A237" t="s">
        <v>385</v>
      </c>
      <c r="B237">
        <v>1403647</v>
      </c>
      <c r="C237" t="s">
        <v>386</v>
      </c>
      <c r="D237" s="8">
        <v>1</v>
      </c>
      <c r="E237">
        <v>1432.6610000000001</v>
      </c>
      <c r="F237" s="2">
        <v>4</v>
      </c>
      <c r="H237" s="2">
        <v>204056</v>
      </c>
      <c r="I237" s="16">
        <f t="shared" si="12"/>
        <v>142.43146145529192</v>
      </c>
      <c r="L237" s="15">
        <f t="shared" si="10"/>
        <v>0</v>
      </c>
      <c r="M237" s="15">
        <f t="shared" si="11"/>
        <v>0</v>
      </c>
      <c r="N237" s="18">
        <v>197.59164336750544</v>
      </c>
      <c r="O237" s="8">
        <v>1</v>
      </c>
      <c r="Q237">
        <f>_xlfn.XLOOKUP(A237,'CONSOLIDADO PEAJES'!H:H,'CONSOLIDADO PEAJES'!AC:AC)</f>
        <v>0</v>
      </c>
    </row>
    <row r="238" spans="1:17" x14ac:dyDescent="0.3">
      <c r="A238" t="s">
        <v>382</v>
      </c>
      <c r="B238">
        <v>1403650</v>
      </c>
      <c r="C238" t="s">
        <v>383</v>
      </c>
      <c r="D238" s="8">
        <v>1</v>
      </c>
      <c r="E238">
        <v>469.79700000000003</v>
      </c>
      <c r="F238" s="2">
        <v>3.92</v>
      </c>
      <c r="H238" s="2">
        <v>50736.08</v>
      </c>
      <c r="I238" s="16">
        <f t="shared" si="12"/>
        <v>107.99575135643693</v>
      </c>
      <c r="L238" s="15">
        <f t="shared" si="10"/>
        <v>0</v>
      </c>
      <c r="M238" s="15">
        <f t="shared" si="11"/>
        <v>0</v>
      </c>
      <c r="N238" s="18">
        <v>163.15598827470689</v>
      </c>
      <c r="O238" s="8">
        <v>1</v>
      </c>
      <c r="Q238">
        <f>_xlfn.XLOOKUP(A238,'CONSOLIDADO PEAJES'!H:H,'CONSOLIDADO PEAJES'!AC:AC)</f>
        <v>1</v>
      </c>
    </row>
    <row r="239" spans="1:17" x14ac:dyDescent="0.3">
      <c r="A239" t="s">
        <v>1428</v>
      </c>
      <c r="B239">
        <v>1403649</v>
      </c>
      <c r="C239" t="s">
        <v>1429</v>
      </c>
      <c r="D239" s="8">
        <v>1</v>
      </c>
      <c r="E239">
        <v>2044.2470000000001</v>
      </c>
      <c r="F239" s="2">
        <v>1.72</v>
      </c>
      <c r="H239" s="2">
        <v>291165.08</v>
      </c>
      <c r="I239" s="16">
        <f t="shared" si="12"/>
        <v>142.43145764675208</v>
      </c>
      <c r="J239" s="2">
        <v>2773.2</v>
      </c>
      <c r="K239">
        <v>14.035</v>
      </c>
      <c r="L239" s="15">
        <f t="shared" si="10"/>
        <v>0</v>
      </c>
      <c r="M239" s="15">
        <f t="shared" si="11"/>
        <v>2773.2</v>
      </c>
      <c r="N239" s="18">
        <v>197.59164336750544</v>
      </c>
      <c r="O239" s="8">
        <v>1</v>
      </c>
      <c r="Q239">
        <f>_xlfn.XLOOKUP(A239,'CONSOLIDADO PEAJES'!H:H,'CONSOLIDADO PEAJES'!AC:AC)</f>
        <v>0</v>
      </c>
    </row>
    <row r="240" spans="1:17" x14ac:dyDescent="0.3">
      <c r="A240" t="s">
        <v>1232</v>
      </c>
      <c r="B240">
        <v>1403655</v>
      </c>
      <c r="C240" t="s">
        <v>1233</v>
      </c>
      <c r="D240" s="8">
        <v>1</v>
      </c>
      <c r="E240">
        <v>6543.4040000000005</v>
      </c>
      <c r="F240" s="2">
        <v>-0.57999999999999996</v>
      </c>
      <c r="H240" s="2">
        <v>706659.82</v>
      </c>
      <c r="I240" s="16">
        <f t="shared" si="12"/>
        <v>107.9957496128926</v>
      </c>
      <c r="J240" s="2">
        <v>2210.7600000000002</v>
      </c>
      <c r="K240">
        <v>13.55</v>
      </c>
      <c r="L240" s="15">
        <f t="shared" si="10"/>
        <v>0</v>
      </c>
      <c r="M240" s="15">
        <f t="shared" si="11"/>
        <v>2210.7600000000002</v>
      </c>
      <c r="N240" s="18">
        <v>163.15598827470689</v>
      </c>
      <c r="O240" s="8">
        <v>1</v>
      </c>
      <c r="Q240">
        <f>_xlfn.XLOOKUP(A240,'CONSOLIDADO PEAJES'!H:H,'CONSOLIDADO PEAJES'!AC:AC)</f>
        <v>1</v>
      </c>
    </row>
    <row r="241" spans="1:17" x14ac:dyDescent="0.3">
      <c r="A241" t="s">
        <v>1618</v>
      </c>
      <c r="B241">
        <v>1403846</v>
      </c>
      <c r="C241" t="s">
        <v>1619</v>
      </c>
      <c r="D241" s="8">
        <v>1</v>
      </c>
      <c r="E241">
        <v>1897.519</v>
      </c>
      <c r="F241" s="2">
        <v>3.6</v>
      </c>
      <c r="H241" s="2">
        <v>270266.40000000002</v>
      </c>
      <c r="I241" s="16">
        <f t="shared" si="12"/>
        <v>142.43145918433493</v>
      </c>
      <c r="L241" s="15">
        <f t="shared" si="10"/>
        <v>0</v>
      </c>
      <c r="M241" s="15">
        <f t="shared" si="11"/>
        <v>0</v>
      </c>
      <c r="N241" s="18">
        <v>197.59164336750544</v>
      </c>
      <c r="O241" s="8">
        <v>1</v>
      </c>
      <c r="Q241">
        <f>_xlfn.XLOOKUP(A241,'CONSOLIDADO PEAJES'!H:H,'CONSOLIDADO PEAJES'!AC:AC)</f>
        <v>0</v>
      </c>
    </row>
    <row r="242" spans="1:17" x14ac:dyDescent="0.3">
      <c r="A242" t="s">
        <v>1156</v>
      </c>
      <c r="B242">
        <v>1403660</v>
      </c>
      <c r="C242" t="s">
        <v>1157</v>
      </c>
      <c r="D242" s="8">
        <v>1</v>
      </c>
      <c r="E242">
        <v>2428.288</v>
      </c>
      <c r="F242" s="2">
        <v>2.1</v>
      </c>
      <c r="H242" s="2">
        <v>345864.61</v>
      </c>
      <c r="I242" s="16">
        <f t="shared" si="12"/>
        <v>142.43146200121237</v>
      </c>
      <c r="J242" s="2">
        <v>173.29</v>
      </c>
      <c r="K242">
        <v>0.877</v>
      </c>
      <c r="L242" s="15">
        <f t="shared" si="10"/>
        <v>0</v>
      </c>
      <c r="M242" s="15">
        <f t="shared" si="11"/>
        <v>173.29</v>
      </c>
      <c r="N242" s="18">
        <v>197.59164336750544</v>
      </c>
      <c r="O242" s="8">
        <v>1</v>
      </c>
      <c r="Q242">
        <f>_xlfn.XLOOKUP(A242,'CONSOLIDADO PEAJES'!H:H,'CONSOLIDADO PEAJES'!AC:AC)</f>
        <v>0</v>
      </c>
    </row>
    <row r="243" spans="1:17" x14ac:dyDescent="0.3">
      <c r="A243" t="s">
        <v>1114</v>
      </c>
      <c r="B243">
        <v>1403676</v>
      </c>
      <c r="C243" t="s">
        <v>1115</v>
      </c>
      <c r="D243" s="8">
        <v>1</v>
      </c>
      <c r="E243">
        <v>1528.37</v>
      </c>
      <c r="F243" s="2">
        <v>2.54</v>
      </c>
      <c r="H243" s="2">
        <v>165057.46</v>
      </c>
      <c r="I243" s="16">
        <f t="shared" si="12"/>
        <v>107.99574710312294</v>
      </c>
      <c r="L243" s="15">
        <f t="shared" si="10"/>
        <v>0</v>
      </c>
      <c r="M243" s="15">
        <f t="shared" si="11"/>
        <v>0</v>
      </c>
      <c r="N243" s="18">
        <v>163.15598827470689</v>
      </c>
      <c r="O243" s="8">
        <v>1</v>
      </c>
      <c r="Q243">
        <f>_xlfn.XLOOKUP(A243,'CONSOLIDADO PEAJES'!H:H,'CONSOLIDADO PEAJES'!AC:AC)</f>
        <v>1</v>
      </c>
    </row>
    <row r="244" spans="1:17" x14ac:dyDescent="0.3">
      <c r="A244" t="s">
        <v>391</v>
      </c>
      <c r="B244">
        <v>1403721</v>
      </c>
      <c r="C244" t="s">
        <v>392</v>
      </c>
      <c r="D244" s="8">
        <v>1</v>
      </c>
      <c r="E244">
        <v>2089.5830000000001</v>
      </c>
      <c r="F244" s="2">
        <v>0.06</v>
      </c>
      <c r="H244" s="2">
        <v>225666.08</v>
      </c>
      <c r="I244" s="16">
        <f t="shared" si="12"/>
        <v>107.99574843401768</v>
      </c>
      <c r="J244" s="2">
        <v>13313.86</v>
      </c>
      <c r="K244">
        <v>81.602000000000004</v>
      </c>
      <c r="L244" s="15">
        <f t="shared" si="10"/>
        <v>0</v>
      </c>
      <c r="M244" s="15">
        <f t="shared" si="11"/>
        <v>13313.86</v>
      </c>
      <c r="N244" s="18">
        <v>163.15598827470689</v>
      </c>
      <c r="O244" s="8">
        <v>1</v>
      </c>
      <c r="Q244">
        <f>_xlfn.XLOOKUP(A244,'CONSOLIDADO PEAJES'!H:H,'CONSOLIDADO PEAJES'!AC:AC)</f>
        <v>1</v>
      </c>
    </row>
    <row r="245" spans="1:17" x14ac:dyDescent="0.3">
      <c r="A245" t="s">
        <v>1111</v>
      </c>
      <c r="B245">
        <v>1403680</v>
      </c>
      <c r="C245" t="s">
        <v>1112</v>
      </c>
      <c r="D245" s="8">
        <v>1</v>
      </c>
      <c r="E245">
        <v>4565.9430000000002</v>
      </c>
      <c r="F245" s="2">
        <v>-2.44</v>
      </c>
      <c r="H245" s="2">
        <v>493102.44</v>
      </c>
      <c r="I245" s="16">
        <f t="shared" si="12"/>
        <v>107.99575027546335</v>
      </c>
      <c r="L245" s="15">
        <f t="shared" si="10"/>
        <v>0</v>
      </c>
      <c r="M245" s="15">
        <f t="shared" si="11"/>
        <v>0</v>
      </c>
      <c r="N245" s="18">
        <v>163.15598827470689</v>
      </c>
      <c r="O245" s="8">
        <v>1</v>
      </c>
      <c r="Q245">
        <f>_xlfn.XLOOKUP(A245,'CONSOLIDADO PEAJES'!H:H,'CONSOLIDADO PEAJES'!AC:AC)</f>
        <v>1</v>
      </c>
    </row>
    <row r="246" spans="1:17" x14ac:dyDescent="0.3">
      <c r="A246" t="s">
        <v>226</v>
      </c>
      <c r="B246">
        <v>1403977</v>
      </c>
      <c r="C246" t="s">
        <v>227</v>
      </c>
      <c r="D246" s="8">
        <v>1</v>
      </c>
      <c r="E246">
        <v>2609.4450000000002</v>
      </c>
      <c r="F246" s="2">
        <v>0.35</v>
      </c>
      <c r="H246" s="2">
        <v>281808.96999999997</v>
      </c>
      <c r="I246" s="16">
        <f t="shared" si="12"/>
        <v>107.99575005413027</v>
      </c>
      <c r="J246" s="2">
        <v>152080.68</v>
      </c>
      <c r="K246">
        <v>932.11800000000005</v>
      </c>
      <c r="L246" s="15">
        <f t="shared" si="10"/>
        <v>0</v>
      </c>
      <c r="M246" s="15">
        <f t="shared" si="11"/>
        <v>152080.68</v>
      </c>
      <c r="N246" s="18">
        <v>163.15598827470689</v>
      </c>
      <c r="O246" s="8">
        <v>1</v>
      </c>
      <c r="Q246">
        <f>_xlfn.XLOOKUP(A246,'CONSOLIDADO PEAJES'!H:H,'CONSOLIDADO PEAJES'!AC:AC)</f>
        <v>1</v>
      </c>
    </row>
    <row r="247" spans="1:17" x14ac:dyDescent="0.3">
      <c r="A247" t="s">
        <v>892</v>
      </c>
      <c r="B247">
        <v>1403726</v>
      </c>
      <c r="C247" t="s">
        <v>893</v>
      </c>
      <c r="D247" s="8">
        <v>1</v>
      </c>
      <c r="E247">
        <v>1638.91</v>
      </c>
      <c r="F247" s="2">
        <v>-1.89</v>
      </c>
      <c r="H247" s="2">
        <v>233432.34</v>
      </c>
      <c r="I247" s="16">
        <f t="shared" si="12"/>
        <v>142.43145749308991</v>
      </c>
      <c r="J247" s="2">
        <v>11359.55</v>
      </c>
      <c r="K247">
        <v>57.49</v>
      </c>
      <c r="L247" s="15">
        <f t="shared" si="10"/>
        <v>0</v>
      </c>
      <c r="M247" s="15">
        <f t="shared" si="11"/>
        <v>11359.55</v>
      </c>
      <c r="N247" s="18">
        <v>197.59164336750544</v>
      </c>
      <c r="O247" s="8">
        <v>1</v>
      </c>
      <c r="Q247">
        <f>_xlfn.XLOOKUP(A247,'CONSOLIDADO PEAJES'!H:H,'CONSOLIDADO PEAJES'!AC:AC)</f>
        <v>0</v>
      </c>
    </row>
    <row r="248" spans="1:17" x14ac:dyDescent="0.3">
      <c r="A248" t="s">
        <v>668</v>
      </c>
      <c r="B248">
        <v>1403635</v>
      </c>
      <c r="C248" t="s">
        <v>669</v>
      </c>
      <c r="D248" s="8">
        <v>1</v>
      </c>
      <c r="E248">
        <v>716.34199999999998</v>
      </c>
      <c r="F248" s="2">
        <v>2.48</v>
      </c>
      <c r="H248" s="2">
        <v>77361.89</v>
      </c>
      <c r="I248" s="16">
        <f t="shared" si="12"/>
        <v>107.995747841115</v>
      </c>
      <c r="J248" s="2">
        <v>94655.63</v>
      </c>
      <c r="K248">
        <v>580.154</v>
      </c>
      <c r="L248" s="15">
        <f t="shared" si="10"/>
        <v>0</v>
      </c>
      <c r="M248" s="15">
        <f t="shared" si="11"/>
        <v>94655.63</v>
      </c>
      <c r="N248" s="18">
        <v>163.15598827470689</v>
      </c>
      <c r="O248" s="8">
        <v>1</v>
      </c>
      <c r="Q248">
        <f>_xlfn.XLOOKUP(A248,'CONSOLIDADO PEAJES'!H:H,'CONSOLIDADO PEAJES'!AC:AC)</f>
        <v>1</v>
      </c>
    </row>
    <row r="249" spans="1:17" x14ac:dyDescent="0.3">
      <c r="A249" t="s">
        <v>1434</v>
      </c>
      <c r="B249">
        <v>1403729</v>
      </c>
      <c r="C249" t="s">
        <v>1435</v>
      </c>
      <c r="D249" s="8">
        <v>1</v>
      </c>
      <c r="E249">
        <v>4988.7439999999997</v>
      </c>
      <c r="F249" s="2">
        <v>-1.66</v>
      </c>
      <c r="H249" s="2">
        <v>710554.09</v>
      </c>
      <c r="I249" s="16">
        <f t="shared" si="12"/>
        <v>142.43145970208133</v>
      </c>
      <c r="J249" s="2">
        <v>10947.57</v>
      </c>
      <c r="K249">
        <v>55.405000000000001</v>
      </c>
      <c r="L249" s="15">
        <f t="shared" si="10"/>
        <v>0</v>
      </c>
      <c r="M249" s="15">
        <f t="shared" si="11"/>
        <v>10947.57</v>
      </c>
      <c r="N249" s="18">
        <v>197.59164336750544</v>
      </c>
      <c r="O249" s="8">
        <v>1</v>
      </c>
      <c r="Q249">
        <f>_xlfn.XLOOKUP(A249,'CONSOLIDADO PEAJES'!H:H,'CONSOLIDADO PEAJES'!AC:AC)</f>
        <v>0</v>
      </c>
    </row>
    <row r="250" spans="1:17" x14ac:dyDescent="0.3">
      <c r="A250" t="s">
        <v>133</v>
      </c>
      <c r="B250">
        <v>1403693</v>
      </c>
      <c r="C250" t="s">
        <v>134</v>
      </c>
      <c r="D250" s="8">
        <v>1</v>
      </c>
      <c r="E250">
        <v>888.43799999999999</v>
      </c>
      <c r="F250" s="2">
        <v>2.4700000000000002</v>
      </c>
      <c r="H250" s="2">
        <v>95947.53</v>
      </c>
      <c r="I250" s="16">
        <f t="shared" si="12"/>
        <v>107.99575209525031</v>
      </c>
      <c r="L250" s="15">
        <f t="shared" si="10"/>
        <v>0</v>
      </c>
      <c r="M250" s="15">
        <f t="shared" si="11"/>
        <v>0</v>
      </c>
      <c r="N250" s="18">
        <v>163.15598827470689</v>
      </c>
      <c r="O250" s="8">
        <v>1</v>
      </c>
      <c r="Q250">
        <f>_xlfn.XLOOKUP(A250,'CONSOLIDADO PEAJES'!H:H,'CONSOLIDADO PEAJES'!AC:AC)</f>
        <v>1</v>
      </c>
    </row>
    <row r="251" spans="1:17" x14ac:dyDescent="0.3">
      <c r="A251" t="s">
        <v>394</v>
      </c>
      <c r="B251">
        <v>1403735</v>
      </c>
      <c r="C251" t="s">
        <v>395</v>
      </c>
      <c r="D251" s="8">
        <v>1</v>
      </c>
      <c r="E251">
        <v>2759.4119999999998</v>
      </c>
      <c r="F251" s="2">
        <v>-4.7699999999999996</v>
      </c>
      <c r="H251" s="2">
        <v>298004.77</v>
      </c>
      <c r="I251" s="16">
        <f t="shared" si="12"/>
        <v>107.99575054395648</v>
      </c>
      <c r="L251" s="15">
        <f t="shared" si="10"/>
        <v>0</v>
      </c>
      <c r="M251" s="15">
        <f t="shared" si="11"/>
        <v>0</v>
      </c>
      <c r="N251" s="18">
        <v>163.15598827470689</v>
      </c>
      <c r="O251" s="8">
        <v>1</v>
      </c>
      <c r="Q251">
        <f>_xlfn.XLOOKUP(A251,'CONSOLIDADO PEAJES'!H:H,'CONSOLIDADO PEAJES'!AC:AC)</f>
        <v>1</v>
      </c>
    </row>
    <row r="252" spans="1:17" x14ac:dyDescent="0.3">
      <c r="A252" t="s">
        <v>895</v>
      </c>
      <c r="B252">
        <v>1403797</v>
      </c>
      <c r="C252" t="s">
        <v>896</v>
      </c>
      <c r="D252" s="8">
        <v>1</v>
      </c>
      <c r="E252">
        <v>40053.302000000003</v>
      </c>
      <c r="F252" s="2">
        <v>-0.28000000000000003</v>
      </c>
      <c r="H252" s="2">
        <v>5704850.2800000003</v>
      </c>
      <c r="I252" s="16">
        <f t="shared" si="12"/>
        <v>142.43145995803292</v>
      </c>
      <c r="L252" s="15">
        <f t="shared" si="10"/>
        <v>0</v>
      </c>
      <c r="M252" s="15">
        <f t="shared" si="11"/>
        <v>0</v>
      </c>
      <c r="N252" s="18">
        <v>197.59164336750544</v>
      </c>
      <c r="O252" s="8">
        <v>1</v>
      </c>
      <c r="Q252">
        <f>_xlfn.XLOOKUP(A252,'CONSOLIDADO PEAJES'!H:H,'CONSOLIDADO PEAJES'!AC:AC)</f>
        <v>0</v>
      </c>
    </row>
    <row r="253" spans="1:17" x14ac:dyDescent="0.3">
      <c r="A253" t="s">
        <v>1518</v>
      </c>
      <c r="B253">
        <v>1403716</v>
      </c>
      <c r="C253" t="s">
        <v>1519</v>
      </c>
      <c r="D253" s="8">
        <v>1</v>
      </c>
      <c r="E253">
        <v>11730.606</v>
      </c>
      <c r="F253" s="2">
        <v>3.45</v>
      </c>
      <c r="H253" s="2">
        <v>1266855.5900000001</v>
      </c>
      <c r="I253" s="16">
        <f t="shared" si="12"/>
        <v>107.9957497506949</v>
      </c>
      <c r="J253" s="2">
        <v>5090.96</v>
      </c>
      <c r="K253">
        <v>31.202999999999999</v>
      </c>
      <c r="L253" s="15">
        <f t="shared" si="10"/>
        <v>0</v>
      </c>
      <c r="M253" s="15">
        <f t="shared" si="11"/>
        <v>5090.96</v>
      </c>
      <c r="N253" s="18">
        <v>163.15598827470689</v>
      </c>
      <c r="O253" s="8">
        <v>1</v>
      </c>
      <c r="Q253">
        <f>_xlfn.XLOOKUP(A253,'CONSOLIDADO PEAJES'!H:H,'CONSOLIDADO PEAJES'!AC:AC)</f>
        <v>1</v>
      </c>
    </row>
    <row r="254" spans="1:17" x14ac:dyDescent="0.3">
      <c r="A254" t="s">
        <v>1621</v>
      </c>
      <c r="B254">
        <v>1403673</v>
      </c>
      <c r="C254" t="s">
        <v>1622</v>
      </c>
      <c r="D254" s="8">
        <v>1</v>
      </c>
      <c r="E254">
        <v>1789.0039999999999</v>
      </c>
      <c r="F254" s="2">
        <v>-0.45</v>
      </c>
      <c r="H254" s="2">
        <v>254810.45</v>
      </c>
      <c r="I254" s="16">
        <f t="shared" si="12"/>
        <v>142.43145906884502</v>
      </c>
      <c r="L254" s="15">
        <f t="shared" si="10"/>
        <v>0</v>
      </c>
      <c r="M254" s="15">
        <f t="shared" si="11"/>
        <v>0</v>
      </c>
      <c r="N254" s="18">
        <v>197.59164336750544</v>
      </c>
      <c r="O254" s="8">
        <v>1</v>
      </c>
      <c r="Q254">
        <f>_xlfn.XLOOKUP(A254,'CONSOLIDADO PEAJES'!H:H,'CONSOLIDADO PEAJES'!AC:AC)</f>
        <v>0</v>
      </c>
    </row>
    <row r="255" spans="1:17" x14ac:dyDescent="0.3">
      <c r="A255" t="s">
        <v>1150</v>
      </c>
      <c r="B255">
        <v>1403698</v>
      </c>
      <c r="C255" t="s">
        <v>1151</v>
      </c>
      <c r="D255" s="8">
        <v>1</v>
      </c>
      <c r="E255">
        <v>12381.841</v>
      </c>
      <c r="F255" s="2">
        <v>3.79</v>
      </c>
      <c r="H255" s="2">
        <v>1337186.21</v>
      </c>
      <c r="I255" s="16">
        <f t="shared" si="12"/>
        <v>107.995750389623</v>
      </c>
      <c r="L255" s="15">
        <f t="shared" si="10"/>
        <v>0</v>
      </c>
      <c r="M255" s="15">
        <f t="shared" si="11"/>
        <v>0</v>
      </c>
      <c r="N255" s="18">
        <v>163.15598827470689</v>
      </c>
      <c r="O255" s="8">
        <v>1</v>
      </c>
      <c r="Q255">
        <f>_xlfn.XLOOKUP(A255,'CONSOLIDADO PEAJES'!H:H,'CONSOLIDADO PEAJES'!AC:AC)</f>
        <v>1</v>
      </c>
    </row>
    <row r="256" spans="1:17" x14ac:dyDescent="0.3">
      <c r="A256" t="s">
        <v>397</v>
      </c>
      <c r="B256">
        <v>1403799</v>
      </c>
      <c r="C256" t="s">
        <v>398</v>
      </c>
      <c r="D256" s="8">
        <v>1</v>
      </c>
      <c r="E256">
        <v>7378.2719999999999</v>
      </c>
      <c r="F256" s="2">
        <v>-4.6100000000000003</v>
      </c>
      <c r="H256" s="2">
        <v>1050898.05</v>
      </c>
      <c r="I256" s="16">
        <f t="shared" si="12"/>
        <v>142.43145956126313</v>
      </c>
      <c r="J256" s="2">
        <v>4056.56</v>
      </c>
      <c r="K256">
        <v>20.53</v>
      </c>
      <c r="L256" s="15">
        <f t="shared" si="10"/>
        <v>0</v>
      </c>
      <c r="M256" s="15">
        <f t="shared" si="11"/>
        <v>4056.56</v>
      </c>
      <c r="N256" s="18">
        <v>197.59164336750544</v>
      </c>
      <c r="O256" s="8">
        <v>1</v>
      </c>
      <c r="Q256">
        <f>_xlfn.XLOOKUP(A256,'CONSOLIDADO PEAJES'!H:H,'CONSOLIDADO PEAJES'!AC:AC)</f>
        <v>0</v>
      </c>
    </row>
    <row r="257" spans="1:17" x14ac:dyDescent="0.3">
      <c r="A257" t="s">
        <v>400</v>
      </c>
      <c r="B257">
        <v>1403801</v>
      </c>
      <c r="C257" t="s">
        <v>401</v>
      </c>
      <c r="D257" s="8">
        <v>1</v>
      </c>
      <c r="E257">
        <v>4046.36</v>
      </c>
      <c r="F257" s="2">
        <v>0.32</v>
      </c>
      <c r="H257" s="2">
        <v>436989.68</v>
      </c>
      <c r="I257" s="16">
        <f t="shared" si="12"/>
        <v>107.99574926600697</v>
      </c>
      <c r="L257" s="15">
        <f t="shared" si="10"/>
        <v>0</v>
      </c>
      <c r="M257" s="15">
        <f t="shared" si="11"/>
        <v>0</v>
      </c>
      <c r="N257" s="18">
        <v>163.15598827470689</v>
      </c>
      <c r="O257" s="8">
        <v>1</v>
      </c>
      <c r="Q257">
        <f>_xlfn.XLOOKUP(A257,'CONSOLIDADO PEAJES'!H:H,'CONSOLIDADO PEAJES'!AC:AC)</f>
        <v>1</v>
      </c>
    </row>
    <row r="258" spans="1:17" x14ac:dyDescent="0.3">
      <c r="A258" t="s">
        <v>627</v>
      </c>
      <c r="B258">
        <v>1403679</v>
      </c>
      <c r="C258" t="s">
        <v>628</v>
      </c>
      <c r="D258" s="8">
        <v>1</v>
      </c>
      <c r="E258">
        <v>0</v>
      </c>
      <c r="F258" s="2">
        <v>0</v>
      </c>
      <c r="H258" s="2">
        <v>0</v>
      </c>
      <c r="I258" s="16" t="e">
        <f t="shared" si="12"/>
        <v>#DIV/0!</v>
      </c>
      <c r="L258" s="15">
        <f t="shared" ref="L258:L321" si="13">(J258*O258)-J258</f>
        <v>0</v>
      </c>
      <c r="M258" s="15">
        <f t="shared" ref="M258:M321" si="14">(J258*O258)</f>
        <v>0</v>
      </c>
      <c r="N258" s="18" t="e">
        <f t="shared" ref="N195:N258" si="15">M258/K258/O258</f>
        <v>#DIV/0!</v>
      </c>
      <c r="O258" s="8">
        <v>1</v>
      </c>
      <c r="Q258">
        <f>_xlfn.XLOOKUP(A258,'CONSOLIDADO PEAJES'!H:H,'CONSOLIDADO PEAJES'!AC:AC)</f>
        <v>1</v>
      </c>
    </row>
    <row r="259" spans="1:17" x14ac:dyDescent="0.3">
      <c r="A259" t="s">
        <v>1129</v>
      </c>
      <c r="B259">
        <v>1403890</v>
      </c>
      <c r="C259" t="s">
        <v>1130</v>
      </c>
      <c r="D259" s="8">
        <v>1</v>
      </c>
      <c r="E259">
        <v>1608.5940000000001</v>
      </c>
      <c r="F259" s="2">
        <v>-4.3899999999999997</v>
      </c>
      <c r="H259" s="2">
        <v>229114.39</v>
      </c>
      <c r="I259" s="16">
        <f t="shared" ref="I259:I322" si="16">(G259+H259)/E259</f>
        <v>142.43145877704382</v>
      </c>
      <c r="L259" s="15">
        <f t="shared" si="13"/>
        <v>0</v>
      </c>
      <c r="M259" s="15">
        <f t="shared" si="14"/>
        <v>0</v>
      </c>
      <c r="N259" s="18">
        <v>197.59164336750544</v>
      </c>
      <c r="O259" s="8">
        <v>1</v>
      </c>
      <c r="Q259">
        <f>_xlfn.XLOOKUP(A259,'CONSOLIDADO PEAJES'!H:H,'CONSOLIDADO PEAJES'!AC:AC)</f>
        <v>0</v>
      </c>
    </row>
    <row r="260" spans="1:17" x14ac:dyDescent="0.3">
      <c r="A260" t="s">
        <v>409</v>
      </c>
      <c r="B260">
        <v>1403804</v>
      </c>
      <c r="C260" t="s">
        <v>410</v>
      </c>
      <c r="D260" s="8">
        <v>1</v>
      </c>
      <c r="E260">
        <v>0</v>
      </c>
      <c r="F260" s="2">
        <v>0</v>
      </c>
      <c r="H260" s="2">
        <v>0</v>
      </c>
      <c r="I260" s="16" t="e">
        <f t="shared" si="16"/>
        <v>#DIV/0!</v>
      </c>
      <c r="L260" s="15">
        <f t="shared" si="13"/>
        <v>0</v>
      </c>
      <c r="M260" s="15">
        <f t="shared" si="14"/>
        <v>0</v>
      </c>
      <c r="N260" s="18" t="e">
        <f t="shared" ref="N259:N322" si="17">M260/K260/O260</f>
        <v>#DIV/0!</v>
      </c>
      <c r="O260" s="8">
        <v>1</v>
      </c>
      <c r="Q260">
        <f>_xlfn.XLOOKUP(A260,'CONSOLIDADO PEAJES'!H:H,'CONSOLIDADO PEAJES'!AC:AC)</f>
        <v>1</v>
      </c>
    </row>
    <row r="261" spans="1:17" x14ac:dyDescent="0.3">
      <c r="A261" t="s">
        <v>1238</v>
      </c>
      <c r="B261">
        <v>1403807</v>
      </c>
      <c r="C261" t="s">
        <v>1239</v>
      </c>
      <c r="D261" s="8">
        <v>1</v>
      </c>
      <c r="E261">
        <v>1133.3530000000001</v>
      </c>
      <c r="F261" s="2">
        <v>-0.04</v>
      </c>
      <c r="H261" s="2">
        <v>122397.31</v>
      </c>
      <c r="I261" s="16">
        <f t="shared" si="16"/>
        <v>107.99575242664906</v>
      </c>
      <c r="J261" s="2">
        <v>1042.73</v>
      </c>
      <c r="K261">
        <v>6.391</v>
      </c>
      <c r="L261" s="15">
        <f t="shared" si="13"/>
        <v>0</v>
      </c>
      <c r="M261" s="15">
        <f t="shared" si="14"/>
        <v>1042.73</v>
      </c>
      <c r="N261" s="18">
        <v>163.15598827470689</v>
      </c>
      <c r="O261" s="8">
        <v>1</v>
      </c>
      <c r="Q261">
        <f>_xlfn.XLOOKUP(A261,'CONSOLIDADO PEAJES'!H:H,'CONSOLIDADO PEAJES'!AC:AC)</f>
        <v>1</v>
      </c>
    </row>
    <row r="262" spans="1:17" x14ac:dyDescent="0.3">
      <c r="A262" t="s">
        <v>403</v>
      </c>
      <c r="B262">
        <v>1403809</v>
      </c>
      <c r="C262" t="s">
        <v>404</v>
      </c>
      <c r="D262" s="8">
        <v>1</v>
      </c>
      <c r="E262">
        <v>1538.066</v>
      </c>
      <c r="F262" s="2">
        <v>-0.46</v>
      </c>
      <c r="H262" s="2">
        <v>219068.99</v>
      </c>
      <c r="I262" s="16">
        <f t="shared" si="16"/>
        <v>142.43146262904193</v>
      </c>
      <c r="J262" s="2">
        <v>4621.47</v>
      </c>
      <c r="K262">
        <v>23.388999999999999</v>
      </c>
      <c r="L262" s="15">
        <f t="shared" si="13"/>
        <v>0</v>
      </c>
      <c r="M262" s="15">
        <f t="shared" si="14"/>
        <v>4621.47</v>
      </c>
      <c r="N262" s="18">
        <v>197.59164336750544</v>
      </c>
      <c r="O262" s="8">
        <v>1</v>
      </c>
      <c r="Q262">
        <f>_xlfn.XLOOKUP(A262,'CONSOLIDADO PEAJES'!H:H,'CONSOLIDADO PEAJES'!AC:AC)</f>
        <v>0</v>
      </c>
    </row>
    <row r="263" spans="1:17" x14ac:dyDescent="0.3">
      <c r="A263" t="s">
        <v>901</v>
      </c>
      <c r="B263">
        <v>1403810</v>
      </c>
      <c r="C263" t="s">
        <v>902</v>
      </c>
      <c r="D263" s="8">
        <v>1</v>
      </c>
      <c r="E263">
        <v>359.07</v>
      </c>
      <c r="F263" s="2">
        <v>3.64</v>
      </c>
      <c r="H263" s="2">
        <v>38778.03</v>
      </c>
      <c r="I263" s="16">
        <f t="shared" si="16"/>
        <v>107.99573899239702</v>
      </c>
      <c r="J263" s="2">
        <v>18458.330000000002</v>
      </c>
      <c r="K263">
        <v>113.133</v>
      </c>
      <c r="L263" s="15">
        <f t="shared" si="13"/>
        <v>0</v>
      </c>
      <c r="M263" s="15">
        <f t="shared" si="14"/>
        <v>18458.330000000002</v>
      </c>
      <c r="N263" s="18">
        <v>163.15598827470689</v>
      </c>
      <c r="O263" s="8">
        <v>1</v>
      </c>
      <c r="Q263">
        <f>_xlfn.XLOOKUP(A263,'CONSOLIDADO PEAJES'!H:H,'CONSOLIDADO PEAJES'!AC:AC)</f>
        <v>1</v>
      </c>
    </row>
    <row r="264" spans="1:17" x14ac:dyDescent="0.3">
      <c r="A264" t="s">
        <v>1361</v>
      </c>
      <c r="B264">
        <v>1403688</v>
      </c>
      <c r="C264" t="s">
        <v>1362</v>
      </c>
      <c r="D264" s="8">
        <v>1</v>
      </c>
      <c r="E264">
        <v>618.04499999999996</v>
      </c>
      <c r="F264" s="2">
        <v>0.95</v>
      </c>
      <c r="H264" s="2">
        <v>88029.05</v>
      </c>
      <c r="I264" s="16">
        <f t="shared" si="16"/>
        <v>142.43145725634866</v>
      </c>
      <c r="L264" s="15">
        <f t="shared" si="13"/>
        <v>0</v>
      </c>
      <c r="M264" s="15">
        <f t="shared" si="14"/>
        <v>0</v>
      </c>
      <c r="N264" s="18">
        <v>197.59164336750544</v>
      </c>
      <c r="O264" s="8">
        <v>1</v>
      </c>
      <c r="Q264">
        <f>_xlfn.XLOOKUP(A264,'CONSOLIDADO PEAJES'!H:H,'CONSOLIDADO PEAJES'!AC:AC)</f>
        <v>0</v>
      </c>
    </row>
    <row r="265" spans="1:17" x14ac:dyDescent="0.3">
      <c r="A265" t="s">
        <v>898</v>
      </c>
      <c r="B265">
        <v>1403812</v>
      </c>
      <c r="C265" t="s">
        <v>899</v>
      </c>
      <c r="D265" s="8">
        <v>1</v>
      </c>
      <c r="E265">
        <v>1070.1569999999999</v>
      </c>
      <c r="F265" s="2">
        <v>-2.41</v>
      </c>
      <c r="H265" s="2">
        <v>115572.41</v>
      </c>
      <c r="I265" s="16">
        <f t="shared" si="16"/>
        <v>107.99575202517015</v>
      </c>
      <c r="L265" s="15">
        <f t="shared" si="13"/>
        <v>0</v>
      </c>
      <c r="M265" s="15">
        <f t="shared" si="14"/>
        <v>0</v>
      </c>
      <c r="N265" s="18">
        <v>163.15598827470689</v>
      </c>
      <c r="O265" s="8">
        <v>1</v>
      </c>
      <c r="Q265">
        <f>_xlfn.XLOOKUP(A265,'CONSOLIDADO PEAJES'!H:H,'CONSOLIDADO PEAJES'!AC:AC)</f>
        <v>1</v>
      </c>
    </row>
    <row r="266" spans="1:17" x14ac:dyDescent="0.3">
      <c r="A266" t="s">
        <v>93</v>
      </c>
      <c r="B266">
        <v>1403697</v>
      </c>
      <c r="C266" t="s">
        <v>94</v>
      </c>
      <c r="D266" s="8">
        <v>1</v>
      </c>
      <c r="E266">
        <v>158.673</v>
      </c>
      <c r="F266" s="2">
        <v>-4.66</v>
      </c>
      <c r="H266" s="2">
        <v>22600.03</v>
      </c>
      <c r="I266" s="16">
        <f t="shared" si="16"/>
        <v>142.43147857543499</v>
      </c>
      <c r="J266" s="2">
        <v>14634.63</v>
      </c>
      <c r="K266">
        <v>74.064999999999998</v>
      </c>
      <c r="L266" s="15">
        <f t="shared" si="13"/>
        <v>0</v>
      </c>
      <c r="M266" s="15">
        <f t="shared" si="14"/>
        <v>14634.63</v>
      </c>
      <c r="N266" s="18">
        <v>197.59164336750544</v>
      </c>
      <c r="O266" s="8">
        <v>1</v>
      </c>
      <c r="Q266">
        <f>_xlfn.XLOOKUP(A266,'CONSOLIDADO PEAJES'!H:H,'CONSOLIDADO PEAJES'!AC:AC)</f>
        <v>0</v>
      </c>
    </row>
    <row r="267" spans="1:17" x14ac:dyDescent="0.3">
      <c r="A267" t="s">
        <v>811</v>
      </c>
      <c r="B267">
        <v>1403981</v>
      </c>
      <c r="C267" t="s">
        <v>812</v>
      </c>
      <c r="D267" s="8">
        <v>1</v>
      </c>
      <c r="E267">
        <v>0</v>
      </c>
      <c r="F267" s="2">
        <v>0</v>
      </c>
      <c r="H267" s="2">
        <v>0</v>
      </c>
      <c r="I267" s="16" t="e">
        <f t="shared" si="16"/>
        <v>#DIV/0!</v>
      </c>
      <c r="L267" s="15">
        <f t="shared" si="13"/>
        <v>0</v>
      </c>
      <c r="M267" s="15">
        <f t="shared" si="14"/>
        <v>0</v>
      </c>
      <c r="N267" s="18" t="e">
        <f t="shared" si="17"/>
        <v>#DIV/0!</v>
      </c>
      <c r="O267" s="8">
        <v>1</v>
      </c>
      <c r="Q267">
        <f>_xlfn.XLOOKUP(A267,'CONSOLIDADO PEAJES'!H:H,'CONSOLIDADO PEAJES'!AC:AC)</f>
        <v>0</v>
      </c>
    </row>
    <row r="268" spans="1:17" x14ac:dyDescent="0.3">
      <c r="A268" t="s">
        <v>630</v>
      </c>
      <c r="B268">
        <v>1403700</v>
      </c>
      <c r="C268" t="s">
        <v>631</v>
      </c>
      <c r="D268" s="8">
        <v>1</v>
      </c>
      <c r="E268">
        <v>0</v>
      </c>
      <c r="F268" s="2">
        <v>0</v>
      </c>
      <c r="H268" s="2">
        <v>0</v>
      </c>
      <c r="I268" s="16" t="e">
        <f t="shared" si="16"/>
        <v>#DIV/0!</v>
      </c>
      <c r="L268" s="15">
        <f t="shared" si="13"/>
        <v>0</v>
      </c>
      <c r="M268" s="15">
        <f t="shared" si="14"/>
        <v>0</v>
      </c>
      <c r="N268" s="18" t="e">
        <f t="shared" si="17"/>
        <v>#DIV/0!</v>
      </c>
      <c r="O268" s="8">
        <v>1</v>
      </c>
      <c r="Q268">
        <f>_xlfn.XLOOKUP(A268,'CONSOLIDADO PEAJES'!H:H,'CONSOLIDADO PEAJES'!AC:AC)</f>
        <v>1</v>
      </c>
    </row>
    <row r="269" spans="1:17" x14ac:dyDescent="0.3">
      <c r="A269" t="s">
        <v>124</v>
      </c>
      <c r="B269">
        <v>1403903</v>
      </c>
      <c r="C269" t="s">
        <v>125</v>
      </c>
      <c r="D269" s="8">
        <v>1</v>
      </c>
      <c r="E269">
        <v>2775.6239999999998</v>
      </c>
      <c r="F269" s="2">
        <v>4.4000000000000004</v>
      </c>
      <c r="H269" s="2">
        <v>299755.59999999998</v>
      </c>
      <c r="I269" s="16">
        <f t="shared" si="16"/>
        <v>107.99575158594968</v>
      </c>
      <c r="L269" s="15">
        <f t="shared" si="13"/>
        <v>0</v>
      </c>
      <c r="M269" s="15">
        <f t="shared" si="14"/>
        <v>0</v>
      </c>
      <c r="N269" s="18">
        <v>163.15598827470689</v>
      </c>
      <c r="O269" s="8">
        <v>1</v>
      </c>
      <c r="Q269">
        <f>_xlfn.XLOOKUP(A269,'CONSOLIDADO PEAJES'!H:H,'CONSOLIDADO PEAJES'!AC:AC)</f>
        <v>0</v>
      </c>
    </row>
    <row r="270" spans="1:17" x14ac:dyDescent="0.3">
      <c r="A270" t="s">
        <v>1521</v>
      </c>
      <c r="B270">
        <v>1403705</v>
      </c>
      <c r="C270" t="s">
        <v>1522</v>
      </c>
      <c r="D270" s="8">
        <v>1</v>
      </c>
      <c r="E270">
        <v>1093.277</v>
      </c>
      <c r="F270" s="2">
        <v>2.96</v>
      </c>
      <c r="H270" s="2">
        <v>155717.04</v>
      </c>
      <c r="I270" s="16">
        <f t="shared" si="16"/>
        <v>142.43146064538081</v>
      </c>
      <c r="L270" s="15">
        <f t="shared" si="13"/>
        <v>0</v>
      </c>
      <c r="M270" s="15">
        <f t="shared" si="14"/>
        <v>0</v>
      </c>
      <c r="N270" s="18">
        <v>197.59164336750544</v>
      </c>
      <c r="O270" s="8">
        <v>1</v>
      </c>
      <c r="Q270">
        <f>_xlfn.XLOOKUP(A270,'CONSOLIDADO PEAJES'!H:H,'CONSOLIDADO PEAJES'!AC:AC)</f>
        <v>0</v>
      </c>
    </row>
    <row r="271" spans="1:17" x14ac:dyDescent="0.3">
      <c r="A271" t="s">
        <v>412</v>
      </c>
      <c r="B271">
        <v>1403817</v>
      </c>
      <c r="C271" t="s">
        <v>413</v>
      </c>
      <c r="D271" s="8">
        <v>1</v>
      </c>
      <c r="E271">
        <v>4815.1559999999999</v>
      </c>
      <c r="F271" s="2">
        <v>0.3</v>
      </c>
      <c r="H271" s="2">
        <v>685829.7</v>
      </c>
      <c r="I271" s="16">
        <f t="shared" si="16"/>
        <v>142.43146016453048</v>
      </c>
      <c r="L271" s="15">
        <f t="shared" si="13"/>
        <v>0</v>
      </c>
      <c r="M271" s="15">
        <f t="shared" si="14"/>
        <v>0</v>
      </c>
      <c r="N271" s="18">
        <v>197.59164336750544</v>
      </c>
      <c r="O271" s="8">
        <v>1</v>
      </c>
      <c r="Q271">
        <f>_xlfn.XLOOKUP(A271,'CONSOLIDADO PEAJES'!H:H,'CONSOLIDADO PEAJES'!AC:AC)</f>
        <v>0</v>
      </c>
    </row>
    <row r="272" spans="1:17" x14ac:dyDescent="0.3">
      <c r="A272" t="s">
        <v>96</v>
      </c>
      <c r="B272">
        <v>1403710</v>
      </c>
      <c r="C272" t="s">
        <v>97</v>
      </c>
      <c r="D272" s="8">
        <v>1</v>
      </c>
      <c r="E272">
        <v>2647.2179999999998</v>
      </c>
      <c r="F272" s="2">
        <v>2.88</v>
      </c>
      <c r="H272" s="2">
        <v>377047.12</v>
      </c>
      <c r="I272" s="16">
        <f t="shared" si="16"/>
        <v>142.43145823275606</v>
      </c>
      <c r="L272" s="15">
        <f t="shared" si="13"/>
        <v>0</v>
      </c>
      <c r="M272" s="15">
        <f t="shared" si="14"/>
        <v>0</v>
      </c>
      <c r="N272" s="18">
        <v>197.59164336750544</v>
      </c>
      <c r="O272" s="8">
        <v>1</v>
      </c>
      <c r="Q272">
        <f>_xlfn.XLOOKUP(A272,'CONSOLIDADO PEAJES'!H:H,'CONSOLIDADO PEAJES'!AC:AC)</f>
        <v>0</v>
      </c>
    </row>
    <row r="273" spans="1:17" x14ac:dyDescent="0.3">
      <c r="A273" t="s">
        <v>1364</v>
      </c>
      <c r="B273">
        <v>1403714</v>
      </c>
      <c r="C273" t="s">
        <v>1365</v>
      </c>
      <c r="D273" s="8">
        <v>1</v>
      </c>
      <c r="E273">
        <v>3369.9070000000002</v>
      </c>
      <c r="F273" s="2">
        <v>4.37</v>
      </c>
      <c r="H273" s="2">
        <v>363935.63</v>
      </c>
      <c r="I273" s="16">
        <f t="shared" si="16"/>
        <v>107.99574884410757</v>
      </c>
      <c r="L273" s="15">
        <f t="shared" si="13"/>
        <v>0</v>
      </c>
      <c r="M273" s="15">
        <f t="shared" si="14"/>
        <v>0</v>
      </c>
      <c r="N273" s="18">
        <v>163.15598827470689</v>
      </c>
      <c r="O273" s="8">
        <v>1</v>
      </c>
      <c r="Q273">
        <f>_xlfn.XLOOKUP(A273,'CONSOLIDADO PEAJES'!H:H,'CONSOLIDADO PEAJES'!AC:AC)</f>
        <v>1</v>
      </c>
    </row>
    <row r="274" spans="1:17" x14ac:dyDescent="0.3">
      <c r="A274" t="s">
        <v>109</v>
      </c>
      <c r="B274">
        <v>1407562</v>
      </c>
      <c r="C274" t="s">
        <v>110</v>
      </c>
      <c r="D274" s="8">
        <v>1</v>
      </c>
      <c r="E274">
        <v>311.83600000000001</v>
      </c>
      <c r="F274" s="2">
        <v>3.04</v>
      </c>
      <c r="H274" s="2">
        <v>33676.959999999999</v>
      </c>
      <c r="I274" s="16">
        <f t="shared" si="16"/>
        <v>107.99574135122307</v>
      </c>
      <c r="L274" s="15">
        <f t="shared" si="13"/>
        <v>0</v>
      </c>
      <c r="M274" s="15">
        <f t="shared" si="14"/>
        <v>0</v>
      </c>
      <c r="N274" s="18">
        <v>163.15598827470689</v>
      </c>
      <c r="O274" s="8">
        <v>1</v>
      </c>
      <c r="Q274">
        <f>_xlfn.XLOOKUP(A274,'CONSOLIDADO PEAJES'!H:H,'CONSOLIDADO PEAJES'!AC:AC)</f>
        <v>1</v>
      </c>
    </row>
    <row r="275" spans="1:17" x14ac:dyDescent="0.3">
      <c r="A275" t="s">
        <v>1186</v>
      </c>
      <c r="B275">
        <v>1403983</v>
      </c>
      <c r="C275" t="s">
        <v>1187</v>
      </c>
      <c r="D275" s="8">
        <v>1</v>
      </c>
      <c r="E275">
        <v>2112.4740000000002</v>
      </c>
      <c r="F275" s="2">
        <v>1.03</v>
      </c>
      <c r="H275" s="2">
        <v>228138.21</v>
      </c>
      <c r="I275" s="16">
        <f t="shared" si="16"/>
        <v>107.99574811334955</v>
      </c>
      <c r="J275" s="2">
        <v>4100.76</v>
      </c>
      <c r="K275">
        <v>25.134</v>
      </c>
      <c r="L275" s="15">
        <f t="shared" si="13"/>
        <v>0</v>
      </c>
      <c r="M275" s="15">
        <f t="shared" si="14"/>
        <v>4100.76</v>
      </c>
      <c r="N275" s="18">
        <v>163.15598827470689</v>
      </c>
      <c r="O275" s="8">
        <v>1</v>
      </c>
      <c r="Q275">
        <f>_xlfn.XLOOKUP(A275,'CONSOLIDADO PEAJES'!H:H,'CONSOLIDADO PEAJES'!AC:AC)</f>
        <v>1</v>
      </c>
    </row>
    <row r="276" spans="1:17" x14ac:dyDescent="0.3">
      <c r="A276" t="s">
        <v>1346</v>
      </c>
      <c r="B276">
        <v>1402283</v>
      </c>
      <c r="C276" t="s">
        <v>1347</v>
      </c>
      <c r="D276" s="8">
        <v>1</v>
      </c>
      <c r="E276">
        <v>1187.6790000000001</v>
      </c>
      <c r="F276" s="2">
        <v>4.58</v>
      </c>
      <c r="H276" s="2">
        <v>128264.28</v>
      </c>
      <c r="I276" s="16">
        <f t="shared" si="16"/>
        <v>107.995746325396</v>
      </c>
      <c r="J276" s="2">
        <v>2131.14</v>
      </c>
      <c r="K276">
        <v>13.061999999999999</v>
      </c>
      <c r="L276" s="15">
        <f t="shared" si="13"/>
        <v>0</v>
      </c>
      <c r="M276" s="15">
        <f t="shared" si="14"/>
        <v>2131.14</v>
      </c>
      <c r="N276" s="18">
        <v>163.15598827470689</v>
      </c>
      <c r="O276" s="8">
        <v>1</v>
      </c>
      <c r="Q276">
        <f>_xlfn.XLOOKUP(A276,'CONSOLIDADO PEAJES'!H:H,'CONSOLIDADO PEAJES'!AC:AC)</f>
        <v>1</v>
      </c>
    </row>
    <row r="277" spans="1:17" x14ac:dyDescent="0.3">
      <c r="A277" t="s">
        <v>1343</v>
      </c>
      <c r="B277">
        <v>1399954</v>
      </c>
      <c r="C277" t="s">
        <v>1344</v>
      </c>
      <c r="D277" s="8">
        <v>1</v>
      </c>
      <c r="E277">
        <v>2401.0439999999999</v>
      </c>
      <c r="F277" s="2">
        <v>-2.5499999999999998</v>
      </c>
      <c r="H277" s="2">
        <v>259302.55</v>
      </c>
      <c r="I277" s="16">
        <f t="shared" si="16"/>
        <v>107.99575101497516</v>
      </c>
      <c r="L277" s="15">
        <f t="shared" si="13"/>
        <v>0</v>
      </c>
      <c r="M277" s="15">
        <f t="shared" si="14"/>
        <v>0</v>
      </c>
      <c r="N277" s="18">
        <v>163.15598827470689</v>
      </c>
      <c r="O277" s="8">
        <v>1</v>
      </c>
      <c r="Q277">
        <f>_xlfn.XLOOKUP(A277,'CONSOLIDADO PEAJES'!H:H,'CONSOLIDADO PEAJES'!AC:AC)</f>
        <v>1</v>
      </c>
    </row>
    <row r="278" spans="1:17" x14ac:dyDescent="0.3">
      <c r="A278" t="s">
        <v>665</v>
      </c>
      <c r="B278">
        <v>1399955</v>
      </c>
      <c r="C278" t="s">
        <v>666</v>
      </c>
      <c r="D278" s="8">
        <v>1</v>
      </c>
      <c r="E278">
        <v>2011.3430000000001</v>
      </c>
      <c r="F278" s="2">
        <v>3.5</v>
      </c>
      <c r="H278" s="2">
        <v>217216.5</v>
      </c>
      <c r="I278" s="16">
        <f t="shared" si="16"/>
        <v>107.99575209201016</v>
      </c>
      <c r="L278" s="15">
        <f t="shared" si="13"/>
        <v>0</v>
      </c>
      <c r="M278" s="15">
        <f t="shared" si="14"/>
        <v>0</v>
      </c>
      <c r="N278" s="18">
        <v>163.15598827470689</v>
      </c>
      <c r="O278" s="8">
        <v>1</v>
      </c>
      <c r="Q278">
        <f>_xlfn.XLOOKUP(A278,'CONSOLIDADO PEAJES'!H:H,'CONSOLIDADO PEAJES'!AC:AC)</f>
        <v>1</v>
      </c>
    </row>
    <row r="279" spans="1:17" x14ac:dyDescent="0.3">
      <c r="A279" t="s">
        <v>874</v>
      </c>
      <c r="B279">
        <v>1399956</v>
      </c>
      <c r="C279" t="s">
        <v>875</v>
      </c>
      <c r="D279" s="8">
        <v>1</v>
      </c>
      <c r="E279">
        <v>2399.864</v>
      </c>
      <c r="F279" s="2">
        <v>4.8899999999999997</v>
      </c>
      <c r="H279" s="2">
        <v>259175.11</v>
      </c>
      <c r="I279" s="16">
        <f t="shared" si="16"/>
        <v>107.99574892577245</v>
      </c>
      <c r="L279" s="15">
        <f t="shared" si="13"/>
        <v>0</v>
      </c>
      <c r="M279" s="15">
        <f t="shared" si="14"/>
        <v>0</v>
      </c>
      <c r="N279" s="18">
        <v>163.15598827470689</v>
      </c>
      <c r="O279" s="8">
        <v>1</v>
      </c>
      <c r="Q279">
        <f>_xlfn.XLOOKUP(A279,'CONSOLIDADO PEAJES'!H:H,'CONSOLIDADO PEAJES'!AC:AC)</f>
        <v>1</v>
      </c>
    </row>
    <row r="280" spans="1:17" x14ac:dyDescent="0.3">
      <c r="A280" t="s">
        <v>451</v>
      </c>
      <c r="B280">
        <v>1412641</v>
      </c>
      <c r="C280" t="s">
        <v>452</v>
      </c>
      <c r="D280" s="8">
        <v>1</v>
      </c>
      <c r="E280">
        <v>1630.923</v>
      </c>
      <c r="F280" s="2">
        <v>-4.83</v>
      </c>
      <c r="H280" s="2">
        <v>232294.74</v>
      </c>
      <c r="I280" s="16">
        <f t="shared" si="16"/>
        <v>142.4314575243589</v>
      </c>
      <c r="J280" s="2">
        <v>25920.09</v>
      </c>
      <c r="K280">
        <v>131.18</v>
      </c>
      <c r="L280" s="15">
        <f t="shared" si="13"/>
        <v>0</v>
      </c>
      <c r="M280" s="15">
        <f t="shared" si="14"/>
        <v>25920.09</v>
      </c>
      <c r="N280" s="18">
        <v>197.59164336750544</v>
      </c>
      <c r="O280" s="8">
        <v>1</v>
      </c>
      <c r="Q280">
        <f>_xlfn.XLOOKUP(A280,'CONSOLIDADO PEAJES'!H:H,'CONSOLIDADO PEAJES'!AC:AC)</f>
        <v>0</v>
      </c>
    </row>
    <row r="281" spans="1:17" x14ac:dyDescent="0.3">
      <c r="A281" t="s">
        <v>1558</v>
      </c>
      <c r="B281">
        <v>1400918</v>
      </c>
      <c r="C281" t="s">
        <v>1559</v>
      </c>
      <c r="D281" s="8">
        <v>1</v>
      </c>
      <c r="E281">
        <v>1522.038</v>
      </c>
      <c r="F281" s="2">
        <v>-3.64</v>
      </c>
      <c r="H281" s="2">
        <v>164373.64000000001</v>
      </c>
      <c r="I281" s="16">
        <f t="shared" si="16"/>
        <v>107.99575306266993</v>
      </c>
      <c r="L281" s="15">
        <f t="shared" si="13"/>
        <v>0</v>
      </c>
      <c r="M281" s="15">
        <f t="shared" si="14"/>
        <v>0</v>
      </c>
      <c r="N281" s="18">
        <v>163.15598827470689</v>
      </c>
      <c r="O281" s="8">
        <v>1</v>
      </c>
      <c r="Q281">
        <f>_xlfn.XLOOKUP(A281,'CONSOLIDADO PEAJES'!H:H,'CONSOLIDADO PEAJES'!AC:AC)</f>
        <v>1</v>
      </c>
    </row>
    <row r="282" spans="1:17" x14ac:dyDescent="0.3">
      <c r="A282" t="s">
        <v>1241</v>
      </c>
      <c r="B282">
        <v>1405499</v>
      </c>
      <c r="C282" t="s">
        <v>1242</v>
      </c>
      <c r="D282" s="8">
        <v>1</v>
      </c>
      <c r="E282">
        <v>1501.943</v>
      </c>
      <c r="F282" s="2">
        <v>0.34</v>
      </c>
      <c r="H282" s="2">
        <v>213923.93</v>
      </c>
      <c r="I282" s="16">
        <f t="shared" si="16"/>
        <v>142.43145711921159</v>
      </c>
      <c r="J282" s="2">
        <v>5.73</v>
      </c>
      <c r="K282">
        <v>2.9000000000000001E-2</v>
      </c>
      <c r="L282" s="15">
        <f t="shared" si="13"/>
        <v>0</v>
      </c>
      <c r="M282" s="15">
        <f t="shared" si="14"/>
        <v>5.73</v>
      </c>
      <c r="N282" s="18">
        <v>197.59164336750544</v>
      </c>
      <c r="O282" s="8">
        <v>1</v>
      </c>
      <c r="Q282">
        <f>_xlfn.XLOOKUP(A282,'CONSOLIDADO PEAJES'!H:H,'CONSOLIDADO PEAJES'!AC:AC)</f>
        <v>0</v>
      </c>
    </row>
    <row r="283" spans="1:17" x14ac:dyDescent="0.3">
      <c r="A283" t="s">
        <v>1235</v>
      </c>
      <c r="B283">
        <v>1405517</v>
      </c>
      <c r="C283" t="s">
        <v>1236</v>
      </c>
      <c r="D283" s="8">
        <v>1</v>
      </c>
      <c r="E283">
        <v>2213.2370000000001</v>
      </c>
      <c r="F283" s="2">
        <v>-0.6</v>
      </c>
      <c r="H283" s="2">
        <v>315234.58</v>
      </c>
      <c r="I283" s="16">
        <f t="shared" si="16"/>
        <v>142.43146124884049</v>
      </c>
      <c r="J283" s="2">
        <v>146.02000000000001</v>
      </c>
      <c r="K283">
        <v>0.73899999999999999</v>
      </c>
      <c r="L283" s="15">
        <f t="shared" si="13"/>
        <v>0</v>
      </c>
      <c r="M283" s="15">
        <f t="shared" si="14"/>
        <v>146.02000000000001</v>
      </c>
      <c r="N283" s="18">
        <v>197.59164336750544</v>
      </c>
      <c r="O283" s="8">
        <v>1</v>
      </c>
      <c r="Q283">
        <f>_xlfn.XLOOKUP(A283,'CONSOLIDADO PEAJES'!H:H,'CONSOLIDADO PEAJES'!AC:AC)</f>
        <v>0</v>
      </c>
    </row>
    <row r="284" spans="1:17" x14ac:dyDescent="0.3">
      <c r="A284" t="s">
        <v>1609</v>
      </c>
      <c r="B284">
        <v>1405519</v>
      </c>
      <c r="C284" t="s">
        <v>1610</v>
      </c>
      <c r="D284" s="8">
        <v>1</v>
      </c>
      <c r="E284">
        <v>3140.1509999999998</v>
      </c>
      <c r="F284" s="2">
        <v>3.71</v>
      </c>
      <c r="H284" s="2">
        <v>447256.29</v>
      </c>
      <c r="I284" s="16">
        <f t="shared" si="16"/>
        <v>142.43145950624668</v>
      </c>
      <c r="L284" s="15">
        <f t="shared" si="13"/>
        <v>0</v>
      </c>
      <c r="M284" s="15">
        <f t="shared" si="14"/>
        <v>0</v>
      </c>
      <c r="N284" s="18">
        <v>197.59164336750544</v>
      </c>
      <c r="O284" s="8">
        <v>1</v>
      </c>
      <c r="Q284">
        <f>_xlfn.XLOOKUP(A284,'CONSOLIDADO PEAJES'!H:H,'CONSOLIDADO PEAJES'!AC:AC)</f>
        <v>0</v>
      </c>
    </row>
    <row r="285" spans="1:17" x14ac:dyDescent="0.3">
      <c r="A285" t="s">
        <v>1144</v>
      </c>
      <c r="B285">
        <v>1403711</v>
      </c>
      <c r="C285" t="s">
        <v>1145</v>
      </c>
      <c r="D285" s="8">
        <v>1</v>
      </c>
      <c r="E285">
        <v>2514.299</v>
      </c>
      <c r="F285" s="2">
        <v>4.72</v>
      </c>
      <c r="H285" s="2">
        <v>358115.28</v>
      </c>
      <c r="I285" s="16">
        <f t="shared" si="16"/>
        <v>142.43146101557534</v>
      </c>
      <c r="L285" s="15">
        <f t="shared" si="13"/>
        <v>0</v>
      </c>
      <c r="M285" s="15">
        <f t="shared" si="14"/>
        <v>0</v>
      </c>
      <c r="N285" s="18">
        <v>197.59164336750544</v>
      </c>
      <c r="O285" s="8">
        <v>1</v>
      </c>
      <c r="Q285">
        <f>_xlfn.XLOOKUP(A285,'CONSOLIDADO PEAJES'!H:H,'CONSOLIDADO PEAJES'!AC:AC)</f>
        <v>0</v>
      </c>
    </row>
    <row r="286" spans="1:17" x14ac:dyDescent="0.3">
      <c r="A286" t="s">
        <v>1431</v>
      </c>
      <c r="B286">
        <v>1406170</v>
      </c>
      <c r="C286" t="s">
        <v>1432</v>
      </c>
      <c r="D286" s="8">
        <v>1</v>
      </c>
      <c r="E286">
        <v>5202.4690000000001</v>
      </c>
      <c r="F286" s="2">
        <v>3.2</v>
      </c>
      <c r="H286" s="2">
        <v>740995.26</v>
      </c>
      <c r="I286" s="16">
        <f t="shared" si="16"/>
        <v>142.43146090827258</v>
      </c>
      <c r="J286" s="2">
        <v>44671.54</v>
      </c>
      <c r="K286">
        <v>226.08</v>
      </c>
      <c r="L286" s="15">
        <f t="shared" si="13"/>
        <v>0</v>
      </c>
      <c r="M286" s="15">
        <f t="shared" si="14"/>
        <v>44671.54</v>
      </c>
      <c r="N286" s="18">
        <v>197.59164336750544</v>
      </c>
      <c r="O286" s="8">
        <v>1</v>
      </c>
      <c r="Q286">
        <f>_xlfn.XLOOKUP(A286,'CONSOLIDADO PEAJES'!H:H,'CONSOLIDADO PEAJES'!AC:AC)</f>
        <v>0</v>
      </c>
    </row>
    <row r="287" spans="1:17" x14ac:dyDescent="0.3">
      <c r="A287" t="s">
        <v>671</v>
      </c>
      <c r="B287">
        <v>1405410</v>
      </c>
      <c r="C287" t="s">
        <v>672</v>
      </c>
      <c r="D287" s="8">
        <v>1</v>
      </c>
      <c r="E287">
        <v>2167.491</v>
      </c>
      <c r="F287" s="2">
        <v>-3.49</v>
      </c>
      <c r="H287" s="2">
        <v>234079.82</v>
      </c>
      <c r="I287" s="16">
        <f t="shared" si="16"/>
        <v>107.99575177013423</v>
      </c>
      <c r="J287" s="2">
        <v>983.67</v>
      </c>
      <c r="K287">
        <v>6.0289999999999999</v>
      </c>
      <c r="L287" s="15">
        <f t="shared" si="13"/>
        <v>0</v>
      </c>
      <c r="M287" s="15">
        <f t="shared" si="14"/>
        <v>983.67</v>
      </c>
      <c r="N287" s="18">
        <v>163.15598827470689</v>
      </c>
      <c r="O287" s="8">
        <v>1</v>
      </c>
      <c r="Q287">
        <f>_xlfn.XLOOKUP(A287,'CONSOLIDADO PEAJES'!H:H,'CONSOLIDADO PEAJES'!AC:AC)</f>
        <v>1</v>
      </c>
    </row>
    <row r="288" spans="1:17" x14ac:dyDescent="0.3">
      <c r="A288" t="s">
        <v>154</v>
      </c>
      <c r="B288">
        <v>1403708</v>
      </c>
      <c r="C288" t="s">
        <v>155</v>
      </c>
      <c r="D288" s="8">
        <v>1</v>
      </c>
      <c r="E288">
        <v>2459.9540000000002</v>
      </c>
      <c r="F288" s="2">
        <v>-0.33</v>
      </c>
      <c r="H288" s="2">
        <v>350374.84</v>
      </c>
      <c r="I288" s="16">
        <f t="shared" si="16"/>
        <v>142.43146010047343</v>
      </c>
      <c r="J288" s="2">
        <v>3405.49</v>
      </c>
      <c r="K288">
        <v>17.234999999999999</v>
      </c>
      <c r="L288" s="15">
        <f t="shared" si="13"/>
        <v>0</v>
      </c>
      <c r="M288" s="15">
        <f t="shared" si="14"/>
        <v>3405.49</v>
      </c>
      <c r="N288" s="18">
        <v>197.59164336750544</v>
      </c>
      <c r="O288" s="8">
        <v>1</v>
      </c>
      <c r="Q288">
        <f>_xlfn.XLOOKUP(A288,'CONSOLIDADO PEAJES'!H:H,'CONSOLIDADO PEAJES'!AC:AC)</f>
        <v>0</v>
      </c>
    </row>
    <row r="289" spans="1:17" x14ac:dyDescent="0.3">
      <c r="A289" t="s">
        <v>621</v>
      </c>
      <c r="B289">
        <v>1403719</v>
      </c>
      <c r="C289" t="s">
        <v>622</v>
      </c>
      <c r="D289" s="8">
        <v>1</v>
      </c>
      <c r="E289">
        <v>1803.181</v>
      </c>
      <c r="F289" s="2">
        <v>0.3</v>
      </c>
      <c r="H289" s="2">
        <v>256829.7</v>
      </c>
      <c r="I289" s="16">
        <f t="shared" si="16"/>
        <v>142.43145862783604</v>
      </c>
      <c r="L289" s="15">
        <f t="shared" si="13"/>
        <v>0</v>
      </c>
      <c r="M289" s="15">
        <f t="shared" si="14"/>
        <v>0</v>
      </c>
      <c r="N289" s="18">
        <v>197.59164336750544</v>
      </c>
      <c r="O289" s="8">
        <v>1</v>
      </c>
      <c r="Q289">
        <f>_xlfn.XLOOKUP(A289,'CONSOLIDADO PEAJES'!H:H,'CONSOLIDADO PEAJES'!AC:AC)</f>
        <v>0</v>
      </c>
    </row>
    <row r="290" spans="1:17" x14ac:dyDescent="0.3">
      <c r="A290" t="s">
        <v>706</v>
      </c>
      <c r="B290">
        <v>1408036</v>
      </c>
      <c r="C290" t="s">
        <v>707</v>
      </c>
      <c r="D290" s="8">
        <v>1</v>
      </c>
      <c r="E290">
        <v>2452.2660000000001</v>
      </c>
      <c r="F290" s="2">
        <v>-4.3099999999999996</v>
      </c>
      <c r="H290" s="2">
        <v>264834.31</v>
      </c>
      <c r="I290" s="16">
        <f t="shared" si="16"/>
        <v>107.9957516843605</v>
      </c>
      <c r="L290" s="15">
        <f t="shared" si="13"/>
        <v>0</v>
      </c>
      <c r="M290" s="15">
        <f t="shared" si="14"/>
        <v>0</v>
      </c>
      <c r="N290" s="18">
        <v>163.15598827470689</v>
      </c>
      <c r="O290" s="8">
        <v>1</v>
      </c>
      <c r="Q290">
        <f>_xlfn.XLOOKUP(A290,'CONSOLIDADO PEAJES'!H:H,'CONSOLIDADO PEAJES'!AC:AC)</f>
        <v>1</v>
      </c>
    </row>
    <row r="291" spans="1:17" x14ac:dyDescent="0.3">
      <c r="A291" t="s">
        <v>250</v>
      </c>
      <c r="B291">
        <v>1407563</v>
      </c>
      <c r="C291" t="s">
        <v>251</v>
      </c>
      <c r="D291" s="8">
        <v>1</v>
      </c>
      <c r="E291">
        <v>1646.7840000000001</v>
      </c>
      <c r="F291" s="2">
        <v>-3.85</v>
      </c>
      <c r="H291" s="2">
        <v>234553.85</v>
      </c>
      <c r="I291" s="16">
        <f t="shared" si="16"/>
        <v>142.431460349384</v>
      </c>
      <c r="L291" s="15">
        <f t="shared" si="13"/>
        <v>0</v>
      </c>
      <c r="M291" s="15">
        <f t="shared" si="14"/>
        <v>0</v>
      </c>
      <c r="N291" s="18">
        <v>197.59164336750544</v>
      </c>
      <c r="O291" s="8">
        <v>1</v>
      </c>
      <c r="Q291">
        <f>_xlfn.XLOOKUP(A291,'CONSOLIDADO PEAJES'!H:H,'CONSOLIDADO PEAJES'!AC:AC)</f>
        <v>0</v>
      </c>
    </row>
    <row r="292" spans="1:17" x14ac:dyDescent="0.3">
      <c r="A292" t="s">
        <v>907</v>
      </c>
      <c r="B292">
        <v>1407503</v>
      </c>
      <c r="C292" t="s">
        <v>908</v>
      </c>
      <c r="D292" s="8">
        <v>1</v>
      </c>
      <c r="E292">
        <v>7023.4970000000003</v>
      </c>
      <c r="F292" s="2">
        <v>-4.46</v>
      </c>
      <c r="H292" s="2">
        <v>1000366.93</v>
      </c>
      <c r="I292" s="16">
        <f t="shared" si="16"/>
        <v>142.4314597130176</v>
      </c>
      <c r="J292" s="2">
        <v>547.53</v>
      </c>
      <c r="K292">
        <v>2.7709999999999999</v>
      </c>
      <c r="L292" s="15">
        <f t="shared" si="13"/>
        <v>0</v>
      </c>
      <c r="M292" s="15">
        <f t="shared" si="14"/>
        <v>547.53</v>
      </c>
      <c r="N292" s="18">
        <v>197.59164336750544</v>
      </c>
      <c r="O292" s="8">
        <v>1</v>
      </c>
      <c r="Q292">
        <f>_xlfn.XLOOKUP(A292,'CONSOLIDADO PEAJES'!H:H,'CONSOLIDADO PEAJES'!AC:AC)</f>
        <v>0</v>
      </c>
    </row>
    <row r="293" spans="1:17" x14ac:dyDescent="0.3">
      <c r="A293" t="s">
        <v>1274</v>
      </c>
      <c r="B293">
        <v>1412643</v>
      </c>
      <c r="C293" t="s">
        <v>1275</v>
      </c>
      <c r="D293" s="8">
        <v>1</v>
      </c>
      <c r="E293">
        <v>0</v>
      </c>
      <c r="F293" s="2">
        <v>0</v>
      </c>
      <c r="H293" s="2">
        <v>0</v>
      </c>
      <c r="I293" s="16" t="e">
        <f t="shared" si="16"/>
        <v>#DIV/0!</v>
      </c>
      <c r="L293" s="15">
        <f t="shared" si="13"/>
        <v>0</v>
      </c>
      <c r="M293" s="15">
        <f t="shared" si="14"/>
        <v>0</v>
      </c>
      <c r="N293" s="18" t="e">
        <f t="shared" si="17"/>
        <v>#DIV/0!</v>
      </c>
      <c r="O293" s="8">
        <v>1</v>
      </c>
      <c r="Q293">
        <f>_xlfn.XLOOKUP(A293,'CONSOLIDADO PEAJES'!H:H,'CONSOLIDADO PEAJES'!AC:AC)</f>
        <v>0</v>
      </c>
    </row>
    <row r="294" spans="1:17" x14ac:dyDescent="0.3">
      <c r="A294" t="s">
        <v>1449</v>
      </c>
      <c r="B294">
        <v>1412646</v>
      </c>
      <c r="C294" t="s">
        <v>1450</v>
      </c>
      <c r="D294" s="8">
        <v>1</v>
      </c>
      <c r="E294">
        <v>1618.086</v>
      </c>
      <c r="F294" s="2">
        <v>3.59</v>
      </c>
      <c r="H294" s="2">
        <v>174746.41</v>
      </c>
      <c r="I294" s="16">
        <f t="shared" si="16"/>
        <v>107.99574929886298</v>
      </c>
      <c r="L294" s="15">
        <f t="shared" si="13"/>
        <v>0</v>
      </c>
      <c r="M294" s="15">
        <f t="shared" si="14"/>
        <v>0</v>
      </c>
      <c r="N294" s="18">
        <v>163.15598827470689</v>
      </c>
      <c r="O294" s="8">
        <v>1</v>
      </c>
      <c r="Q294">
        <f>_xlfn.XLOOKUP(A294,'CONSOLIDADO PEAJES'!H:H,'CONSOLIDADO PEAJES'!AC:AC)</f>
        <v>1</v>
      </c>
    </row>
    <row r="295" spans="1:17" x14ac:dyDescent="0.3">
      <c r="A295" t="s">
        <v>439</v>
      </c>
      <c r="B295">
        <v>1412649</v>
      </c>
      <c r="C295" t="s">
        <v>440</v>
      </c>
      <c r="D295" s="8">
        <v>1</v>
      </c>
      <c r="E295">
        <v>1429.48</v>
      </c>
      <c r="F295" s="2">
        <v>2.2400000000000002</v>
      </c>
      <c r="H295" s="2">
        <v>154377.76</v>
      </c>
      <c r="I295" s="16">
        <f t="shared" si="16"/>
        <v>107.99574670509557</v>
      </c>
      <c r="L295" s="15">
        <f t="shared" si="13"/>
        <v>0</v>
      </c>
      <c r="M295" s="15">
        <f t="shared" si="14"/>
        <v>0</v>
      </c>
      <c r="N295" s="18">
        <v>163.15598827470689</v>
      </c>
      <c r="O295" s="8">
        <v>1</v>
      </c>
      <c r="Q295">
        <f>_xlfn.XLOOKUP(A295,'CONSOLIDADO PEAJES'!H:H,'CONSOLIDADO PEAJES'!AC:AC)</f>
        <v>1</v>
      </c>
    </row>
    <row r="296" spans="1:17" x14ac:dyDescent="0.3">
      <c r="A296" t="s">
        <v>442</v>
      </c>
      <c r="B296">
        <v>1412653</v>
      </c>
      <c r="C296" t="s">
        <v>443</v>
      </c>
      <c r="D296" s="8">
        <v>1</v>
      </c>
      <c r="E296">
        <v>681.83699999999999</v>
      </c>
      <c r="F296" s="2">
        <v>4.5</v>
      </c>
      <c r="H296" s="2">
        <v>73635.5</v>
      </c>
      <c r="I296" s="16">
        <f t="shared" si="16"/>
        <v>107.99575265056018</v>
      </c>
      <c r="L296" s="15">
        <f t="shared" si="13"/>
        <v>0</v>
      </c>
      <c r="M296" s="15">
        <f t="shared" si="14"/>
        <v>0</v>
      </c>
      <c r="N296" s="18">
        <v>163.15598827470689</v>
      </c>
      <c r="O296" s="8">
        <v>1</v>
      </c>
      <c r="Q296">
        <f>_xlfn.XLOOKUP(A296,'CONSOLIDADO PEAJES'!H:H,'CONSOLIDADO PEAJES'!AC:AC)</f>
        <v>1</v>
      </c>
    </row>
    <row r="297" spans="1:17" x14ac:dyDescent="0.3">
      <c r="A297" t="s">
        <v>1446</v>
      </c>
      <c r="B297">
        <v>1412656</v>
      </c>
      <c r="C297" t="s">
        <v>1447</v>
      </c>
      <c r="D297" s="8">
        <v>1</v>
      </c>
      <c r="E297">
        <v>2808.913</v>
      </c>
      <c r="F297" s="2">
        <v>-0.67</v>
      </c>
      <c r="H297" s="2">
        <v>303350.67</v>
      </c>
      <c r="I297" s="16">
        <f t="shared" si="16"/>
        <v>107.99575138140625</v>
      </c>
      <c r="L297" s="15">
        <f t="shared" si="13"/>
        <v>0</v>
      </c>
      <c r="M297" s="15">
        <f t="shared" si="14"/>
        <v>0</v>
      </c>
      <c r="N297" s="18">
        <v>163.15598827470689</v>
      </c>
      <c r="O297" s="8">
        <v>1</v>
      </c>
      <c r="Q297">
        <f>_xlfn.XLOOKUP(A297,'CONSOLIDADO PEAJES'!H:H,'CONSOLIDADO PEAJES'!AC:AC)</f>
        <v>1</v>
      </c>
    </row>
    <row r="298" spans="1:17" x14ac:dyDescent="0.3">
      <c r="A298" t="s">
        <v>1253</v>
      </c>
      <c r="B298">
        <v>1407506</v>
      </c>
      <c r="C298" t="s">
        <v>1254</v>
      </c>
      <c r="D298" s="8">
        <v>1</v>
      </c>
      <c r="E298">
        <v>138.59200000000001</v>
      </c>
      <c r="F298" s="2">
        <v>2.69</v>
      </c>
      <c r="H298" s="2">
        <v>14967.35</v>
      </c>
      <c r="I298" s="16">
        <f t="shared" si="16"/>
        <v>107.99577176171785</v>
      </c>
      <c r="J298" s="2">
        <v>419.96</v>
      </c>
      <c r="K298">
        <v>2.5739999999999998</v>
      </c>
      <c r="L298" s="15">
        <f t="shared" si="13"/>
        <v>0</v>
      </c>
      <c r="M298" s="15">
        <f t="shared" si="14"/>
        <v>419.96</v>
      </c>
      <c r="N298" s="18">
        <v>163.15598827470689</v>
      </c>
      <c r="O298" s="8">
        <v>1</v>
      </c>
      <c r="Q298">
        <f>_xlfn.XLOOKUP(A298,'CONSOLIDADO PEAJES'!H:H,'CONSOLIDADO PEAJES'!AC:AC)</f>
        <v>1</v>
      </c>
    </row>
    <row r="299" spans="1:17" x14ac:dyDescent="0.3">
      <c r="A299" t="s">
        <v>1259</v>
      </c>
      <c r="B299">
        <v>1407508</v>
      </c>
      <c r="C299" t="s">
        <v>1260</v>
      </c>
      <c r="D299" s="8">
        <v>1</v>
      </c>
      <c r="E299">
        <v>1431.672</v>
      </c>
      <c r="F299" s="2">
        <v>-4.49</v>
      </c>
      <c r="H299" s="2">
        <v>154614.49</v>
      </c>
      <c r="I299" s="16">
        <f t="shared" si="16"/>
        <v>107.99574902631328</v>
      </c>
      <c r="L299" s="15">
        <f t="shared" si="13"/>
        <v>0</v>
      </c>
      <c r="M299" s="15">
        <f t="shared" si="14"/>
        <v>0</v>
      </c>
      <c r="N299" s="18">
        <v>163.15598827470689</v>
      </c>
      <c r="O299" s="8">
        <v>1</v>
      </c>
      <c r="Q299">
        <f>_xlfn.XLOOKUP(A299,'CONSOLIDADO PEAJES'!H:H,'CONSOLIDADO PEAJES'!AC:AC)</f>
        <v>1</v>
      </c>
    </row>
    <row r="300" spans="1:17" x14ac:dyDescent="0.3">
      <c r="A300" t="s">
        <v>418</v>
      </c>
      <c r="B300">
        <v>1407509</v>
      </c>
      <c r="C300" t="s">
        <v>419</v>
      </c>
      <c r="D300" s="8">
        <v>1</v>
      </c>
      <c r="E300">
        <v>661.09400000000005</v>
      </c>
      <c r="F300" s="2">
        <v>-0.57999999999999996</v>
      </c>
      <c r="H300" s="2">
        <v>94160.58</v>
      </c>
      <c r="I300" s="16">
        <f t="shared" si="16"/>
        <v>142.43145452840292</v>
      </c>
      <c r="L300" s="15">
        <f t="shared" si="13"/>
        <v>0</v>
      </c>
      <c r="M300" s="15">
        <f t="shared" si="14"/>
        <v>0</v>
      </c>
      <c r="N300" s="18">
        <v>197.59164336750544</v>
      </c>
      <c r="O300" s="8">
        <v>1</v>
      </c>
      <c r="Q300">
        <f>_xlfn.XLOOKUP(A300,'CONSOLIDADO PEAJES'!H:H,'CONSOLIDADO PEAJES'!AC:AC)</f>
        <v>0</v>
      </c>
    </row>
    <row r="301" spans="1:17" x14ac:dyDescent="0.3">
      <c r="A301" t="s">
        <v>1256</v>
      </c>
      <c r="B301">
        <v>1407510</v>
      </c>
      <c r="C301" t="s">
        <v>1257</v>
      </c>
      <c r="D301" s="8">
        <v>1</v>
      </c>
      <c r="E301">
        <v>782.01800000000003</v>
      </c>
      <c r="F301" s="2">
        <v>-4.62</v>
      </c>
      <c r="H301" s="2">
        <v>84454.62</v>
      </c>
      <c r="I301" s="16">
        <f t="shared" si="16"/>
        <v>107.99574945845235</v>
      </c>
      <c r="L301" s="15">
        <f t="shared" si="13"/>
        <v>0</v>
      </c>
      <c r="M301" s="15">
        <f t="shared" si="14"/>
        <v>0</v>
      </c>
      <c r="N301" s="18">
        <v>163.15598827470689</v>
      </c>
      <c r="O301" s="8">
        <v>1</v>
      </c>
      <c r="Q301">
        <f>_xlfn.XLOOKUP(A301,'CONSOLIDADO PEAJES'!H:H,'CONSOLIDADO PEAJES'!AC:AC)</f>
        <v>1</v>
      </c>
    </row>
    <row r="302" spans="1:17" x14ac:dyDescent="0.3">
      <c r="A302" t="s">
        <v>1262</v>
      </c>
      <c r="B302">
        <v>1407512</v>
      </c>
      <c r="C302" t="s">
        <v>1263</v>
      </c>
      <c r="D302" s="8">
        <v>1</v>
      </c>
      <c r="E302">
        <v>393.57</v>
      </c>
      <c r="F302" s="2">
        <v>3.25</v>
      </c>
      <c r="H302" s="2">
        <v>56056.75</v>
      </c>
      <c r="I302" s="16">
        <f t="shared" si="16"/>
        <v>142.43146073125493</v>
      </c>
      <c r="L302" s="15">
        <f t="shared" si="13"/>
        <v>0</v>
      </c>
      <c r="M302" s="15">
        <f t="shared" si="14"/>
        <v>0</v>
      </c>
      <c r="N302" s="18">
        <v>197.59164336750544</v>
      </c>
      <c r="O302" s="8">
        <v>1</v>
      </c>
      <c r="Q302">
        <f>_xlfn.XLOOKUP(A302,'CONSOLIDADO PEAJES'!H:H,'CONSOLIDADO PEAJES'!AC:AC)</f>
        <v>0</v>
      </c>
    </row>
    <row r="303" spans="1:17" x14ac:dyDescent="0.3">
      <c r="A303" t="s">
        <v>910</v>
      </c>
      <c r="B303">
        <v>1407517</v>
      </c>
      <c r="C303" t="s">
        <v>911</v>
      </c>
      <c r="D303" s="8">
        <v>1</v>
      </c>
      <c r="E303">
        <v>1632.633</v>
      </c>
      <c r="F303" s="2">
        <v>1.7</v>
      </c>
      <c r="H303" s="2">
        <v>232538.3</v>
      </c>
      <c r="I303" s="16">
        <f t="shared" si="16"/>
        <v>142.43145887655095</v>
      </c>
      <c r="L303" s="15">
        <f t="shared" si="13"/>
        <v>0</v>
      </c>
      <c r="M303" s="15">
        <f t="shared" si="14"/>
        <v>0</v>
      </c>
      <c r="N303" s="18">
        <v>197.59164336750544</v>
      </c>
      <c r="O303" s="8">
        <v>1</v>
      </c>
      <c r="Q303">
        <f>_xlfn.XLOOKUP(A303,'CONSOLIDADO PEAJES'!H:H,'CONSOLIDADO PEAJES'!AC:AC)</f>
        <v>0</v>
      </c>
    </row>
    <row r="304" spans="1:17" x14ac:dyDescent="0.3">
      <c r="A304" t="s">
        <v>1437</v>
      </c>
      <c r="B304">
        <v>1405490</v>
      </c>
      <c r="C304" t="s">
        <v>1438</v>
      </c>
      <c r="D304" s="8">
        <v>1</v>
      </c>
      <c r="E304">
        <v>0</v>
      </c>
      <c r="F304" s="2">
        <v>0</v>
      </c>
      <c r="H304" s="2">
        <v>0</v>
      </c>
      <c r="I304" s="16" t="e">
        <f t="shared" si="16"/>
        <v>#DIV/0!</v>
      </c>
      <c r="L304" s="15">
        <f t="shared" si="13"/>
        <v>0</v>
      </c>
      <c r="M304" s="15">
        <f t="shared" si="14"/>
        <v>0</v>
      </c>
      <c r="N304" s="18" t="e">
        <f t="shared" si="17"/>
        <v>#DIV/0!</v>
      </c>
      <c r="O304" s="8">
        <v>1</v>
      </c>
      <c r="Q304">
        <f>_xlfn.XLOOKUP(A304,'CONSOLIDADO PEAJES'!H:H,'CONSOLIDADO PEAJES'!AC:AC)</f>
        <v>1</v>
      </c>
    </row>
    <row r="305" spans="1:17" x14ac:dyDescent="0.3">
      <c r="A305" t="s">
        <v>679</v>
      </c>
      <c r="B305">
        <v>1406212</v>
      </c>
      <c r="C305" t="s">
        <v>680</v>
      </c>
      <c r="D305" s="8">
        <v>1</v>
      </c>
      <c r="E305">
        <v>0</v>
      </c>
      <c r="F305" s="2">
        <v>0</v>
      </c>
      <c r="H305" s="2">
        <v>0</v>
      </c>
      <c r="I305" s="16" t="e">
        <f t="shared" si="16"/>
        <v>#DIV/0!</v>
      </c>
      <c r="L305" s="15">
        <f t="shared" si="13"/>
        <v>0</v>
      </c>
      <c r="M305" s="15">
        <f t="shared" si="14"/>
        <v>0</v>
      </c>
      <c r="N305" s="18" t="e">
        <f t="shared" si="17"/>
        <v>#DIV/0!</v>
      </c>
      <c r="O305" s="8">
        <v>1</v>
      </c>
      <c r="Q305">
        <f>_xlfn.XLOOKUP(A305,'CONSOLIDADO PEAJES'!H:H,'CONSOLIDADO PEAJES'!AC:AC)</f>
        <v>1</v>
      </c>
    </row>
    <row r="306" spans="1:17" x14ac:dyDescent="0.3">
      <c r="A306" t="s">
        <v>1244</v>
      </c>
      <c r="B306">
        <v>1406176</v>
      </c>
      <c r="C306" t="s">
        <v>1245</v>
      </c>
      <c r="D306" s="8">
        <v>1</v>
      </c>
      <c r="E306">
        <v>3342.962</v>
      </c>
      <c r="F306" s="2">
        <v>3.29</v>
      </c>
      <c r="H306" s="2">
        <v>476142.96</v>
      </c>
      <c r="I306" s="16">
        <f t="shared" si="16"/>
        <v>142.43146048324809</v>
      </c>
      <c r="J306" s="2">
        <v>11753.75</v>
      </c>
      <c r="K306">
        <v>59.484999999999999</v>
      </c>
      <c r="L306" s="15">
        <f t="shared" si="13"/>
        <v>0</v>
      </c>
      <c r="M306" s="15">
        <f t="shared" si="14"/>
        <v>11753.75</v>
      </c>
      <c r="N306" s="18">
        <v>197.59164336750544</v>
      </c>
      <c r="O306" s="8">
        <v>1</v>
      </c>
      <c r="Q306">
        <f>_xlfn.XLOOKUP(A306,'CONSOLIDADO PEAJES'!H:H,'CONSOLIDADO PEAJES'!AC:AC)</f>
        <v>0</v>
      </c>
    </row>
    <row r="307" spans="1:17" x14ac:dyDescent="0.3">
      <c r="A307" t="s">
        <v>1561</v>
      </c>
      <c r="B307">
        <v>1405493</v>
      </c>
      <c r="C307" t="s">
        <v>1562</v>
      </c>
      <c r="D307" s="8">
        <v>1</v>
      </c>
      <c r="E307">
        <v>4232.5609999999997</v>
      </c>
      <c r="F307" s="2">
        <v>0.16</v>
      </c>
      <c r="H307" s="2">
        <v>602849.84</v>
      </c>
      <c r="I307" s="16">
        <f t="shared" si="16"/>
        <v>142.43145934577197</v>
      </c>
      <c r="L307" s="15">
        <f t="shared" si="13"/>
        <v>0</v>
      </c>
      <c r="M307" s="15">
        <f t="shared" si="14"/>
        <v>0</v>
      </c>
      <c r="N307" s="18">
        <v>197.59164336750544</v>
      </c>
      <c r="O307" s="8">
        <v>1</v>
      </c>
      <c r="Q307">
        <f>_xlfn.XLOOKUP(A307,'CONSOLIDADO PEAJES'!H:H,'CONSOLIDADO PEAJES'!AC:AC)</f>
        <v>0</v>
      </c>
    </row>
    <row r="308" spans="1:17" x14ac:dyDescent="0.3">
      <c r="A308" t="s">
        <v>130</v>
      </c>
      <c r="B308">
        <v>1405495</v>
      </c>
      <c r="C308" t="s">
        <v>131</v>
      </c>
      <c r="D308" s="8">
        <v>1</v>
      </c>
      <c r="E308">
        <v>7768.9139999999998</v>
      </c>
      <c r="F308" s="2">
        <v>-4.4400000000000004</v>
      </c>
      <c r="H308" s="2">
        <v>839009.69</v>
      </c>
      <c r="I308" s="16">
        <f t="shared" si="16"/>
        <v>107.99574947026058</v>
      </c>
      <c r="J308" s="2">
        <v>7114.75</v>
      </c>
      <c r="K308">
        <v>43.606999999999999</v>
      </c>
      <c r="L308" s="15">
        <f t="shared" si="13"/>
        <v>0</v>
      </c>
      <c r="M308" s="15">
        <f t="shared" si="14"/>
        <v>7114.75</v>
      </c>
      <c r="N308" s="18">
        <v>163.15598827470689</v>
      </c>
      <c r="O308" s="8">
        <v>1</v>
      </c>
      <c r="Q308">
        <f>_xlfn.XLOOKUP(A308,'CONSOLIDADO PEAJES'!H:H,'CONSOLIDADO PEAJES'!AC:AC)</f>
        <v>1</v>
      </c>
    </row>
    <row r="309" spans="1:17" x14ac:dyDescent="0.3">
      <c r="A309" t="s">
        <v>848</v>
      </c>
      <c r="B309">
        <v>1406119</v>
      </c>
      <c r="C309" t="s">
        <v>849</v>
      </c>
      <c r="D309" s="8">
        <v>1</v>
      </c>
      <c r="E309">
        <v>2951.0160000000001</v>
      </c>
      <c r="F309" s="2">
        <v>-1.19</v>
      </c>
      <c r="H309" s="2">
        <v>318697.19</v>
      </c>
      <c r="I309" s="16">
        <f t="shared" si="16"/>
        <v>107.9957512937917</v>
      </c>
      <c r="J309" s="2">
        <v>364</v>
      </c>
      <c r="K309">
        <v>2.2309999999999999</v>
      </c>
      <c r="L309" s="15">
        <f t="shared" si="13"/>
        <v>0</v>
      </c>
      <c r="M309" s="15">
        <f t="shared" si="14"/>
        <v>364</v>
      </c>
      <c r="N309" s="18">
        <v>163.15598827470689</v>
      </c>
      <c r="O309" s="8">
        <v>1</v>
      </c>
      <c r="Q309">
        <f>_xlfn.XLOOKUP(A309,'CONSOLIDADO PEAJES'!H:H,'CONSOLIDADO PEAJES'!AC:AC)</f>
        <v>1</v>
      </c>
    </row>
    <row r="310" spans="1:17" x14ac:dyDescent="0.3">
      <c r="A310" t="s">
        <v>1042</v>
      </c>
      <c r="B310">
        <v>1406226</v>
      </c>
      <c r="C310" t="s">
        <v>1043</v>
      </c>
      <c r="D310" s="8">
        <v>1</v>
      </c>
      <c r="E310">
        <v>3723.1149999999998</v>
      </c>
      <c r="F310" s="2">
        <v>2.99</v>
      </c>
      <c r="H310" s="2">
        <v>530288.71</v>
      </c>
      <c r="I310" s="16">
        <f t="shared" si="16"/>
        <v>142.43146128980706</v>
      </c>
      <c r="J310" s="2">
        <v>8.3000000000000007</v>
      </c>
      <c r="K310">
        <v>4.2000000000000003E-2</v>
      </c>
      <c r="L310" s="15">
        <f t="shared" si="13"/>
        <v>0</v>
      </c>
      <c r="M310" s="15">
        <f t="shared" si="14"/>
        <v>8.3000000000000007</v>
      </c>
      <c r="N310" s="18">
        <v>197.59164336750544</v>
      </c>
      <c r="O310" s="8">
        <v>1</v>
      </c>
      <c r="Q310">
        <f>_xlfn.XLOOKUP(A310,'CONSOLIDADO PEAJES'!H:H,'CONSOLIDADO PEAJES'!AC:AC)</f>
        <v>0</v>
      </c>
    </row>
    <row r="311" spans="1:17" x14ac:dyDescent="0.3">
      <c r="A311" t="s">
        <v>1247</v>
      </c>
      <c r="B311">
        <v>1406179</v>
      </c>
      <c r="C311" t="s">
        <v>1248</v>
      </c>
      <c r="D311" s="8">
        <v>1</v>
      </c>
      <c r="E311">
        <v>10572.984</v>
      </c>
      <c r="F311" s="2">
        <v>-4.07</v>
      </c>
      <c r="H311" s="2">
        <v>1505925.55</v>
      </c>
      <c r="I311" s="16">
        <f t="shared" si="16"/>
        <v>142.43146021974496</v>
      </c>
      <c r="J311" s="2">
        <v>88.52</v>
      </c>
      <c r="K311">
        <v>0.44800000000000001</v>
      </c>
      <c r="L311" s="15">
        <f t="shared" si="13"/>
        <v>0</v>
      </c>
      <c r="M311" s="15">
        <f t="shared" si="14"/>
        <v>88.52</v>
      </c>
      <c r="N311" s="18">
        <v>197.59164336750544</v>
      </c>
      <c r="O311" s="8">
        <v>1</v>
      </c>
      <c r="Q311">
        <f>_xlfn.XLOOKUP(A311,'CONSOLIDADO PEAJES'!H:H,'CONSOLIDADO PEAJES'!AC:AC)</f>
        <v>0</v>
      </c>
    </row>
    <row r="312" spans="1:17" x14ac:dyDescent="0.3">
      <c r="A312" t="s">
        <v>148</v>
      </c>
      <c r="B312">
        <v>1406227</v>
      </c>
      <c r="C312" t="s">
        <v>149</v>
      </c>
      <c r="D312" s="8">
        <v>1</v>
      </c>
      <c r="E312">
        <v>484.76100000000002</v>
      </c>
      <c r="F312" s="2">
        <v>-2.13</v>
      </c>
      <c r="H312" s="2">
        <v>52352.13</v>
      </c>
      <c r="I312" s="16">
        <f t="shared" si="16"/>
        <v>107.99575460897225</v>
      </c>
      <c r="L312" s="15">
        <f t="shared" si="13"/>
        <v>0</v>
      </c>
      <c r="M312" s="15">
        <f t="shared" si="14"/>
        <v>0</v>
      </c>
      <c r="N312" s="18">
        <v>163.15598827470689</v>
      </c>
      <c r="O312" s="8">
        <v>1</v>
      </c>
      <c r="Q312">
        <f>_xlfn.XLOOKUP(A312,'CONSOLIDADO PEAJES'!H:H,'CONSOLIDADO PEAJES'!AC:AC)</f>
        <v>1</v>
      </c>
    </row>
    <row r="313" spans="1:17" x14ac:dyDescent="0.3">
      <c r="A313" t="s">
        <v>127</v>
      </c>
      <c r="B313">
        <v>1406191</v>
      </c>
      <c r="C313" t="s">
        <v>128</v>
      </c>
      <c r="D313" s="8">
        <v>1</v>
      </c>
      <c r="E313">
        <v>15963.325999999999</v>
      </c>
      <c r="F313" s="2">
        <v>-2.92</v>
      </c>
      <c r="H313" s="2">
        <v>1723971.36</v>
      </c>
      <c r="I313" s="16">
        <f t="shared" si="16"/>
        <v>107.99574975791387</v>
      </c>
      <c r="J313" s="2">
        <v>285771.56</v>
      </c>
      <c r="K313">
        <v>1751.5229999999999</v>
      </c>
      <c r="L313" s="15">
        <f t="shared" si="13"/>
        <v>0</v>
      </c>
      <c r="M313" s="15">
        <f t="shared" si="14"/>
        <v>285771.56</v>
      </c>
      <c r="N313" s="18">
        <v>163.15598827470689</v>
      </c>
      <c r="O313" s="8">
        <v>1</v>
      </c>
      <c r="Q313">
        <f>_xlfn.XLOOKUP(A313,'CONSOLIDADO PEAJES'!H:H,'CONSOLIDADO PEAJES'!AC:AC)</f>
        <v>1</v>
      </c>
    </row>
    <row r="314" spans="1:17" x14ac:dyDescent="0.3">
      <c r="A314" t="s">
        <v>415</v>
      </c>
      <c r="B314">
        <v>1406204</v>
      </c>
      <c r="C314" t="s">
        <v>416</v>
      </c>
      <c r="D314" s="8">
        <v>1</v>
      </c>
      <c r="E314">
        <v>8568.1980000000003</v>
      </c>
      <c r="F314" s="2">
        <v>1.03</v>
      </c>
      <c r="H314" s="2">
        <v>925328.97</v>
      </c>
      <c r="I314" s="16">
        <f t="shared" si="16"/>
        <v>107.99575009821201</v>
      </c>
      <c r="L314" s="15">
        <f t="shared" si="13"/>
        <v>0</v>
      </c>
      <c r="M314" s="15">
        <f t="shared" si="14"/>
        <v>0</v>
      </c>
      <c r="N314" s="18">
        <v>163.15598827470689</v>
      </c>
      <c r="O314" s="8">
        <v>1</v>
      </c>
      <c r="Q314">
        <f>_xlfn.XLOOKUP(A314,'CONSOLIDADO PEAJES'!H:H,'CONSOLIDADO PEAJES'!AC:AC)</f>
        <v>1</v>
      </c>
    </row>
    <row r="315" spans="1:17" x14ac:dyDescent="0.3">
      <c r="A315" t="s">
        <v>241</v>
      </c>
      <c r="B315">
        <v>1408950</v>
      </c>
      <c r="C315" t="s">
        <v>242</v>
      </c>
      <c r="D315" s="8">
        <v>1</v>
      </c>
      <c r="E315">
        <v>3531.3049999999998</v>
      </c>
      <c r="F315" s="2">
        <v>2.58</v>
      </c>
      <c r="H315" s="2">
        <v>502968.93</v>
      </c>
      <c r="I315" s="16">
        <f t="shared" si="16"/>
        <v>142.43146089052064</v>
      </c>
      <c r="J315" s="2">
        <v>1978.49</v>
      </c>
      <c r="K315">
        <v>10.013</v>
      </c>
      <c r="L315" s="15">
        <f t="shared" si="13"/>
        <v>0</v>
      </c>
      <c r="M315" s="15">
        <f t="shared" si="14"/>
        <v>1978.49</v>
      </c>
      <c r="N315" s="18">
        <v>197.59164336750544</v>
      </c>
      <c r="O315" s="8">
        <v>1</v>
      </c>
      <c r="Q315">
        <f>_xlfn.XLOOKUP(A315,'CONSOLIDADO PEAJES'!H:H,'CONSOLIDADO PEAJES'!AC:AC)</f>
        <v>0</v>
      </c>
    </row>
    <row r="316" spans="1:17" x14ac:dyDescent="0.3">
      <c r="A316" t="s">
        <v>262</v>
      </c>
      <c r="B316">
        <v>1408951</v>
      </c>
      <c r="C316" t="s">
        <v>263</v>
      </c>
      <c r="D316" s="8">
        <v>1</v>
      </c>
      <c r="E316">
        <v>1217.3399999999999</v>
      </c>
      <c r="F316" s="2">
        <v>0.2</v>
      </c>
      <c r="H316" s="2">
        <v>173387.51</v>
      </c>
      <c r="I316" s="16">
        <f t="shared" si="16"/>
        <v>142.43145711140684</v>
      </c>
      <c r="J316" s="2">
        <v>3192.29</v>
      </c>
      <c r="K316">
        <v>16.155999999999999</v>
      </c>
      <c r="L316" s="15">
        <f t="shared" si="13"/>
        <v>0</v>
      </c>
      <c r="M316" s="15">
        <f t="shared" si="14"/>
        <v>3192.29</v>
      </c>
      <c r="N316" s="18">
        <v>197.59164336750544</v>
      </c>
      <c r="O316" s="8">
        <v>1</v>
      </c>
      <c r="Q316">
        <f>_xlfn.XLOOKUP(A316,'CONSOLIDADO PEAJES'!H:H,'CONSOLIDADO PEAJES'!AC:AC)</f>
        <v>0</v>
      </c>
    </row>
    <row r="317" spans="1:17" x14ac:dyDescent="0.3">
      <c r="A317" t="s">
        <v>858</v>
      </c>
      <c r="B317">
        <v>1411985</v>
      </c>
      <c r="C317" t="s">
        <v>859</v>
      </c>
      <c r="D317" s="8">
        <v>1</v>
      </c>
      <c r="E317">
        <v>1117.6379999999999</v>
      </c>
      <c r="F317" s="2">
        <v>3.5</v>
      </c>
      <c r="H317" s="2">
        <v>159186.81</v>
      </c>
      <c r="I317" s="16">
        <f t="shared" si="16"/>
        <v>142.43145812866064</v>
      </c>
      <c r="J317" s="2">
        <v>7639.69</v>
      </c>
      <c r="K317">
        <v>38.664000000000001</v>
      </c>
      <c r="L317" s="15">
        <f t="shared" si="13"/>
        <v>0</v>
      </c>
      <c r="M317" s="15">
        <f t="shared" si="14"/>
        <v>7639.69</v>
      </c>
      <c r="N317" s="18">
        <v>197.59164336750544</v>
      </c>
      <c r="O317" s="8">
        <v>1</v>
      </c>
      <c r="Q317">
        <f>_xlfn.XLOOKUP(A317,'CONSOLIDADO PEAJES'!H:H,'CONSOLIDADO PEAJES'!AC:AC)</f>
        <v>0</v>
      </c>
    </row>
    <row r="318" spans="1:17" x14ac:dyDescent="0.3">
      <c r="A318" t="s">
        <v>1250</v>
      </c>
      <c r="B318">
        <v>1407518</v>
      </c>
      <c r="C318" t="s">
        <v>1251</v>
      </c>
      <c r="D318" s="8">
        <v>1</v>
      </c>
      <c r="E318">
        <v>3630.24</v>
      </c>
      <c r="F318" s="2">
        <v>3.87</v>
      </c>
      <c r="H318" s="2">
        <v>517060.38</v>
      </c>
      <c r="I318" s="16">
        <f t="shared" si="16"/>
        <v>142.43145907708583</v>
      </c>
      <c r="J318" s="2">
        <v>24585.75</v>
      </c>
      <c r="K318">
        <v>124.42700000000001</v>
      </c>
      <c r="L318" s="15">
        <f t="shared" si="13"/>
        <v>0</v>
      </c>
      <c r="M318" s="15">
        <f t="shared" si="14"/>
        <v>24585.75</v>
      </c>
      <c r="N318" s="18">
        <v>197.59164336750544</v>
      </c>
      <c r="O318" s="8">
        <v>1</v>
      </c>
      <c r="Q318">
        <f>_xlfn.XLOOKUP(A318,'CONSOLIDADO PEAJES'!H:H,'CONSOLIDADO PEAJES'!AC:AC)</f>
        <v>0</v>
      </c>
    </row>
    <row r="319" spans="1:17" x14ac:dyDescent="0.3">
      <c r="A319" t="s">
        <v>1551</v>
      </c>
      <c r="B319">
        <v>1411961</v>
      </c>
      <c r="C319" t="s">
        <v>1552</v>
      </c>
      <c r="D319" s="8">
        <v>1</v>
      </c>
      <c r="E319">
        <v>32.209000000000003</v>
      </c>
      <c r="F319" s="2">
        <v>2.4300000000000002</v>
      </c>
      <c r="H319" s="2">
        <v>4587.57</v>
      </c>
      <c r="I319" s="16">
        <f t="shared" si="16"/>
        <v>142.43130801949764</v>
      </c>
      <c r="L319" s="15">
        <f t="shared" si="13"/>
        <v>0</v>
      </c>
      <c r="M319" s="15">
        <f t="shared" si="14"/>
        <v>0</v>
      </c>
      <c r="N319" s="18">
        <v>197.59164336750544</v>
      </c>
      <c r="O319" s="8">
        <v>1</v>
      </c>
      <c r="Q319">
        <f>_xlfn.XLOOKUP(A319,'CONSOLIDADO PEAJES'!H:H,'CONSOLIDADO PEAJES'!AC:AC)</f>
        <v>0</v>
      </c>
    </row>
    <row r="320" spans="1:17" x14ac:dyDescent="0.3">
      <c r="A320" t="s">
        <v>424</v>
      </c>
      <c r="B320">
        <v>1408276</v>
      </c>
      <c r="C320" t="s">
        <v>425</v>
      </c>
      <c r="D320" s="8">
        <v>1</v>
      </c>
      <c r="E320">
        <v>6829.9009999999998</v>
      </c>
      <c r="F320" s="2">
        <v>-2.77</v>
      </c>
      <c r="H320" s="2">
        <v>972792.77</v>
      </c>
      <c r="I320" s="16">
        <f t="shared" si="16"/>
        <v>142.43145984107238</v>
      </c>
      <c r="L320" s="15">
        <f t="shared" si="13"/>
        <v>0</v>
      </c>
      <c r="M320" s="15">
        <f t="shared" si="14"/>
        <v>0</v>
      </c>
      <c r="N320" s="18">
        <v>197.59164336750544</v>
      </c>
      <c r="O320" s="8">
        <v>1</v>
      </c>
      <c r="Q320">
        <f>_xlfn.XLOOKUP(A320,'CONSOLIDADO PEAJES'!H:H,'CONSOLIDADO PEAJES'!AC:AC)</f>
        <v>0</v>
      </c>
    </row>
    <row r="321" spans="1:17" x14ac:dyDescent="0.3">
      <c r="A321" t="s">
        <v>430</v>
      </c>
      <c r="B321">
        <v>1412136</v>
      </c>
      <c r="C321" t="s">
        <v>431</v>
      </c>
      <c r="D321" s="8">
        <v>1</v>
      </c>
      <c r="E321">
        <v>8644.7630000000008</v>
      </c>
      <c r="F321" s="2">
        <v>1.88</v>
      </c>
      <c r="H321" s="2">
        <v>933597.66</v>
      </c>
      <c r="I321" s="16">
        <f t="shared" si="16"/>
        <v>107.99574956537269</v>
      </c>
      <c r="J321" s="2">
        <v>22720.46</v>
      </c>
      <c r="K321">
        <v>139.256</v>
      </c>
      <c r="L321" s="15">
        <f t="shared" si="13"/>
        <v>0</v>
      </c>
      <c r="M321" s="15">
        <f t="shared" si="14"/>
        <v>22720.46</v>
      </c>
      <c r="N321" s="18">
        <v>163.15598827470689</v>
      </c>
      <c r="O321" s="8">
        <v>1</v>
      </c>
      <c r="Q321">
        <f>_xlfn.XLOOKUP(A321,'CONSOLIDADO PEAJES'!H:H,'CONSOLIDADO PEAJES'!AC:AC)</f>
        <v>1</v>
      </c>
    </row>
    <row r="322" spans="1:17" x14ac:dyDescent="0.3">
      <c r="A322" t="s">
        <v>136</v>
      </c>
      <c r="B322">
        <v>1411977</v>
      </c>
      <c r="C322" t="s">
        <v>137</v>
      </c>
      <c r="D322" s="8">
        <v>1</v>
      </c>
      <c r="E322">
        <v>1048.9059999999999</v>
      </c>
      <c r="F322" s="2">
        <v>4.78</v>
      </c>
      <c r="H322" s="2">
        <v>149397.21</v>
      </c>
      <c r="I322" s="16">
        <f t="shared" si="16"/>
        <v>142.43145715631334</v>
      </c>
      <c r="J322" s="2">
        <v>508.01</v>
      </c>
      <c r="K322">
        <v>2.5710000000000002</v>
      </c>
      <c r="L322" s="15">
        <f t="shared" ref="L322:L385" si="18">(J322*O322)-J322</f>
        <v>0</v>
      </c>
      <c r="M322" s="15">
        <f t="shared" ref="M322:M385" si="19">(J322*O322)</f>
        <v>508.01</v>
      </c>
      <c r="N322" s="18">
        <v>197.59164336750544</v>
      </c>
      <c r="O322" s="8">
        <v>1</v>
      </c>
      <c r="Q322">
        <f>_xlfn.XLOOKUP(A322,'CONSOLIDADO PEAJES'!H:H,'CONSOLIDADO PEAJES'!AC:AC)</f>
        <v>0</v>
      </c>
    </row>
    <row r="323" spans="1:17" x14ac:dyDescent="0.3">
      <c r="A323" t="s">
        <v>1488</v>
      </c>
      <c r="B323">
        <v>1415110</v>
      </c>
      <c r="C323" t="s">
        <v>1489</v>
      </c>
      <c r="D323" s="8">
        <v>1</v>
      </c>
      <c r="E323">
        <v>1162.1790000000001</v>
      </c>
      <c r="F323" s="2">
        <v>0.67</v>
      </c>
      <c r="H323" s="2">
        <v>165530.85</v>
      </c>
      <c r="I323" s="16">
        <f t="shared" ref="I323:I386" si="20">(G323+H323)/E323</f>
        <v>142.43145849305486</v>
      </c>
      <c r="J323" s="2">
        <v>6278.48</v>
      </c>
      <c r="K323">
        <v>31.774999999999999</v>
      </c>
      <c r="L323" s="15">
        <f t="shared" si="18"/>
        <v>0</v>
      </c>
      <c r="M323" s="15">
        <f t="shared" si="19"/>
        <v>6278.48</v>
      </c>
      <c r="N323" s="18">
        <v>197.59164336750544</v>
      </c>
      <c r="O323" s="8">
        <v>1</v>
      </c>
      <c r="Q323">
        <f>_xlfn.XLOOKUP(A323,'CONSOLIDADO PEAJES'!H:H,'CONSOLIDADO PEAJES'!AC:AC)</f>
        <v>0</v>
      </c>
    </row>
    <row r="324" spans="1:17" x14ac:dyDescent="0.3">
      <c r="A324" t="s">
        <v>1512</v>
      </c>
      <c r="B324">
        <v>1415112</v>
      </c>
      <c r="C324" t="s">
        <v>1513</v>
      </c>
      <c r="D324" s="8">
        <v>1</v>
      </c>
      <c r="E324">
        <v>1596.9010000000001</v>
      </c>
      <c r="F324" s="2">
        <v>1.41</v>
      </c>
      <c r="H324" s="2">
        <v>227448.94</v>
      </c>
      <c r="I324" s="16">
        <f t="shared" si="20"/>
        <v>142.43145943298927</v>
      </c>
      <c r="J324" s="2">
        <v>37409.65</v>
      </c>
      <c r="K324">
        <v>189.328</v>
      </c>
      <c r="L324" s="15">
        <f t="shared" si="18"/>
        <v>0</v>
      </c>
      <c r="M324" s="15">
        <f t="shared" si="19"/>
        <v>37409.65</v>
      </c>
      <c r="N324" s="18">
        <v>197.59164336750544</v>
      </c>
      <c r="O324" s="8">
        <v>1</v>
      </c>
      <c r="Q324">
        <f>_xlfn.XLOOKUP(A324,'CONSOLIDADO PEAJES'!H:H,'CONSOLIDADO PEAJES'!AC:AC)</f>
        <v>0</v>
      </c>
    </row>
    <row r="325" spans="1:17" x14ac:dyDescent="0.3">
      <c r="A325" t="s">
        <v>304</v>
      </c>
      <c r="B325">
        <v>1408311</v>
      </c>
      <c r="C325" t="s">
        <v>305</v>
      </c>
      <c r="D325" s="8">
        <v>1</v>
      </c>
      <c r="E325">
        <v>2421.2550000000001</v>
      </c>
      <c r="F325" s="2">
        <v>-2.57</v>
      </c>
      <c r="H325" s="2">
        <v>344862.88</v>
      </c>
      <c r="I325" s="16">
        <f t="shared" si="20"/>
        <v>142.43145806616815</v>
      </c>
      <c r="J325" s="2">
        <v>3569.69</v>
      </c>
      <c r="K325">
        <v>18.065999999999999</v>
      </c>
      <c r="L325" s="15">
        <f t="shared" si="18"/>
        <v>0</v>
      </c>
      <c r="M325" s="15">
        <f t="shared" si="19"/>
        <v>3569.69</v>
      </c>
      <c r="N325" s="18">
        <v>197.59164336750544</v>
      </c>
      <c r="O325" s="8">
        <v>1</v>
      </c>
      <c r="Q325">
        <f>_xlfn.XLOOKUP(A325,'CONSOLIDADO PEAJES'!H:H,'CONSOLIDADO PEAJES'!AC:AC)</f>
        <v>0</v>
      </c>
    </row>
    <row r="326" spans="1:17" x14ac:dyDescent="0.3">
      <c r="A326" t="s">
        <v>311</v>
      </c>
      <c r="B326">
        <v>1415120</v>
      </c>
      <c r="C326" t="s">
        <v>312</v>
      </c>
      <c r="D326" s="8">
        <v>1</v>
      </c>
      <c r="E326">
        <v>2715.489</v>
      </c>
      <c r="F326" s="2">
        <v>3.41</v>
      </c>
      <c r="H326" s="2">
        <v>386771.06</v>
      </c>
      <c r="I326" s="16">
        <f t="shared" si="20"/>
        <v>142.4314589379666</v>
      </c>
      <c r="J326" s="2">
        <v>12575.53</v>
      </c>
      <c r="K326">
        <v>63.643999999999998</v>
      </c>
      <c r="L326" s="15">
        <f t="shared" si="18"/>
        <v>0</v>
      </c>
      <c r="M326" s="15">
        <f t="shared" si="19"/>
        <v>12575.53</v>
      </c>
      <c r="N326" s="18">
        <v>197.59164336750544</v>
      </c>
      <c r="O326" s="8">
        <v>1</v>
      </c>
      <c r="Q326">
        <f>_xlfn.XLOOKUP(A326,'CONSOLIDADO PEAJES'!H:H,'CONSOLIDADO PEAJES'!AC:AC)</f>
        <v>0</v>
      </c>
    </row>
    <row r="327" spans="1:17" x14ac:dyDescent="0.3">
      <c r="A327" t="s">
        <v>1506</v>
      </c>
      <c r="B327">
        <v>1412076</v>
      </c>
      <c r="C327" t="s">
        <v>1507</v>
      </c>
      <c r="D327" s="8">
        <v>1</v>
      </c>
      <c r="E327">
        <v>3474.4690000000001</v>
      </c>
      <c r="F327" s="2">
        <v>-3.69</v>
      </c>
      <c r="H327" s="2">
        <v>494873.69</v>
      </c>
      <c r="I327" s="16">
        <f t="shared" si="20"/>
        <v>142.43145931076086</v>
      </c>
      <c r="L327" s="15">
        <f t="shared" si="18"/>
        <v>0</v>
      </c>
      <c r="M327" s="15">
        <f t="shared" si="19"/>
        <v>0</v>
      </c>
      <c r="N327" s="18">
        <v>197.59164336750544</v>
      </c>
      <c r="O327" s="8">
        <v>1</v>
      </c>
      <c r="Q327">
        <f>_xlfn.XLOOKUP(A327,'CONSOLIDADO PEAJES'!H:H,'CONSOLIDADO PEAJES'!AC:AC)</f>
        <v>0</v>
      </c>
    </row>
    <row r="328" spans="1:17" x14ac:dyDescent="0.3">
      <c r="A328" t="s">
        <v>244</v>
      </c>
      <c r="B328">
        <v>1411964</v>
      </c>
      <c r="C328" t="s">
        <v>245</v>
      </c>
      <c r="D328" s="8">
        <v>1</v>
      </c>
      <c r="E328">
        <v>2135.5500000000002</v>
      </c>
      <c r="F328" s="2">
        <v>-2.74</v>
      </c>
      <c r="H328" s="2">
        <v>230630.32</v>
      </c>
      <c r="I328" s="16">
        <f t="shared" si="20"/>
        <v>107.99574816791926</v>
      </c>
      <c r="J328" s="2">
        <v>6022.42</v>
      </c>
      <c r="K328">
        <v>36.911999999999999</v>
      </c>
      <c r="L328" s="15">
        <f t="shared" si="18"/>
        <v>0</v>
      </c>
      <c r="M328" s="15">
        <f t="shared" si="19"/>
        <v>6022.42</v>
      </c>
      <c r="N328" s="18">
        <v>163.15598827470689</v>
      </c>
      <c r="O328" s="8">
        <v>1</v>
      </c>
      <c r="Q328">
        <f>_xlfn.XLOOKUP(A328,'CONSOLIDADO PEAJES'!H:H,'CONSOLIDADO PEAJES'!AC:AC)</f>
        <v>1</v>
      </c>
    </row>
    <row r="329" spans="1:17" x14ac:dyDescent="0.3">
      <c r="A329" t="s">
        <v>611</v>
      </c>
      <c r="B329">
        <v>1415118</v>
      </c>
      <c r="C329" t="s">
        <v>612</v>
      </c>
      <c r="D329" s="8">
        <v>1</v>
      </c>
      <c r="E329">
        <v>3066.9059999999999</v>
      </c>
      <c r="F329" s="2">
        <v>-3.9</v>
      </c>
      <c r="H329" s="2">
        <v>436823.9</v>
      </c>
      <c r="I329" s="16">
        <f t="shared" si="20"/>
        <v>142.4314602403856</v>
      </c>
      <c r="L329" s="15">
        <f t="shared" si="18"/>
        <v>0</v>
      </c>
      <c r="M329" s="15">
        <f t="shared" si="19"/>
        <v>0</v>
      </c>
      <c r="N329" s="18">
        <v>197.59164336750544</v>
      </c>
      <c r="O329" s="8">
        <v>1</v>
      </c>
      <c r="Q329">
        <f>_xlfn.XLOOKUP(A329,'CONSOLIDADO PEAJES'!H:H,'CONSOLIDADO PEAJES'!AC:AC)</f>
        <v>0</v>
      </c>
    </row>
    <row r="330" spans="1:17" x14ac:dyDescent="0.3">
      <c r="A330" t="s">
        <v>448</v>
      </c>
      <c r="B330">
        <v>1412139</v>
      </c>
      <c r="C330" t="s">
        <v>449</v>
      </c>
      <c r="D330" s="8">
        <v>1</v>
      </c>
      <c r="E330">
        <v>5235.6019999999999</v>
      </c>
      <c r="F330" s="2">
        <v>-0.13</v>
      </c>
      <c r="H330" s="2">
        <v>745714.44</v>
      </c>
      <c r="I330" s="16">
        <f t="shared" si="20"/>
        <v>142.43146060376628</v>
      </c>
      <c r="J330" s="2">
        <v>205.69</v>
      </c>
      <c r="K330">
        <v>1.0409999999999999</v>
      </c>
      <c r="L330" s="15">
        <f t="shared" si="18"/>
        <v>0</v>
      </c>
      <c r="M330" s="15">
        <f t="shared" si="19"/>
        <v>205.69</v>
      </c>
      <c r="N330" s="18">
        <v>197.59164336750544</v>
      </c>
      <c r="O330" s="8">
        <v>1</v>
      </c>
      <c r="Q330">
        <f>_xlfn.XLOOKUP(A330,'CONSOLIDADO PEAJES'!H:H,'CONSOLIDADO PEAJES'!AC:AC)</f>
        <v>0</v>
      </c>
    </row>
    <row r="331" spans="1:17" x14ac:dyDescent="0.3">
      <c r="A331" t="s">
        <v>1567</v>
      </c>
      <c r="B331">
        <v>1412140</v>
      </c>
      <c r="C331" t="s">
        <v>1568</v>
      </c>
      <c r="D331" s="8">
        <v>1</v>
      </c>
      <c r="E331">
        <v>2135.7739999999999</v>
      </c>
      <c r="F331" s="2">
        <v>-1.41</v>
      </c>
      <c r="H331" s="2">
        <v>304201.40999999997</v>
      </c>
      <c r="I331" s="16">
        <f t="shared" si="20"/>
        <v>142.43146044478488</v>
      </c>
      <c r="L331" s="15">
        <f t="shared" si="18"/>
        <v>0</v>
      </c>
      <c r="M331" s="15">
        <f t="shared" si="19"/>
        <v>0</v>
      </c>
      <c r="N331" s="18">
        <v>197.59164336750544</v>
      </c>
      <c r="O331" s="8">
        <v>1</v>
      </c>
      <c r="Q331">
        <f>_xlfn.XLOOKUP(A331,'CONSOLIDADO PEAJES'!H:H,'CONSOLIDADO PEAJES'!AC:AC)</f>
        <v>0</v>
      </c>
    </row>
    <row r="332" spans="1:17" x14ac:dyDescent="0.3">
      <c r="A332" t="s">
        <v>333</v>
      </c>
      <c r="B332">
        <v>1415114</v>
      </c>
      <c r="C332" t="s">
        <v>334</v>
      </c>
      <c r="D332" s="8">
        <v>1</v>
      </c>
      <c r="E332">
        <v>958.846</v>
      </c>
      <c r="F332" s="2">
        <v>0.16</v>
      </c>
      <c r="H332" s="2">
        <v>136569.84</v>
      </c>
      <c r="I332" s="16">
        <f t="shared" si="20"/>
        <v>142.43146448960522</v>
      </c>
      <c r="L332" s="15">
        <f t="shared" si="18"/>
        <v>0</v>
      </c>
      <c r="M332" s="15">
        <f t="shared" si="19"/>
        <v>0</v>
      </c>
      <c r="N332" s="18">
        <v>197.59164336750544</v>
      </c>
      <c r="O332" s="8">
        <v>1</v>
      </c>
      <c r="Q332">
        <f>_xlfn.XLOOKUP(A332,'CONSOLIDADO PEAJES'!H:H,'CONSOLIDADO PEAJES'!AC:AC)</f>
        <v>0</v>
      </c>
    </row>
    <row r="333" spans="1:17" x14ac:dyDescent="0.3">
      <c r="A333" t="s">
        <v>247</v>
      </c>
      <c r="B333">
        <v>1415117</v>
      </c>
      <c r="C333" t="s">
        <v>248</v>
      </c>
      <c r="D333" s="8">
        <v>1</v>
      </c>
      <c r="E333">
        <v>1311.511</v>
      </c>
      <c r="F333" s="2">
        <v>0.62</v>
      </c>
      <c r="H333" s="2">
        <v>186800.43</v>
      </c>
      <c r="I333" s="16">
        <f t="shared" si="20"/>
        <v>142.43146264118258</v>
      </c>
      <c r="J333" s="2">
        <v>12868.95</v>
      </c>
      <c r="K333">
        <v>65.129000000000005</v>
      </c>
      <c r="L333" s="15">
        <f t="shared" si="18"/>
        <v>0</v>
      </c>
      <c r="M333" s="15">
        <f t="shared" si="19"/>
        <v>12868.95</v>
      </c>
      <c r="N333" s="18">
        <v>197.59164336750544</v>
      </c>
      <c r="O333" s="8">
        <v>1</v>
      </c>
      <c r="Q333">
        <f>_xlfn.XLOOKUP(A333,'CONSOLIDADO PEAJES'!H:H,'CONSOLIDADO PEAJES'!AC:AC)</f>
        <v>0</v>
      </c>
    </row>
    <row r="334" spans="1:17" x14ac:dyDescent="0.3">
      <c r="A334" t="s">
        <v>862</v>
      </c>
      <c r="B334">
        <v>1408500</v>
      </c>
      <c r="C334" t="s">
        <v>863</v>
      </c>
      <c r="D334" s="8">
        <v>1</v>
      </c>
      <c r="E334">
        <v>2947.3359999999998</v>
      </c>
      <c r="F334" s="2">
        <v>3.15</v>
      </c>
      <c r="H334" s="2">
        <v>419793.37</v>
      </c>
      <c r="I334" s="16">
        <f t="shared" si="20"/>
        <v>142.43146013891868</v>
      </c>
      <c r="J334" s="2">
        <v>21883.48</v>
      </c>
      <c r="K334">
        <v>110.751</v>
      </c>
      <c r="L334" s="15">
        <f t="shared" si="18"/>
        <v>0</v>
      </c>
      <c r="M334" s="15">
        <f t="shared" si="19"/>
        <v>21883.48</v>
      </c>
      <c r="N334" s="18">
        <v>197.59164336750544</v>
      </c>
      <c r="O334" s="8">
        <v>1</v>
      </c>
      <c r="Q334">
        <f>_xlfn.XLOOKUP(A334,'CONSOLIDADO PEAJES'!H:H,'CONSOLIDADO PEAJES'!AC:AC)</f>
        <v>0</v>
      </c>
    </row>
    <row r="335" spans="1:17" x14ac:dyDescent="0.3">
      <c r="A335" t="s">
        <v>608</v>
      </c>
      <c r="B335">
        <v>1411987</v>
      </c>
      <c r="C335" t="s">
        <v>609</v>
      </c>
      <c r="D335" s="8">
        <v>1</v>
      </c>
      <c r="E335">
        <v>2701.078</v>
      </c>
      <c r="F335" s="2">
        <v>-3.25</v>
      </c>
      <c r="H335" s="2">
        <v>384718.48</v>
      </c>
      <c r="I335" s="16">
        <f t="shared" si="20"/>
        <v>142.43145884717137</v>
      </c>
      <c r="J335" s="2">
        <v>14754.77</v>
      </c>
      <c r="K335">
        <v>74.673000000000002</v>
      </c>
      <c r="L335" s="15">
        <f t="shared" si="18"/>
        <v>0</v>
      </c>
      <c r="M335" s="15">
        <f t="shared" si="19"/>
        <v>14754.77</v>
      </c>
      <c r="N335" s="18">
        <v>197.59164336750544</v>
      </c>
      <c r="O335" s="8">
        <v>1</v>
      </c>
      <c r="Q335">
        <f>_xlfn.XLOOKUP(A335,'CONSOLIDADO PEAJES'!H:H,'CONSOLIDADO PEAJES'!AC:AC)</f>
        <v>0</v>
      </c>
    </row>
    <row r="336" spans="1:17" x14ac:dyDescent="0.3">
      <c r="A336" t="s">
        <v>1422</v>
      </c>
      <c r="B336">
        <v>1415558</v>
      </c>
      <c r="C336" t="s">
        <v>1423</v>
      </c>
      <c r="D336" s="8">
        <v>1</v>
      </c>
      <c r="E336">
        <v>255.90299999999999</v>
      </c>
      <c r="F336" s="2">
        <v>1.36</v>
      </c>
      <c r="H336" s="2">
        <v>36448.639999999999</v>
      </c>
      <c r="I336" s="16">
        <f t="shared" si="20"/>
        <v>142.43146817348762</v>
      </c>
      <c r="L336" s="15">
        <f t="shared" si="18"/>
        <v>0</v>
      </c>
      <c r="M336" s="15">
        <f t="shared" si="19"/>
        <v>0</v>
      </c>
      <c r="N336" s="18">
        <v>197.59164336750544</v>
      </c>
      <c r="O336" s="8">
        <v>1</v>
      </c>
      <c r="Q336">
        <f>_xlfn.XLOOKUP(A336,'CONSOLIDADO PEAJES'!H:H,'CONSOLIDADO PEAJES'!AC:AC)</f>
        <v>0</v>
      </c>
    </row>
    <row r="337" spans="1:17" x14ac:dyDescent="0.3">
      <c r="A337" t="s">
        <v>1415</v>
      </c>
      <c r="B337">
        <v>1415559</v>
      </c>
      <c r="C337" t="s">
        <v>1416</v>
      </c>
      <c r="D337" s="8">
        <v>1</v>
      </c>
      <c r="E337">
        <v>1039.5719999999999</v>
      </c>
      <c r="F337" s="2">
        <v>2.4700000000000002</v>
      </c>
      <c r="H337" s="2">
        <v>148067.76</v>
      </c>
      <c r="I337" s="16">
        <f t="shared" si="20"/>
        <v>142.43146217866587</v>
      </c>
      <c r="J337" s="2">
        <v>789.77</v>
      </c>
      <c r="K337">
        <v>3.9969999999999999</v>
      </c>
      <c r="L337" s="15">
        <f t="shared" si="18"/>
        <v>0</v>
      </c>
      <c r="M337" s="15">
        <f t="shared" si="19"/>
        <v>789.77</v>
      </c>
      <c r="N337" s="18">
        <v>197.59164336750544</v>
      </c>
      <c r="O337" s="8">
        <v>1</v>
      </c>
      <c r="Q337">
        <f>_xlfn.XLOOKUP(A337,'CONSOLIDADO PEAJES'!H:H,'CONSOLIDADO PEAJES'!AC:AC)</f>
        <v>0</v>
      </c>
    </row>
    <row r="338" spans="1:17" x14ac:dyDescent="0.3">
      <c r="A338" t="s">
        <v>1189</v>
      </c>
      <c r="B338">
        <v>1408935</v>
      </c>
      <c r="C338" t="s">
        <v>1190</v>
      </c>
      <c r="D338" s="8">
        <v>1</v>
      </c>
      <c r="E338">
        <v>1275.2070000000001</v>
      </c>
      <c r="F338" s="2">
        <v>-0.73</v>
      </c>
      <c r="H338" s="2">
        <v>137716.94</v>
      </c>
      <c r="I338" s="16">
        <f t="shared" si="20"/>
        <v>107.99575284640062</v>
      </c>
      <c r="J338" s="2">
        <v>63.79</v>
      </c>
      <c r="K338">
        <v>0.39100000000000001</v>
      </c>
      <c r="L338" s="15">
        <f t="shared" si="18"/>
        <v>0</v>
      </c>
      <c r="M338" s="15">
        <f t="shared" si="19"/>
        <v>63.79</v>
      </c>
      <c r="N338" s="18">
        <v>163.15598827470689</v>
      </c>
      <c r="O338" s="8">
        <v>1</v>
      </c>
      <c r="Q338">
        <f>_xlfn.XLOOKUP(A338,'CONSOLIDADO PEAJES'!H:H,'CONSOLIDADO PEAJES'!AC:AC)</f>
        <v>1</v>
      </c>
    </row>
    <row r="339" spans="1:17" x14ac:dyDescent="0.3">
      <c r="A339" t="s">
        <v>121</v>
      </c>
      <c r="B339">
        <v>1411978</v>
      </c>
      <c r="C339" t="s">
        <v>122</v>
      </c>
      <c r="D339" s="8">
        <v>1</v>
      </c>
      <c r="E339">
        <v>1388.32</v>
      </c>
      <c r="F339" s="2">
        <v>-2.66</v>
      </c>
      <c r="H339" s="2">
        <v>149932.66</v>
      </c>
      <c r="I339" s="16">
        <f t="shared" si="20"/>
        <v>107.99575025930622</v>
      </c>
      <c r="L339" s="15">
        <f t="shared" si="18"/>
        <v>0</v>
      </c>
      <c r="M339" s="15">
        <f t="shared" si="19"/>
        <v>0</v>
      </c>
      <c r="N339" s="18">
        <v>163.15598827470689</v>
      </c>
      <c r="O339" s="8">
        <v>1</v>
      </c>
      <c r="Q339">
        <f>_xlfn.XLOOKUP(A339,'CONSOLIDADO PEAJES'!H:H,'CONSOLIDADO PEAJES'!AC:AC)</f>
        <v>1</v>
      </c>
    </row>
    <row r="340" spans="1:17" x14ac:dyDescent="0.3">
      <c r="A340" t="s">
        <v>179</v>
      </c>
      <c r="B340">
        <v>1408938</v>
      </c>
      <c r="C340" t="s">
        <v>180</v>
      </c>
      <c r="D340" s="8">
        <v>1</v>
      </c>
      <c r="E340">
        <v>1543.8579999999999</v>
      </c>
      <c r="F340" s="2">
        <v>-3.95</v>
      </c>
      <c r="H340" s="2">
        <v>219893.95</v>
      </c>
      <c r="I340" s="16">
        <f t="shared" si="20"/>
        <v>142.43146066542391</v>
      </c>
      <c r="L340" s="15">
        <f t="shared" si="18"/>
        <v>0</v>
      </c>
      <c r="M340" s="15">
        <f t="shared" si="19"/>
        <v>0</v>
      </c>
      <c r="N340" s="18">
        <v>197.59164336750544</v>
      </c>
      <c r="O340" s="8">
        <v>1</v>
      </c>
      <c r="Q340">
        <f>_xlfn.XLOOKUP(A340,'CONSOLIDADO PEAJES'!H:H,'CONSOLIDADO PEAJES'!AC:AC)</f>
        <v>0</v>
      </c>
    </row>
    <row r="341" spans="1:17" x14ac:dyDescent="0.3">
      <c r="A341" t="s">
        <v>1021</v>
      </c>
      <c r="B341">
        <v>1408939</v>
      </c>
      <c r="C341" t="s">
        <v>1022</v>
      </c>
      <c r="D341" s="8">
        <v>1</v>
      </c>
      <c r="E341">
        <v>2153.2930000000001</v>
      </c>
      <c r="F341" s="2">
        <v>-2.98</v>
      </c>
      <c r="H341" s="2">
        <v>306696.67</v>
      </c>
      <c r="I341" s="16">
        <f t="shared" si="20"/>
        <v>142.4314619515319</v>
      </c>
      <c r="J341" s="2">
        <v>10066.31</v>
      </c>
      <c r="K341">
        <v>50.945</v>
      </c>
      <c r="L341" s="15">
        <f t="shared" si="18"/>
        <v>0</v>
      </c>
      <c r="M341" s="15">
        <f t="shared" si="19"/>
        <v>10066.31</v>
      </c>
      <c r="N341" s="18">
        <v>197.59164336750544</v>
      </c>
      <c r="O341" s="8">
        <v>1</v>
      </c>
      <c r="Q341">
        <f>_xlfn.XLOOKUP(A341,'CONSOLIDADO PEAJES'!H:H,'CONSOLIDADO PEAJES'!AC:AC)</f>
        <v>0</v>
      </c>
    </row>
    <row r="342" spans="1:17" x14ac:dyDescent="0.3">
      <c r="A342" t="s">
        <v>100</v>
      </c>
      <c r="B342">
        <v>1408941</v>
      </c>
      <c r="C342" t="s">
        <v>101</v>
      </c>
      <c r="D342" s="8">
        <v>1</v>
      </c>
      <c r="E342">
        <v>102.42400000000001</v>
      </c>
      <c r="F342" s="2">
        <v>1.6</v>
      </c>
      <c r="H342" s="2">
        <v>14588.4</v>
      </c>
      <c r="I342" s="16">
        <f t="shared" si="20"/>
        <v>142.43146137623992</v>
      </c>
      <c r="L342" s="15">
        <f t="shared" si="18"/>
        <v>0</v>
      </c>
      <c r="M342" s="15">
        <f t="shared" si="19"/>
        <v>0</v>
      </c>
      <c r="N342" s="18">
        <v>197.59164336750544</v>
      </c>
      <c r="O342" s="8">
        <v>1</v>
      </c>
      <c r="Q342">
        <f>_xlfn.XLOOKUP(A342,'CONSOLIDADO PEAJES'!H:H,'CONSOLIDADO PEAJES'!AC:AC)</f>
        <v>0</v>
      </c>
    </row>
    <row r="343" spans="1:17" x14ac:dyDescent="0.3">
      <c r="A343" t="s">
        <v>433</v>
      </c>
      <c r="B343">
        <v>1412143</v>
      </c>
      <c r="C343" t="s">
        <v>434</v>
      </c>
      <c r="D343" s="8">
        <v>1</v>
      </c>
      <c r="E343">
        <v>15195.347</v>
      </c>
      <c r="F343" s="2">
        <v>4.54</v>
      </c>
      <c r="H343" s="2">
        <v>2164295.46</v>
      </c>
      <c r="I343" s="16">
        <f t="shared" si="20"/>
        <v>142.43146010420165</v>
      </c>
      <c r="L343" s="15">
        <f t="shared" si="18"/>
        <v>0</v>
      </c>
      <c r="M343" s="15">
        <f t="shared" si="19"/>
        <v>0</v>
      </c>
      <c r="N343" s="18">
        <v>197.59164336750544</v>
      </c>
      <c r="O343" s="8">
        <v>1</v>
      </c>
      <c r="Q343">
        <f>_xlfn.XLOOKUP(A343,'CONSOLIDADO PEAJES'!H:H,'CONSOLIDADO PEAJES'!AC:AC)</f>
        <v>0</v>
      </c>
    </row>
    <row r="344" spans="1:17" x14ac:dyDescent="0.3">
      <c r="A344" t="s">
        <v>820</v>
      </c>
      <c r="B344">
        <v>1408942</v>
      </c>
      <c r="C344" t="s">
        <v>821</v>
      </c>
      <c r="D344" s="8">
        <v>1</v>
      </c>
      <c r="E344">
        <v>2536.433</v>
      </c>
      <c r="F344" s="2">
        <v>3.52</v>
      </c>
      <c r="H344" s="2">
        <v>273923.98</v>
      </c>
      <c r="I344" s="16">
        <f t="shared" si="20"/>
        <v>107.99574836000004</v>
      </c>
      <c r="J344" s="2">
        <v>8582.5</v>
      </c>
      <c r="K344">
        <v>52.603000000000002</v>
      </c>
      <c r="L344" s="15">
        <f t="shared" si="18"/>
        <v>0</v>
      </c>
      <c r="M344" s="15">
        <f t="shared" si="19"/>
        <v>8582.5</v>
      </c>
      <c r="N344" s="18">
        <v>163.15598827470689</v>
      </c>
      <c r="O344" s="8">
        <v>1</v>
      </c>
      <c r="Q344">
        <f>_xlfn.XLOOKUP(A344,'CONSOLIDADO PEAJES'!H:H,'CONSOLIDADO PEAJES'!AC:AC)</f>
        <v>1</v>
      </c>
    </row>
    <row r="345" spans="1:17" x14ac:dyDescent="0.3">
      <c r="A345" t="s">
        <v>1039</v>
      </c>
      <c r="B345">
        <v>1411974</v>
      </c>
      <c r="C345" t="s">
        <v>1040</v>
      </c>
      <c r="D345" s="8">
        <v>1</v>
      </c>
      <c r="E345">
        <v>2321.5949999999998</v>
      </c>
      <c r="F345" s="2">
        <v>0.78</v>
      </c>
      <c r="H345" s="2">
        <v>250722.39</v>
      </c>
      <c r="I345" s="16">
        <f t="shared" si="20"/>
        <v>107.99574861248411</v>
      </c>
      <c r="J345" s="2">
        <v>3206.83</v>
      </c>
      <c r="K345">
        <v>19.655000000000001</v>
      </c>
      <c r="L345" s="15">
        <f t="shared" si="18"/>
        <v>0</v>
      </c>
      <c r="M345" s="15">
        <f t="shared" si="19"/>
        <v>3206.83</v>
      </c>
      <c r="N345" s="18">
        <v>163.15598827470689</v>
      </c>
      <c r="O345" s="8">
        <v>1</v>
      </c>
      <c r="Q345">
        <f>_xlfn.XLOOKUP(A345,'CONSOLIDADO PEAJES'!H:H,'CONSOLIDADO PEAJES'!AC:AC)</f>
        <v>1</v>
      </c>
    </row>
    <row r="346" spans="1:17" x14ac:dyDescent="0.3">
      <c r="A346" t="s">
        <v>1268</v>
      </c>
      <c r="B346">
        <v>1412680</v>
      </c>
      <c r="C346" t="s">
        <v>1269</v>
      </c>
      <c r="D346" s="8">
        <v>1</v>
      </c>
      <c r="E346">
        <v>3311.5230000000001</v>
      </c>
      <c r="F346" s="2">
        <v>1.67</v>
      </c>
      <c r="H346" s="2">
        <v>471665.06</v>
      </c>
      <c r="I346" s="16">
        <f t="shared" si="20"/>
        <v>142.43146129439535</v>
      </c>
      <c r="J346" s="2">
        <v>18373.27</v>
      </c>
      <c r="K346">
        <v>92.986000000000004</v>
      </c>
      <c r="L346" s="15">
        <f t="shared" si="18"/>
        <v>0</v>
      </c>
      <c r="M346" s="15">
        <f t="shared" si="19"/>
        <v>18373.27</v>
      </c>
      <c r="N346" s="18">
        <v>197.59164336750544</v>
      </c>
      <c r="O346" s="8">
        <v>1</v>
      </c>
      <c r="Q346">
        <f>_xlfn.XLOOKUP(A346,'CONSOLIDADO PEAJES'!H:H,'CONSOLIDADO PEAJES'!AC:AC)</f>
        <v>0</v>
      </c>
    </row>
    <row r="347" spans="1:17" x14ac:dyDescent="0.3">
      <c r="A347" t="s">
        <v>1096</v>
      </c>
      <c r="B347">
        <v>1415100</v>
      </c>
      <c r="C347" t="s">
        <v>1097</v>
      </c>
      <c r="D347" s="8">
        <v>1</v>
      </c>
      <c r="E347">
        <v>3412.1509999999998</v>
      </c>
      <c r="F347" s="2">
        <v>2.35</v>
      </c>
      <c r="H347" s="2">
        <v>485997.65</v>
      </c>
      <c r="I347" s="16">
        <f t="shared" si="20"/>
        <v>142.43146038964866</v>
      </c>
      <c r="L347" s="15">
        <f t="shared" si="18"/>
        <v>0</v>
      </c>
      <c r="M347" s="15">
        <f t="shared" si="19"/>
        <v>0</v>
      </c>
      <c r="N347" s="18">
        <v>197.59164336750544</v>
      </c>
      <c r="O347" s="8">
        <v>1</v>
      </c>
      <c r="Q347">
        <f>_xlfn.XLOOKUP(A347,'CONSOLIDADO PEAJES'!H:H,'CONSOLIDADO PEAJES'!AC:AC)</f>
        <v>0</v>
      </c>
    </row>
    <row r="348" spans="1:17" x14ac:dyDescent="0.3">
      <c r="A348" t="s">
        <v>1033</v>
      </c>
      <c r="B348">
        <v>1408944</v>
      </c>
      <c r="C348" t="s">
        <v>1034</v>
      </c>
      <c r="D348" s="8">
        <v>1</v>
      </c>
      <c r="E348">
        <v>2207.2310000000002</v>
      </c>
      <c r="F348" s="2">
        <v>1.64</v>
      </c>
      <c r="H348" s="2">
        <v>314379.13</v>
      </c>
      <c r="I348" s="16">
        <f t="shared" si="20"/>
        <v>142.4314582388522</v>
      </c>
      <c r="J348" s="2">
        <v>163289.23000000001</v>
      </c>
      <c r="K348">
        <v>826.39700000000005</v>
      </c>
      <c r="L348" s="15">
        <f t="shared" si="18"/>
        <v>0</v>
      </c>
      <c r="M348" s="15">
        <f t="shared" si="19"/>
        <v>163289.23000000001</v>
      </c>
      <c r="N348" s="18">
        <v>197.59164336750544</v>
      </c>
      <c r="O348" s="8">
        <v>1</v>
      </c>
      <c r="Q348">
        <f>_xlfn.XLOOKUP(A348,'CONSOLIDADO PEAJES'!H:H,'CONSOLIDADO PEAJES'!AC:AC)</f>
        <v>0</v>
      </c>
    </row>
    <row r="349" spans="1:17" x14ac:dyDescent="0.3">
      <c r="A349" t="s">
        <v>814</v>
      </c>
      <c r="B349">
        <v>1408945</v>
      </c>
      <c r="C349" t="s">
        <v>815</v>
      </c>
      <c r="D349" s="8">
        <v>1</v>
      </c>
      <c r="E349">
        <v>781.48</v>
      </c>
      <c r="F349" s="2">
        <v>2.66</v>
      </c>
      <c r="H349" s="2">
        <v>111307.34</v>
      </c>
      <c r="I349" s="16">
        <f t="shared" si="20"/>
        <v>142.43146337718176</v>
      </c>
      <c r="L349" s="15">
        <f t="shared" si="18"/>
        <v>0</v>
      </c>
      <c r="M349" s="15">
        <f t="shared" si="19"/>
        <v>0</v>
      </c>
      <c r="N349" s="18">
        <v>197.59164336750544</v>
      </c>
      <c r="O349" s="8">
        <v>1</v>
      </c>
      <c r="Q349">
        <f>_xlfn.XLOOKUP(A349,'CONSOLIDADO PEAJES'!H:H,'CONSOLIDADO PEAJES'!AC:AC)</f>
        <v>0</v>
      </c>
    </row>
    <row r="350" spans="1:17" x14ac:dyDescent="0.3">
      <c r="A350" t="s">
        <v>235</v>
      </c>
      <c r="B350">
        <v>1408946</v>
      </c>
      <c r="C350" t="s">
        <v>236</v>
      </c>
      <c r="D350" s="8">
        <v>1</v>
      </c>
      <c r="E350">
        <v>3712.3220000000001</v>
      </c>
      <c r="F350" s="2">
        <v>2.46</v>
      </c>
      <c r="H350" s="2">
        <v>400915</v>
      </c>
      <c r="I350" s="16">
        <f t="shared" si="20"/>
        <v>107.9957503686372</v>
      </c>
      <c r="J350" s="2">
        <v>13212.54</v>
      </c>
      <c r="K350">
        <v>80.980999999999995</v>
      </c>
      <c r="L350" s="15">
        <f t="shared" si="18"/>
        <v>0</v>
      </c>
      <c r="M350" s="15">
        <f t="shared" si="19"/>
        <v>13212.54</v>
      </c>
      <c r="N350" s="18">
        <v>163.15598827470689</v>
      </c>
      <c r="O350" s="8">
        <v>1</v>
      </c>
      <c r="Q350">
        <f>_xlfn.XLOOKUP(A350,'CONSOLIDADO PEAJES'!H:H,'CONSOLIDADO PEAJES'!AC:AC)</f>
        <v>1</v>
      </c>
    </row>
    <row r="351" spans="1:17" x14ac:dyDescent="0.3">
      <c r="A351" t="s">
        <v>238</v>
      </c>
      <c r="B351">
        <v>1408948</v>
      </c>
      <c r="C351" t="s">
        <v>239</v>
      </c>
      <c r="D351" s="8">
        <v>1</v>
      </c>
      <c r="E351">
        <v>2204.0709999999999</v>
      </c>
      <c r="F351" s="2">
        <v>1.03</v>
      </c>
      <c r="H351" s="2">
        <v>238030.3</v>
      </c>
      <c r="I351" s="16">
        <f t="shared" si="20"/>
        <v>107.99574968319986</v>
      </c>
      <c r="J351" s="2">
        <v>15948.67</v>
      </c>
      <c r="K351">
        <v>97.751000000000005</v>
      </c>
      <c r="L351" s="15">
        <f t="shared" si="18"/>
        <v>0</v>
      </c>
      <c r="M351" s="15">
        <f t="shared" si="19"/>
        <v>15948.67</v>
      </c>
      <c r="N351" s="18">
        <v>163.15598827470689</v>
      </c>
      <c r="O351" s="8">
        <v>1</v>
      </c>
      <c r="Q351">
        <f>_xlfn.XLOOKUP(A351,'CONSOLIDADO PEAJES'!H:H,'CONSOLIDADO PEAJES'!AC:AC)</f>
        <v>1</v>
      </c>
    </row>
    <row r="352" spans="1:17" x14ac:dyDescent="0.3">
      <c r="A352" t="s">
        <v>1440</v>
      </c>
      <c r="B352">
        <v>1412130</v>
      </c>
      <c r="C352" t="s">
        <v>1441</v>
      </c>
      <c r="D352" s="8">
        <v>1</v>
      </c>
      <c r="E352">
        <v>1592.3879999999999</v>
      </c>
      <c r="F352" s="2">
        <v>-0.94</v>
      </c>
      <c r="H352" s="2">
        <v>226806.15</v>
      </c>
      <c r="I352" s="16">
        <f t="shared" si="20"/>
        <v>142.43146142774248</v>
      </c>
      <c r="J352" s="2">
        <v>13554.79</v>
      </c>
      <c r="K352">
        <v>68.599999999999994</v>
      </c>
      <c r="L352" s="15">
        <f t="shared" si="18"/>
        <v>0</v>
      </c>
      <c r="M352" s="15">
        <f t="shared" si="19"/>
        <v>13554.79</v>
      </c>
      <c r="N352" s="18">
        <v>197.59164336750544</v>
      </c>
      <c r="O352" s="8">
        <v>1</v>
      </c>
      <c r="Q352">
        <f>_xlfn.XLOOKUP(A352,'CONSOLIDADO PEAJES'!H:H,'CONSOLIDADO PEAJES'!AC:AC)</f>
        <v>0</v>
      </c>
    </row>
    <row r="353" spans="1:17" x14ac:dyDescent="0.3">
      <c r="A353" t="s">
        <v>427</v>
      </c>
      <c r="B353">
        <v>1412131</v>
      </c>
      <c r="C353" t="s">
        <v>428</v>
      </c>
      <c r="D353" s="8">
        <v>1</v>
      </c>
      <c r="E353">
        <v>1140.999</v>
      </c>
      <c r="F353" s="2">
        <v>2.2000000000000002</v>
      </c>
      <c r="H353" s="2">
        <v>162514.15</v>
      </c>
      <c r="I353" s="16">
        <f t="shared" si="20"/>
        <v>142.43145699514196</v>
      </c>
      <c r="J353" s="2">
        <v>16733.650000000001</v>
      </c>
      <c r="K353">
        <v>84.688000000000002</v>
      </c>
      <c r="L353" s="15">
        <f t="shared" si="18"/>
        <v>0</v>
      </c>
      <c r="M353" s="15">
        <f t="shared" si="19"/>
        <v>16733.650000000001</v>
      </c>
      <c r="N353" s="18">
        <v>197.59164336750544</v>
      </c>
      <c r="O353" s="8">
        <v>1</v>
      </c>
      <c r="Q353">
        <f>_xlfn.XLOOKUP(A353,'CONSOLIDADO PEAJES'!H:H,'CONSOLIDADO PEAJES'!AC:AC)</f>
        <v>0</v>
      </c>
    </row>
    <row r="354" spans="1:17" x14ac:dyDescent="0.3">
      <c r="A354" t="s">
        <v>307</v>
      </c>
      <c r="B354">
        <v>1408949</v>
      </c>
      <c r="C354" t="s">
        <v>308</v>
      </c>
      <c r="D354" s="8">
        <v>1</v>
      </c>
      <c r="E354">
        <v>52.374000000000002</v>
      </c>
      <c r="F354" s="2">
        <v>3.99</v>
      </c>
      <c r="H354" s="2">
        <v>7459.71</v>
      </c>
      <c r="I354" s="16">
        <f t="shared" si="20"/>
        <v>142.43155000572801</v>
      </c>
      <c r="J354" s="2">
        <v>336.3</v>
      </c>
      <c r="K354">
        <v>1.702</v>
      </c>
      <c r="L354" s="15">
        <f t="shared" si="18"/>
        <v>0</v>
      </c>
      <c r="M354" s="15">
        <f t="shared" si="19"/>
        <v>336.3</v>
      </c>
      <c r="N354" s="18">
        <v>197.59164336750544</v>
      </c>
      <c r="O354" s="8">
        <v>1</v>
      </c>
      <c r="Q354">
        <f>_xlfn.XLOOKUP(A354,'CONSOLIDADO PEAJES'!H:H,'CONSOLIDADO PEAJES'!AC:AC)</f>
        <v>0</v>
      </c>
    </row>
    <row r="355" spans="1:17" x14ac:dyDescent="0.3">
      <c r="A355" t="s">
        <v>436</v>
      </c>
      <c r="B355">
        <v>1412132</v>
      </c>
      <c r="C355" t="s">
        <v>437</v>
      </c>
      <c r="D355" s="8">
        <v>1</v>
      </c>
      <c r="E355">
        <v>816.54899999999998</v>
      </c>
      <c r="F355" s="2">
        <v>-1.92</v>
      </c>
      <c r="H355" s="2">
        <v>116302.27</v>
      </c>
      <c r="I355" s="16">
        <f t="shared" si="20"/>
        <v>142.43146461510577</v>
      </c>
      <c r="J355" s="2">
        <v>3179.65</v>
      </c>
      <c r="K355">
        <v>16.091999999999999</v>
      </c>
      <c r="L355" s="15">
        <f t="shared" si="18"/>
        <v>0</v>
      </c>
      <c r="M355" s="15">
        <f t="shared" si="19"/>
        <v>3179.65</v>
      </c>
      <c r="N355" s="18">
        <v>197.59164336750544</v>
      </c>
      <c r="O355" s="8">
        <v>1</v>
      </c>
      <c r="Q355">
        <f>_xlfn.XLOOKUP(A355,'CONSOLIDADO PEAJES'!H:H,'CONSOLIDADO PEAJES'!AC:AC)</f>
        <v>0</v>
      </c>
    </row>
    <row r="356" spans="1:17" x14ac:dyDescent="0.3">
      <c r="A356" t="s">
        <v>916</v>
      </c>
      <c r="B356">
        <v>1415509</v>
      </c>
      <c r="C356" t="s">
        <v>917</v>
      </c>
      <c r="D356" s="8">
        <v>1</v>
      </c>
      <c r="E356">
        <v>572.83000000000004</v>
      </c>
      <c r="F356" s="2">
        <v>-1.94</v>
      </c>
      <c r="H356" s="2">
        <v>61863.21</v>
      </c>
      <c r="I356" s="16">
        <f t="shared" si="20"/>
        <v>107.99575790374107</v>
      </c>
      <c r="J356" s="2">
        <v>1228.73</v>
      </c>
      <c r="K356">
        <v>7.5309999999999997</v>
      </c>
      <c r="L356" s="15">
        <f t="shared" si="18"/>
        <v>0</v>
      </c>
      <c r="M356" s="15">
        <f t="shared" si="19"/>
        <v>1228.73</v>
      </c>
      <c r="N356" s="18">
        <v>163.15598827470689</v>
      </c>
      <c r="O356" s="8">
        <v>1</v>
      </c>
      <c r="Q356">
        <f>_xlfn.XLOOKUP(A356,'CONSOLIDADO PEAJES'!H:H,'CONSOLIDADO PEAJES'!AC:AC)</f>
        <v>1</v>
      </c>
    </row>
    <row r="357" spans="1:17" x14ac:dyDescent="0.3">
      <c r="A357" t="s">
        <v>1443</v>
      </c>
      <c r="B357">
        <v>1412144</v>
      </c>
      <c r="C357" t="s">
        <v>1444</v>
      </c>
      <c r="D357" s="8">
        <v>1</v>
      </c>
      <c r="E357">
        <v>1457.1559999999999</v>
      </c>
      <c r="F357" s="2">
        <v>-4.8600000000000003</v>
      </c>
      <c r="H357" s="2">
        <v>207544.86</v>
      </c>
      <c r="I357" s="16">
        <f t="shared" si="20"/>
        <v>142.4314623828883</v>
      </c>
      <c r="L357" s="15">
        <f t="shared" si="18"/>
        <v>0</v>
      </c>
      <c r="M357" s="15">
        <f t="shared" si="19"/>
        <v>0</v>
      </c>
      <c r="N357" s="18">
        <v>197.59164336750544</v>
      </c>
      <c r="O357" s="8">
        <v>1</v>
      </c>
      <c r="Q357">
        <f>_xlfn.XLOOKUP(A357,'CONSOLIDADO PEAJES'!H:H,'CONSOLIDADO PEAJES'!AC:AC)</f>
        <v>0</v>
      </c>
    </row>
    <row r="358" spans="1:17" x14ac:dyDescent="0.3">
      <c r="A358" t="s">
        <v>265</v>
      </c>
      <c r="B358">
        <v>1412841</v>
      </c>
      <c r="C358" t="s">
        <v>266</v>
      </c>
      <c r="D358" s="8">
        <v>1</v>
      </c>
      <c r="E358">
        <v>3131.4749999999999</v>
      </c>
      <c r="F358" s="2">
        <v>4.95</v>
      </c>
      <c r="H358" s="2">
        <v>338185.99</v>
      </c>
      <c r="I358" s="16">
        <f t="shared" si="20"/>
        <v>107.99574960681468</v>
      </c>
      <c r="J358" s="2">
        <v>88439.06</v>
      </c>
      <c r="K358">
        <v>542.05200000000002</v>
      </c>
      <c r="L358" s="15">
        <f t="shared" si="18"/>
        <v>0</v>
      </c>
      <c r="M358" s="15">
        <f t="shared" si="19"/>
        <v>88439.06</v>
      </c>
      <c r="N358" s="18">
        <v>163.15598827470689</v>
      </c>
      <c r="O358" s="8">
        <v>1</v>
      </c>
      <c r="Q358">
        <f>_xlfn.XLOOKUP(A358,'CONSOLIDADO PEAJES'!H:H,'CONSOLIDADO PEAJES'!AC:AC)</f>
        <v>1</v>
      </c>
    </row>
    <row r="359" spans="1:17" x14ac:dyDescent="0.3">
      <c r="A359" t="s">
        <v>445</v>
      </c>
      <c r="B359">
        <v>1415525</v>
      </c>
      <c r="C359" t="s">
        <v>446</v>
      </c>
      <c r="D359" s="8">
        <v>1</v>
      </c>
      <c r="E359">
        <v>1219.809</v>
      </c>
      <c r="F359" s="2">
        <v>4.63</v>
      </c>
      <c r="H359" s="2">
        <v>131734.19</v>
      </c>
      <c r="I359" s="16">
        <f t="shared" si="20"/>
        <v>107.99575179392839</v>
      </c>
      <c r="J359" s="2">
        <v>4391.18</v>
      </c>
      <c r="K359">
        <v>26.914000000000001</v>
      </c>
      <c r="L359" s="15">
        <f t="shared" si="18"/>
        <v>0</v>
      </c>
      <c r="M359" s="15">
        <f t="shared" si="19"/>
        <v>4391.18</v>
      </c>
      <c r="N359" s="18">
        <v>163.15598827470689</v>
      </c>
      <c r="O359" s="8">
        <v>1</v>
      </c>
      <c r="Q359">
        <f>_xlfn.XLOOKUP(A359,'CONSOLIDADO PEAJES'!H:H,'CONSOLIDADO PEAJES'!AC:AC)</f>
        <v>1</v>
      </c>
    </row>
    <row r="360" spans="1:17" x14ac:dyDescent="0.3">
      <c r="A360" t="s">
        <v>922</v>
      </c>
      <c r="B360">
        <v>1415526</v>
      </c>
      <c r="C360" t="s">
        <v>923</v>
      </c>
      <c r="D360" s="8">
        <v>1</v>
      </c>
      <c r="E360">
        <v>930.26300000000003</v>
      </c>
      <c r="F360" s="2">
        <v>2.82</v>
      </c>
      <c r="H360" s="2">
        <v>100464.45</v>
      </c>
      <c r="I360" s="16">
        <f t="shared" si="20"/>
        <v>107.99574958909469</v>
      </c>
      <c r="J360" s="2">
        <v>6162.73</v>
      </c>
      <c r="K360">
        <v>37.771999999999998</v>
      </c>
      <c r="L360" s="15">
        <f t="shared" si="18"/>
        <v>0</v>
      </c>
      <c r="M360" s="15">
        <f t="shared" si="19"/>
        <v>6162.73</v>
      </c>
      <c r="N360" s="18">
        <v>163.15598827470689</v>
      </c>
      <c r="O360" s="8">
        <v>1</v>
      </c>
      <c r="Q360">
        <f>_xlfn.XLOOKUP(A360,'CONSOLIDADO PEAJES'!H:H,'CONSOLIDADO PEAJES'!AC:AC)</f>
        <v>1</v>
      </c>
    </row>
    <row r="361" spans="1:17" x14ac:dyDescent="0.3">
      <c r="A361" t="s">
        <v>1277</v>
      </c>
      <c r="B361">
        <v>1415527</v>
      </c>
      <c r="C361" t="s">
        <v>1278</v>
      </c>
      <c r="D361" s="8">
        <v>1</v>
      </c>
      <c r="E361">
        <v>1462.8440000000001</v>
      </c>
      <c r="F361" s="2">
        <v>-2.89</v>
      </c>
      <c r="H361" s="2">
        <v>157980.93</v>
      </c>
      <c r="I361" s="16">
        <f t="shared" si="20"/>
        <v>107.99574664147373</v>
      </c>
      <c r="J361" s="2">
        <v>35291.96</v>
      </c>
      <c r="K361">
        <v>216.30799999999999</v>
      </c>
      <c r="L361" s="15">
        <f t="shared" si="18"/>
        <v>0</v>
      </c>
      <c r="M361" s="15">
        <f t="shared" si="19"/>
        <v>35291.96</v>
      </c>
      <c r="N361" s="18">
        <v>163.15598827470689</v>
      </c>
      <c r="O361" s="8">
        <v>1</v>
      </c>
      <c r="Q361">
        <f>_xlfn.XLOOKUP(A361,'CONSOLIDADO PEAJES'!H:H,'CONSOLIDADO PEAJES'!AC:AC)</f>
        <v>1</v>
      </c>
    </row>
    <row r="362" spans="1:17" x14ac:dyDescent="0.3">
      <c r="A362" t="s">
        <v>1503</v>
      </c>
      <c r="B362">
        <v>1415924</v>
      </c>
      <c r="C362" t="s">
        <v>1504</v>
      </c>
      <c r="D362" s="8">
        <v>1</v>
      </c>
      <c r="E362">
        <v>774.73800000000006</v>
      </c>
      <c r="F362" s="2">
        <v>3.81</v>
      </c>
      <c r="H362" s="2">
        <v>110347.06</v>
      </c>
      <c r="I362" s="16">
        <f t="shared" si="20"/>
        <v>142.43145424646784</v>
      </c>
      <c r="J362" s="2">
        <v>449.13</v>
      </c>
      <c r="K362">
        <v>2.2730000000000001</v>
      </c>
      <c r="L362" s="15">
        <f t="shared" si="18"/>
        <v>0</v>
      </c>
      <c r="M362" s="15">
        <f t="shared" si="19"/>
        <v>449.13</v>
      </c>
      <c r="N362" s="18">
        <v>197.59164336750544</v>
      </c>
      <c r="O362" s="8">
        <v>1</v>
      </c>
      <c r="Q362">
        <f>_xlfn.XLOOKUP(A362,'CONSOLIDADO PEAJES'!H:H,'CONSOLIDADO PEAJES'!AC:AC)</f>
        <v>0</v>
      </c>
    </row>
    <row r="363" spans="1:17" x14ac:dyDescent="0.3">
      <c r="A363" t="s">
        <v>1280</v>
      </c>
      <c r="B363">
        <v>1415530</v>
      </c>
      <c r="C363" t="s">
        <v>1281</v>
      </c>
      <c r="D363" s="8">
        <v>1</v>
      </c>
      <c r="E363">
        <v>11294.402</v>
      </c>
      <c r="F363" s="2">
        <v>4.72</v>
      </c>
      <c r="H363" s="2">
        <v>1608678.17</v>
      </c>
      <c r="I363" s="16">
        <f t="shared" si="20"/>
        <v>142.43146029333823</v>
      </c>
      <c r="J363" s="2">
        <v>215547.11</v>
      </c>
      <c r="K363">
        <v>1090.8710000000001</v>
      </c>
      <c r="L363" s="15">
        <f t="shared" si="18"/>
        <v>0</v>
      </c>
      <c r="M363" s="15">
        <f t="shared" si="19"/>
        <v>215547.11</v>
      </c>
      <c r="N363" s="18">
        <v>197.59164336750544</v>
      </c>
      <c r="O363" s="8">
        <v>1</v>
      </c>
      <c r="Q363">
        <f>_xlfn.XLOOKUP(A363,'CONSOLIDADO PEAJES'!H:H,'CONSOLIDADO PEAJES'!AC:AC)</f>
        <v>0</v>
      </c>
    </row>
    <row r="364" spans="1:17" x14ac:dyDescent="0.3">
      <c r="A364" t="s">
        <v>691</v>
      </c>
      <c r="B364">
        <v>1415556</v>
      </c>
      <c r="C364" t="s">
        <v>692</v>
      </c>
      <c r="D364" s="8">
        <v>1</v>
      </c>
      <c r="E364">
        <v>3199.5219999999999</v>
      </c>
      <c r="F364" s="2">
        <v>1.1000000000000001</v>
      </c>
      <c r="H364" s="2">
        <v>455712.59</v>
      </c>
      <c r="I364" s="16">
        <f t="shared" si="20"/>
        <v>142.43146007434862</v>
      </c>
      <c r="J364" s="2">
        <v>19026.310000000001</v>
      </c>
      <c r="K364">
        <v>96.290999999999997</v>
      </c>
      <c r="L364" s="15">
        <f t="shared" si="18"/>
        <v>0</v>
      </c>
      <c r="M364" s="15">
        <f t="shared" si="19"/>
        <v>19026.310000000001</v>
      </c>
      <c r="N364" s="18">
        <v>197.59164336750544</v>
      </c>
      <c r="O364" s="8">
        <v>1</v>
      </c>
      <c r="Q364">
        <f>_xlfn.XLOOKUP(A364,'CONSOLIDADO PEAJES'!H:H,'CONSOLIDADO PEAJES'!AC:AC)</f>
        <v>0</v>
      </c>
    </row>
    <row r="365" spans="1:17" x14ac:dyDescent="0.3">
      <c r="A365" t="s">
        <v>709</v>
      </c>
      <c r="B365">
        <v>1415102</v>
      </c>
      <c r="C365" t="s">
        <v>710</v>
      </c>
      <c r="D365" s="8">
        <v>1</v>
      </c>
      <c r="E365">
        <v>790.02599999999995</v>
      </c>
      <c r="F365" s="2">
        <v>2.2000000000000002</v>
      </c>
      <c r="H365" s="2">
        <v>112524.56</v>
      </c>
      <c r="I365" s="16">
        <f t="shared" si="20"/>
        <v>142.4314642809224</v>
      </c>
      <c r="J365" s="2">
        <v>6363.24</v>
      </c>
      <c r="K365">
        <v>32.204000000000001</v>
      </c>
      <c r="L365" s="15">
        <f t="shared" si="18"/>
        <v>0</v>
      </c>
      <c r="M365" s="15">
        <f t="shared" si="19"/>
        <v>6363.24</v>
      </c>
      <c r="N365" s="18">
        <v>197.59164336750544</v>
      </c>
      <c r="O365" s="8">
        <v>1</v>
      </c>
      <c r="Q365">
        <f>_xlfn.XLOOKUP(A365,'CONSOLIDADO PEAJES'!H:H,'CONSOLIDADO PEAJES'!AC:AC)</f>
        <v>0</v>
      </c>
    </row>
    <row r="366" spans="1:17" x14ac:dyDescent="0.3">
      <c r="A366" t="s">
        <v>1325</v>
      </c>
      <c r="B366">
        <v>1415374</v>
      </c>
      <c r="C366" t="s">
        <v>1326</v>
      </c>
      <c r="D366" s="8">
        <v>1</v>
      </c>
      <c r="E366">
        <v>1502.13</v>
      </c>
      <c r="F366" s="2">
        <v>4.6100000000000003</v>
      </c>
      <c r="H366" s="2">
        <v>213950.57</v>
      </c>
      <c r="I366" s="16">
        <f t="shared" si="20"/>
        <v>142.43146065919726</v>
      </c>
      <c r="J366" s="2">
        <v>7234.82</v>
      </c>
      <c r="K366">
        <v>36.615000000000002</v>
      </c>
      <c r="L366" s="15">
        <f t="shared" si="18"/>
        <v>0</v>
      </c>
      <c r="M366" s="15">
        <f t="shared" si="19"/>
        <v>7234.82</v>
      </c>
      <c r="N366" s="18">
        <v>197.59164336750544</v>
      </c>
      <c r="O366" s="8">
        <v>1</v>
      </c>
      <c r="Q366">
        <f>_xlfn.XLOOKUP(A366,'CONSOLIDADO PEAJES'!H:H,'CONSOLIDADO PEAJES'!AC:AC)</f>
        <v>0</v>
      </c>
    </row>
    <row r="367" spans="1:17" x14ac:dyDescent="0.3">
      <c r="A367" t="s">
        <v>636</v>
      </c>
      <c r="B367">
        <v>1415389</v>
      </c>
      <c r="C367" t="s">
        <v>637</v>
      </c>
      <c r="D367" s="8">
        <v>1</v>
      </c>
      <c r="E367">
        <v>1464.27</v>
      </c>
      <c r="F367" s="2">
        <v>0.79</v>
      </c>
      <c r="H367" s="2">
        <v>208558.11</v>
      </c>
      <c r="I367" s="16">
        <f t="shared" si="20"/>
        <v>142.43145731320044</v>
      </c>
      <c r="J367" s="2">
        <v>7671.1</v>
      </c>
      <c r="K367">
        <v>38.823</v>
      </c>
      <c r="L367" s="15">
        <f t="shared" si="18"/>
        <v>0</v>
      </c>
      <c r="M367" s="15">
        <f t="shared" si="19"/>
        <v>7671.1</v>
      </c>
      <c r="N367" s="18">
        <v>197.59164336750544</v>
      </c>
      <c r="O367" s="8">
        <v>1</v>
      </c>
      <c r="Q367">
        <f>_xlfn.XLOOKUP(A367,'CONSOLIDADO PEAJES'!H:H,'CONSOLIDADO PEAJES'!AC:AC)</f>
        <v>0</v>
      </c>
    </row>
    <row r="368" spans="1:17" x14ac:dyDescent="0.3">
      <c r="A368" t="s">
        <v>346</v>
      </c>
      <c r="B368">
        <v>1413690</v>
      </c>
      <c r="C368" t="s">
        <v>347</v>
      </c>
      <c r="D368" s="8">
        <v>1</v>
      </c>
      <c r="E368">
        <v>1222.374</v>
      </c>
      <c r="F368" s="2">
        <v>1.49</v>
      </c>
      <c r="H368" s="2">
        <v>174104.51</v>
      </c>
      <c r="I368" s="16">
        <f t="shared" si="20"/>
        <v>142.4314571481396</v>
      </c>
      <c r="J368" s="2">
        <v>9304</v>
      </c>
      <c r="K368">
        <v>47.087000000000003</v>
      </c>
      <c r="L368" s="15">
        <f t="shared" si="18"/>
        <v>0</v>
      </c>
      <c r="M368" s="15">
        <f t="shared" si="19"/>
        <v>9304</v>
      </c>
      <c r="N368" s="18">
        <v>197.59164336750544</v>
      </c>
      <c r="O368" s="8">
        <v>1</v>
      </c>
      <c r="Q368">
        <f>_xlfn.XLOOKUP(A368,'CONSOLIDADO PEAJES'!H:H,'CONSOLIDADO PEAJES'!AC:AC)</f>
        <v>0</v>
      </c>
    </row>
    <row r="369" spans="1:17" x14ac:dyDescent="0.3">
      <c r="A369" t="s">
        <v>84</v>
      </c>
      <c r="B369">
        <v>1415531</v>
      </c>
      <c r="C369" t="s">
        <v>85</v>
      </c>
      <c r="D369" s="8">
        <v>1</v>
      </c>
      <c r="E369">
        <v>1946.203</v>
      </c>
      <c r="F369" s="2">
        <v>-0.53</v>
      </c>
      <c r="H369" s="2">
        <v>277200.53000000003</v>
      </c>
      <c r="I369" s="16">
        <f t="shared" si="20"/>
        <v>142.43145756121024</v>
      </c>
      <c r="L369" s="15">
        <f t="shared" si="18"/>
        <v>0</v>
      </c>
      <c r="M369" s="15">
        <f t="shared" si="19"/>
        <v>0</v>
      </c>
      <c r="N369" s="18">
        <v>197.59164336750544</v>
      </c>
      <c r="O369" s="8">
        <v>1</v>
      </c>
      <c r="Q369">
        <f>_xlfn.XLOOKUP(A369,'CONSOLIDADO PEAJES'!H:H,'CONSOLIDADO PEAJES'!AC:AC)</f>
        <v>0</v>
      </c>
    </row>
    <row r="370" spans="1:17" x14ac:dyDescent="0.3">
      <c r="A370" t="s">
        <v>829</v>
      </c>
      <c r="B370">
        <v>1413687</v>
      </c>
      <c r="C370" t="s">
        <v>830</v>
      </c>
      <c r="D370" s="8">
        <v>1</v>
      </c>
      <c r="E370">
        <v>890.32399999999996</v>
      </c>
      <c r="F370" s="2">
        <v>-4.43</v>
      </c>
      <c r="H370" s="2">
        <v>126810.15</v>
      </c>
      <c r="I370" s="16">
        <f t="shared" si="20"/>
        <v>142.43146315273989</v>
      </c>
      <c r="J370" s="2">
        <v>7624.28</v>
      </c>
      <c r="K370">
        <v>38.585999999999999</v>
      </c>
      <c r="L370" s="15">
        <f t="shared" si="18"/>
        <v>0</v>
      </c>
      <c r="M370" s="15">
        <f t="shared" si="19"/>
        <v>7624.28</v>
      </c>
      <c r="N370" s="18">
        <v>197.59164336750544</v>
      </c>
      <c r="O370" s="8">
        <v>1</v>
      </c>
      <c r="Q370">
        <f>_xlfn.XLOOKUP(A370,'CONSOLIDADO PEAJES'!H:H,'CONSOLIDADO PEAJES'!AC:AC)</f>
        <v>0</v>
      </c>
    </row>
    <row r="371" spans="1:17" x14ac:dyDescent="0.3">
      <c r="A371" t="s">
        <v>253</v>
      </c>
      <c r="B371">
        <v>1415367</v>
      </c>
      <c r="C371" t="s">
        <v>254</v>
      </c>
      <c r="D371" s="8">
        <v>1</v>
      </c>
      <c r="E371">
        <v>768.87599999999998</v>
      </c>
      <c r="F371" s="2">
        <v>3.58</v>
      </c>
      <c r="H371" s="2">
        <v>83035.34</v>
      </c>
      <c r="I371" s="16">
        <f t="shared" si="20"/>
        <v>107.99574963973384</v>
      </c>
      <c r="J371" s="2">
        <v>2351.08</v>
      </c>
      <c r="K371">
        <v>14.41</v>
      </c>
      <c r="L371" s="15">
        <f t="shared" si="18"/>
        <v>0</v>
      </c>
      <c r="M371" s="15">
        <f t="shared" si="19"/>
        <v>2351.08</v>
      </c>
      <c r="N371" s="18">
        <v>163.15598827470689</v>
      </c>
      <c r="O371" s="8">
        <v>1</v>
      </c>
      <c r="Q371">
        <f>_xlfn.XLOOKUP(A371,'CONSOLIDADO PEAJES'!H:H,'CONSOLIDADO PEAJES'!AC:AC)</f>
        <v>1</v>
      </c>
    </row>
    <row r="372" spans="1:17" x14ac:dyDescent="0.3">
      <c r="A372" t="s">
        <v>934</v>
      </c>
      <c r="B372">
        <v>1413879</v>
      </c>
      <c r="C372" t="s">
        <v>935</v>
      </c>
      <c r="D372" s="8">
        <v>1</v>
      </c>
      <c r="E372">
        <v>1398.771</v>
      </c>
      <c r="F372" s="2">
        <v>3.34</v>
      </c>
      <c r="H372" s="2">
        <v>199229</v>
      </c>
      <c r="I372" s="16">
        <f t="shared" si="20"/>
        <v>142.43146304863342</v>
      </c>
      <c r="J372" s="2">
        <v>27.66</v>
      </c>
      <c r="K372">
        <v>0.14000000000000001</v>
      </c>
      <c r="L372" s="15">
        <f t="shared" si="18"/>
        <v>0</v>
      </c>
      <c r="M372" s="15">
        <f t="shared" si="19"/>
        <v>27.66</v>
      </c>
      <c r="N372" s="18">
        <v>197.59164336750544</v>
      </c>
      <c r="O372" s="8">
        <v>1</v>
      </c>
      <c r="Q372">
        <f>_xlfn.XLOOKUP(A372,'CONSOLIDADO PEAJES'!H:H,'CONSOLIDADO PEAJES'!AC:AC)</f>
        <v>0</v>
      </c>
    </row>
    <row r="373" spans="1:17" x14ac:dyDescent="0.3">
      <c r="A373" t="s">
        <v>466</v>
      </c>
      <c r="B373">
        <v>1413683</v>
      </c>
      <c r="C373" t="s">
        <v>467</v>
      </c>
      <c r="D373" s="8">
        <v>1</v>
      </c>
      <c r="E373">
        <v>2195.4430000000002</v>
      </c>
      <c r="F373" s="2">
        <v>1.42</v>
      </c>
      <c r="H373" s="2">
        <v>312700.15000000002</v>
      </c>
      <c r="I373" s="16">
        <f t="shared" si="20"/>
        <v>142.43145916336704</v>
      </c>
      <c r="J373" s="2">
        <v>8218.43</v>
      </c>
      <c r="K373">
        <v>41.593000000000004</v>
      </c>
      <c r="L373" s="15">
        <f t="shared" si="18"/>
        <v>0</v>
      </c>
      <c r="M373" s="15">
        <f t="shared" si="19"/>
        <v>8218.43</v>
      </c>
      <c r="N373" s="18">
        <v>197.59164336750544</v>
      </c>
      <c r="O373" s="8">
        <v>1</v>
      </c>
      <c r="Q373">
        <f>_xlfn.XLOOKUP(A373,'CONSOLIDADO PEAJES'!H:H,'CONSOLIDADO PEAJES'!AC:AC)</f>
        <v>0</v>
      </c>
    </row>
    <row r="374" spans="1:17" x14ac:dyDescent="0.3">
      <c r="A374" t="s">
        <v>1409</v>
      </c>
      <c r="B374">
        <v>1413684</v>
      </c>
      <c r="C374" t="s">
        <v>1410</v>
      </c>
      <c r="D374" s="8">
        <v>1</v>
      </c>
      <c r="E374">
        <v>2174.2809999999999</v>
      </c>
      <c r="F374" s="2">
        <v>-2.15</v>
      </c>
      <c r="H374" s="2">
        <v>309686.02</v>
      </c>
      <c r="I374" s="16">
        <f t="shared" si="20"/>
        <v>142.43146125086869</v>
      </c>
      <c r="J374" s="2">
        <v>11066.13</v>
      </c>
      <c r="K374">
        <v>56.005000000000003</v>
      </c>
      <c r="L374" s="15">
        <f t="shared" si="18"/>
        <v>0</v>
      </c>
      <c r="M374" s="15">
        <f t="shared" si="19"/>
        <v>11066.13</v>
      </c>
      <c r="N374" s="18">
        <v>197.59164336750544</v>
      </c>
      <c r="O374" s="8">
        <v>1</v>
      </c>
      <c r="Q374">
        <f>_xlfn.XLOOKUP(A374,'CONSOLIDADO PEAJES'!H:H,'CONSOLIDADO PEAJES'!AC:AC)</f>
        <v>0</v>
      </c>
    </row>
    <row r="375" spans="1:17" x14ac:dyDescent="0.3">
      <c r="A375" t="s">
        <v>1198</v>
      </c>
      <c r="B375">
        <v>1415695</v>
      </c>
      <c r="C375" t="s">
        <v>1199</v>
      </c>
      <c r="D375" s="8">
        <v>1</v>
      </c>
      <c r="E375">
        <v>1042.925</v>
      </c>
      <c r="F375" s="2">
        <v>0.62</v>
      </c>
      <c r="H375" s="2">
        <v>148545.32999999999</v>
      </c>
      <c r="I375" s="16">
        <f t="shared" si="20"/>
        <v>142.43145959680706</v>
      </c>
      <c r="J375" s="2">
        <v>4394.05</v>
      </c>
      <c r="K375">
        <v>22.238</v>
      </c>
      <c r="L375" s="15">
        <f t="shared" si="18"/>
        <v>0</v>
      </c>
      <c r="M375" s="15">
        <f t="shared" si="19"/>
        <v>4394.05</v>
      </c>
      <c r="N375" s="18">
        <v>197.59164336750544</v>
      </c>
      <c r="O375" s="8">
        <v>1</v>
      </c>
      <c r="Q375">
        <f>_xlfn.XLOOKUP(A375,'CONSOLIDADO PEAJES'!H:H,'CONSOLIDADO PEAJES'!AC:AC)</f>
        <v>0</v>
      </c>
    </row>
    <row r="376" spans="1:17" x14ac:dyDescent="0.3">
      <c r="A376" t="s">
        <v>694</v>
      </c>
      <c r="B376">
        <v>1414344</v>
      </c>
      <c r="C376" t="s">
        <v>695</v>
      </c>
      <c r="D376" s="8">
        <v>1</v>
      </c>
      <c r="E376">
        <v>2149.4639999999999</v>
      </c>
      <c r="F376" s="2">
        <v>-1.53</v>
      </c>
      <c r="H376" s="2">
        <v>232132.98</v>
      </c>
      <c r="I376" s="16">
        <f t="shared" si="20"/>
        <v>107.99575149897836</v>
      </c>
      <c r="J376" s="2">
        <v>1678.55</v>
      </c>
      <c r="K376">
        <v>10.288</v>
      </c>
      <c r="L376" s="15">
        <f t="shared" si="18"/>
        <v>0</v>
      </c>
      <c r="M376" s="15">
        <f t="shared" si="19"/>
        <v>1678.55</v>
      </c>
      <c r="N376" s="18">
        <v>163.15598827470689</v>
      </c>
      <c r="O376" s="8">
        <v>1</v>
      </c>
      <c r="Q376">
        <f>_xlfn.XLOOKUP(A376,'CONSOLIDADO PEAJES'!H:H,'CONSOLIDADO PEAJES'!AC:AC)</f>
        <v>1</v>
      </c>
    </row>
    <row r="377" spans="1:17" x14ac:dyDescent="0.3">
      <c r="A377" t="s">
        <v>79</v>
      </c>
      <c r="B377">
        <v>1414342</v>
      </c>
      <c r="C377" t="s">
        <v>80</v>
      </c>
      <c r="D377" s="8">
        <v>1</v>
      </c>
      <c r="E377">
        <v>4180.4790000000003</v>
      </c>
      <c r="F377" s="2">
        <v>3</v>
      </c>
      <c r="H377" s="2">
        <v>595431.73</v>
      </c>
      <c r="I377" s="16">
        <f t="shared" si="20"/>
        <v>142.43146060535167</v>
      </c>
      <c r="J377" s="2">
        <v>48025.27</v>
      </c>
      <c r="K377">
        <v>243.053</v>
      </c>
      <c r="L377" s="15">
        <f t="shared" si="18"/>
        <v>0</v>
      </c>
      <c r="M377" s="15">
        <f t="shared" si="19"/>
        <v>48025.27</v>
      </c>
      <c r="N377" s="18">
        <v>197.59164336750544</v>
      </c>
      <c r="O377" s="8">
        <v>1</v>
      </c>
      <c r="Q377">
        <f>_xlfn.XLOOKUP(A377,'CONSOLIDADO PEAJES'!H:H,'CONSOLIDADO PEAJES'!AC:AC)</f>
        <v>0</v>
      </c>
    </row>
    <row r="378" spans="1:17" x14ac:dyDescent="0.3">
      <c r="A378" t="s">
        <v>1087</v>
      </c>
      <c r="B378">
        <v>1415113</v>
      </c>
      <c r="C378" t="s">
        <v>1088</v>
      </c>
      <c r="D378" s="8">
        <v>1</v>
      </c>
      <c r="E378">
        <v>1866.8489999999999</v>
      </c>
      <c r="F378" s="2">
        <v>-4.84</v>
      </c>
      <c r="H378" s="2">
        <v>265898.03000000003</v>
      </c>
      <c r="I378" s="16">
        <f t="shared" si="20"/>
        <v>142.43146071267682</v>
      </c>
      <c r="J378" s="2">
        <v>14406.81</v>
      </c>
      <c r="K378">
        <v>72.912000000000006</v>
      </c>
      <c r="L378" s="15">
        <f t="shared" si="18"/>
        <v>0</v>
      </c>
      <c r="M378" s="15">
        <f t="shared" si="19"/>
        <v>14406.81</v>
      </c>
      <c r="N378" s="18">
        <v>197.59164336750544</v>
      </c>
      <c r="O378" s="8">
        <v>1</v>
      </c>
      <c r="Q378">
        <f>_xlfn.XLOOKUP(A378,'CONSOLIDADO PEAJES'!H:H,'CONSOLIDADO PEAJES'!AC:AC)</f>
        <v>0</v>
      </c>
    </row>
    <row r="379" spans="1:17" x14ac:dyDescent="0.3">
      <c r="A379" t="s">
        <v>115</v>
      </c>
      <c r="B379">
        <v>1415123</v>
      </c>
      <c r="C379" t="s">
        <v>116</v>
      </c>
      <c r="D379" s="8">
        <v>1</v>
      </c>
      <c r="E379">
        <v>1726.7840000000001</v>
      </c>
      <c r="F379" s="2">
        <v>-3.79</v>
      </c>
      <c r="H379" s="2">
        <v>186485.33</v>
      </c>
      <c r="I379" s="16">
        <f t="shared" si="20"/>
        <v>107.99574816537562</v>
      </c>
      <c r="J379" s="2">
        <v>10218.459999999999</v>
      </c>
      <c r="K379">
        <v>62.63</v>
      </c>
      <c r="L379" s="15">
        <f t="shared" si="18"/>
        <v>0</v>
      </c>
      <c r="M379" s="15">
        <f t="shared" si="19"/>
        <v>10218.459999999999</v>
      </c>
      <c r="N379" s="18">
        <v>163.15598827470689</v>
      </c>
      <c r="O379" s="8">
        <v>1</v>
      </c>
      <c r="Q379">
        <f>_xlfn.XLOOKUP(A379,'CONSOLIDADO PEAJES'!H:H,'CONSOLIDADO PEAJES'!AC:AC)</f>
        <v>1</v>
      </c>
    </row>
    <row r="380" spans="1:17" x14ac:dyDescent="0.3">
      <c r="A380" t="s">
        <v>1078</v>
      </c>
      <c r="B380">
        <v>1415557</v>
      </c>
      <c r="C380" t="s">
        <v>1079</v>
      </c>
      <c r="D380" s="8">
        <v>1</v>
      </c>
      <c r="E380">
        <v>2640.99</v>
      </c>
      <c r="F380" s="2">
        <v>-0.75</v>
      </c>
      <c r="H380" s="2">
        <v>376160.06</v>
      </c>
      <c r="I380" s="16">
        <f t="shared" si="20"/>
        <v>142.43145941484065</v>
      </c>
      <c r="J380" s="2">
        <v>15450.69</v>
      </c>
      <c r="K380">
        <v>78.194999999999993</v>
      </c>
      <c r="L380" s="15">
        <f t="shared" si="18"/>
        <v>0</v>
      </c>
      <c r="M380" s="15">
        <f t="shared" si="19"/>
        <v>15450.69</v>
      </c>
      <c r="N380" s="18">
        <v>197.59164336750544</v>
      </c>
      <c r="O380" s="8">
        <v>1</v>
      </c>
      <c r="Q380">
        <f>_xlfn.XLOOKUP(A380,'CONSOLIDADO PEAJES'!H:H,'CONSOLIDADO PEAJES'!AC:AC)</f>
        <v>0</v>
      </c>
    </row>
    <row r="381" spans="1:17" x14ac:dyDescent="0.3">
      <c r="A381" t="s">
        <v>460</v>
      </c>
      <c r="B381">
        <v>1415379</v>
      </c>
      <c r="C381" t="s">
        <v>461</v>
      </c>
      <c r="D381" s="8">
        <v>1</v>
      </c>
      <c r="E381">
        <v>844.875</v>
      </c>
      <c r="F381" s="2">
        <v>1.57</v>
      </c>
      <c r="H381" s="2">
        <v>120336.78</v>
      </c>
      <c r="I381" s="16">
        <f t="shared" si="20"/>
        <v>142.43146027518864</v>
      </c>
      <c r="J381" s="2">
        <v>5361.65</v>
      </c>
      <c r="K381">
        <v>27.135000000000002</v>
      </c>
      <c r="L381" s="15">
        <f t="shared" si="18"/>
        <v>0</v>
      </c>
      <c r="M381" s="15">
        <f t="shared" si="19"/>
        <v>5361.65</v>
      </c>
      <c r="N381" s="18">
        <v>197.59164336750544</v>
      </c>
      <c r="O381" s="8">
        <v>1</v>
      </c>
      <c r="Q381">
        <f>_xlfn.XLOOKUP(A381,'CONSOLIDADO PEAJES'!H:H,'CONSOLIDADO PEAJES'!AC:AC)</f>
        <v>0</v>
      </c>
    </row>
    <row r="382" spans="1:17" x14ac:dyDescent="0.3">
      <c r="A382" t="s">
        <v>118</v>
      </c>
      <c r="B382">
        <v>1415107</v>
      </c>
      <c r="C382" t="s">
        <v>119</v>
      </c>
      <c r="D382" s="8">
        <v>1</v>
      </c>
      <c r="E382">
        <v>1266.0139999999999</v>
      </c>
      <c r="F382" s="2">
        <v>-3.36</v>
      </c>
      <c r="H382" s="2">
        <v>136724.13</v>
      </c>
      <c r="I382" s="16">
        <f t="shared" si="20"/>
        <v>107.9957488621769</v>
      </c>
      <c r="J382" s="2">
        <v>8409.23</v>
      </c>
      <c r="K382">
        <v>51.540999999999997</v>
      </c>
      <c r="L382" s="15">
        <f t="shared" si="18"/>
        <v>0</v>
      </c>
      <c r="M382" s="15">
        <f t="shared" si="19"/>
        <v>8409.23</v>
      </c>
      <c r="N382" s="18">
        <v>163.15598827470689</v>
      </c>
      <c r="O382" s="8">
        <v>1</v>
      </c>
      <c r="Q382">
        <f>_xlfn.XLOOKUP(A382,'CONSOLIDADO PEAJES'!H:H,'CONSOLIDADO PEAJES'!AC:AC)</f>
        <v>1</v>
      </c>
    </row>
    <row r="383" spans="1:17" x14ac:dyDescent="0.3">
      <c r="A383" t="s">
        <v>1108</v>
      </c>
      <c r="B383">
        <v>1415407</v>
      </c>
      <c r="C383" t="s">
        <v>1109</v>
      </c>
      <c r="D383" s="8">
        <v>1</v>
      </c>
      <c r="E383">
        <v>1363.7909999999999</v>
      </c>
      <c r="F383" s="2">
        <v>3.26</v>
      </c>
      <c r="H383" s="2">
        <v>194246.74</v>
      </c>
      <c r="I383" s="16">
        <f t="shared" si="20"/>
        <v>142.43145760604079</v>
      </c>
      <c r="L383" s="15">
        <f t="shared" si="18"/>
        <v>0</v>
      </c>
      <c r="M383" s="15">
        <f t="shared" si="19"/>
        <v>0</v>
      </c>
      <c r="N383" s="18">
        <v>197.59164336750544</v>
      </c>
      <c r="O383" s="8">
        <v>1</v>
      </c>
      <c r="Q383">
        <f>_xlfn.XLOOKUP(A383,'CONSOLIDADO PEAJES'!H:H,'CONSOLIDADO PEAJES'!AC:AC)</f>
        <v>0</v>
      </c>
    </row>
    <row r="384" spans="1:17" x14ac:dyDescent="0.3">
      <c r="A384" t="s">
        <v>274</v>
      </c>
      <c r="B384">
        <v>1417662</v>
      </c>
      <c r="C384" t="s">
        <v>275</v>
      </c>
      <c r="D384" s="8">
        <v>1</v>
      </c>
      <c r="E384">
        <v>2153.9899999999998</v>
      </c>
      <c r="F384" s="2">
        <v>7.0000000000000007E-2</v>
      </c>
      <c r="H384" s="2">
        <v>306795.94</v>
      </c>
      <c r="I384" s="16">
        <f t="shared" si="20"/>
        <v>142.43145975608059</v>
      </c>
      <c r="J384" s="2">
        <v>6383.99</v>
      </c>
      <c r="K384">
        <v>32.308999999999997</v>
      </c>
      <c r="L384" s="15">
        <f t="shared" si="18"/>
        <v>0</v>
      </c>
      <c r="M384" s="15">
        <f t="shared" si="19"/>
        <v>6383.99</v>
      </c>
      <c r="N384" s="18">
        <v>197.59164336750544</v>
      </c>
      <c r="O384" s="8">
        <v>1</v>
      </c>
      <c r="Q384">
        <f>_xlfn.XLOOKUP(A384,'CONSOLIDADO PEAJES'!H:H,'CONSOLIDADO PEAJES'!AC:AC)</f>
        <v>0</v>
      </c>
    </row>
    <row r="385" spans="1:17" x14ac:dyDescent="0.3">
      <c r="A385" t="s">
        <v>1591</v>
      </c>
      <c r="B385">
        <v>1417658</v>
      </c>
      <c r="C385" t="s">
        <v>1592</v>
      </c>
      <c r="D385" s="8">
        <v>1</v>
      </c>
      <c r="E385">
        <v>2726.0430000000001</v>
      </c>
      <c r="F385" s="2">
        <v>2.23</v>
      </c>
      <c r="H385" s="2">
        <v>388274.28</v>
      </c>
      <c r="I385" s="16">
        <f t="shared" si="20"/>
        <v>142.43145834456757</v>
      </c>
      <c r="J385" s="2">
        <v>7163.49</v>
      </c>
      <c r="K385">
        <v>36.253999999999998</v>
      </c>
      <c r="L385" s="15">
        <f t="shared" si="18"/>
        <v>0</v>
      </c>
      <c r="M385" s="15">
        <f t="shared" si="19"/>
        <v>7163.49</v>
      </c>
      <c r="N385" s="18">
        <v>197.59164336750544</v>
      </c>
      <c r="O385" s="8">
        <v>1</v>
      </c>
      <c r="Q385">
        <f>_xlfn.XLOOKUP(A385,'CONSOLIDADO PEAJES'!H:H,'CONSOLIDADO PEAJES'!AC:AC)</f>
        <v>0</v>
      </c>
    </row>
    <row r="386" spans="1:17" x14ac:dyDescent="0.3">
      <c r="A386" t="s">
        <v>591</v>
      </c>
      <c r="B386">
        <v>1415104</v>
      </c>
      <c r="C386" t="s">
        <v>592</v>
      </c>
      <c r="D386" s="8">
        <v>1</v>
      </c>
      <c r="E386">
        <v>1355.223</v>
      </c>
      <c r="F386" s="2">
        <v>-4.9400000000000004</v>
      </c>
      <c r="H386" s="2">
        <v>193026.39</v>
      </c>
      <c r="I386" s="16">
        <f t="shared" si="20"/>
        <v>142.43145961956077</v>
      </c>
      <c r="J386" s="2">
        <v>8438.5499999999993</v>
      </c>
      <c r="K386">
        <v>42.707000000000001</v>
      </c>
      <c r="L386" s="15">
        <f t="shared" ref="L386:L449" si="21">(J386*O386)-J386</f>
        <v>0</v>
      </c>
      <c r="M386" s="15">
        <f t="shared" ref="M386:M449" si="22">(J386*O386)</f>
        <v>8438.5499999999993</v>
      </c>
      <c r="N386" s="18">
        <v>197.59164336750544</v>
      </c>
      <c r="O386" s="8">
        <v>1</v>
      </c>
      <c r="Q386">
        <f>_xlfn.XLOOKUP(A386,'CONSOLIDADO PEAJES'!H:H,'CONSOLIDADO PEAJES'!AC:AC)</f>
        <v>0</v>
      </c>
    </row>
    <row r="387" spans="1:17" x14ac:dyDescent="0.3">
      <c r="A387" t="s">
        <v>72</v>
      </c>
      <c r="B387">
        <v>1415369</v>
      </c>
      <c r="C387" t="s">
        <v>73</v>
      </c>
      <c r="D387" s="8">
        <v>1</v>
      </c>
      <c r="E387">
        <v>846.31700000000001</v>
      </c>
      <c r="F387" s="2">
        <v>0.56999999999999995</v>
      </c>
      <c r="H387" s="2">
        <v>120542.17</v>
      </c>
      <c r="I387" s="16">
        <f t="shared" ref="I387:I450" si="23">(G387+H387)/E387</f>
        <v>142.43146480574063</v>
      </c>
      <c r="J387" s="2">
        <v>7707.26</v>
      </c>
      <c r="K387">
        <v>39.006</v>
      </c>
      <c r="L387" s="15">
        <f t="shared" si="21"/>
        <v>0</v>
      </c>
      <c r="M387" s="15">
        <f t="shared" si="22"/>
        <v>7707.26</v>
      </c>
      <c r="N387" s="18">
        <v>197.59164336750544</v>
      </c>
      <c r="O387" s="8">
        <v>1</v>
      </c>
      <c r="Q387">
        <f>_xlfn.XLOOKUP(A387,'CONSOLIDADO PEAJES'!H:H,'CONSOLIDADO PEAJES'!AC:AC)</f>
        <v>0</v>
      </c>
    </row>
    <row r="388" spans="1:17" x14ac:dyDescent="0.3">
      <c r="A388" t="s">
        <v>457</v>
      </c>
      <c r="B388">
        <v>1415466</v>
      </c>
      <c r="C388" t="s">
        <v>458</v>
      </c>
      <c r="D388" s="8">
        <v>1</v>
      </c>
      <c r="E388">
        <v>1989.633</v>
      </c>
      <c r="F388" s="2">
        <v>0.1</v>
      </c>
      <c r="H388" s="2">
        <v>283386.33</v>
      </c>
      <c r="I388" s="16">
        <f t="shared" si="23"/>
        <v>142.4314584649531</v>
      </c>
      <c r="J388" s="2">
        <v>15443.57</v>
      </c>
      <c r="K388">
        <v>78.159000000000006</v>
      </c>
      <c r="L388" s="15">
        <f t="shared" si="21"/>
        <v>0</v>
      </c>
      <c r="M388" s="15">
        <f t="shared" si="22"/>
        <v>15443.57</v>
      </c>
      <c r="N388" s="18">
        <v>197.59164336750544</v>
      </c>
      <c r="O388" s="8">
        <v>1</v>
      </c>
      <c r="Q388">
        <f>_xlfn.XLOOKUP(A388,'CONSOLIDADO PEAJES'!H:H,'CONSOLIDADO PEAJES'!AC:AC)</f>
        <v>0</v>
      </c>
    </row>
    <row r="389" spans="1:17" x14ac:dyDescent="0.3">
      <c r="A389" t="s">
        <v>1180</v>
      </c>
      <c r="B389">
        <v>1418374</v>
      </c>
      <c r="C389" t="s">
        <v>1181</v>
      </c>
      <c r="D389" s="8">
        <v>1</v>
      </c>
      <c r="E389">
        <v>2381.194</v>
      </c>
      <c r="F389" s="2">
        <v>2.33</v>
      </c>
      <c r="H389" s="2">
        <v>339156.94</v>
      </c>
      <c r="I389" s="16">
        <f t="shared" si="23"/>
        <v>142.43146085535241</v>
      </c>
      <c r="J389" s="2">
        <v>7340.73</v>
      </c>
      <c r="K389">
        <v>37.151000000000003</v>
      </c>
      <c r="L389" s="15">
        <f t="shared" si="21"/>
        <v>0</v>
      </c>
      <c r="M389" s="15">
        <f t="shared" si="22"/>
        <v>7340.73</v>
      </c>
      <c r="N389" s="18">
        <v>197.59164336750544</v>
      </c>
      <c r="O389" s="8">
        <v>1</v>
      </c>
      <c r="Q389">
        <f>_xlfn.XLOOKUP(A389,'CONSOLIDADO PEAJES'!H:H,'CONSOLIDADO PEAJES'!AC:AC)</f>
        <v>0</v>
      </c>
    </row>
    <row r="390" spans="1:17" x14ac:dyDescent="0.3">
      <c r="A390" t="s">
        <v>1283</v>
      </c>
      <c r="B390">
        <v>1418011</v>
      </c>
      <c r="C390" t="s">
        <v>1284</v>
      </c>
      <c r="D390" s="8">
        <v>1</v>
      </c>
      <c r="E390">
        <v>11686.868</v>
      </c>
      <c r="F390" s="2">
        <v>3.79</v>
      </c>
      <c r="H390" s="2">
        <v>1262132.07</v>
      </c>
      <c r="I390" s="16">
        <f t="shared" si="23"/>
        <v>107.99574958834138</v>
      </c>
      <c r="J390" s="2">
        <v>332994.14</v>
      </c>
      <c r="K390">
        <v>2040.9549999999999</v>
      </c>
      <c r="L390" s="15">
        <f t="shared" si="21"/>
        <v>0</v>
      </c>
      <c r="M390" s="15">
        <f t="shared" si="22"/>
        <v>332994.14</v>
      </c>
      <c r="N390" s="18">
        <v>163.15598827470689</v>
      </c>
      <c r="O390" s="8">
        <v>1</v>
      </c>
      <c r="Q390">
        <f>_xlfn.XLOOKUP(A390,'CONSOLIDADO PEAJES'!H:H,'CONSOLIDADO PEAJES'!AC:AC)</f>
        <v>1</v>
      </c>
    </row>
    <row r="391" spans="1:17" x14ac:dyDescent="0.3">
      <c r="A391" t="s">
        <v>928</v>
      </c>
      <c r="B391">
        <v>1416891</v>
      </c>
      <c r="C391" t="s">
        <v>929</v>
      </c>
      <c r="D391" s="8">
        <v>1</v>
      </c>
      <c r="E391">
        <v>1442.3119999999999</v>
      </c>
      <c r="F391" s="2">
        <v>-1.42</v>
      </c>
      <c r="H391" s="2">
        <v>155763.57</v>
      </c>
      <c r="I391" s="16">
        <f t="shared" si="23"/>
        <v>107.99575265268543</v>
      </c>
      <c r="J391" s="2">
        <v>6497.85</v>
      </c>
      <c r="K391">
        <v>39.826000000000001</v>
      </c>
      <c r="L391" s="15">
        <f t="shared" si="21"/>
        <v>0</v>
      </c>
      <c r="M391" s="15">
        <f t="shared" si="22"/>
        <v>6497.85</v>
      </c>
      <c r="N391" s="18">
        <v>163.15598827470689</v>
      </c>
      <c r="O391" s="8">
        <v>1</v>
      </c>
      <c r="Q391">
        <f>_xlfn.XLOOKUP(A391,'CONSOLIDADO PEAJES'!H:H,'CONSOLIDADO PEAJES'!AC:AC)</f>
        <v>1</v>
      </c>
    </row>
    <row r="392" spans="1:17" x14ac:dyDescent="0.3">
      <c r="A392" t="s">
        <v>1105</v>
      </c>
      <c r="B392">
        <v>1416445</v>
      </c>
      <c r="C392" t="s">
        <v>1106</v>
      </c>
      <c r="D392" s="8">
        <v>1</v>
      </c>
      <c r="E392">
        <v>1962.931</v>
      </c>
      <c r="F392" s="2">
        <v>-3.38</v>
      </c>
      <c r="H392" s="2">
        <v>211988.21</v>
      </c>
      <c r="I392" s="16">
        <f t="shared" si="23"/>
        <v>107.99575227045678</v>
      </c>
      <c r="J392" s="2">
        <v>15995.17</v>
      </c>
      <c r="K392">
        <v>98.036000000000001</v>
      </c>
      <c r="L392" s="15">
        <f t="shared" si="21"/>
        <v>0</v>
      </c>
      <c r="M392" s="15">
        <f t="shared" si="22"/>
        <v>15995.17</v>
      </c>
      <c r="N392" s="18">
        <v>163.15598827470689</v>
      </c>
      <c r="O392" s="8">
        <v>1</v>
      </c>
      <c r="Q392">
        <f>_xlfn.XLOOKUP(A392,'CONSOLIDADO PEAJES'!H:H,'CONSOLIDADO PEAJES'!AC:AC)</f>
        <v>1</v>
      </c>
    </row>
    <row r="393" spans="1:17" x14ac:dyDescent="0.3">
      <c r="A393" t="s">
        <v>940</v>
      </c>
      <c r="B393">
        <v>1417112</v>
      </c>
      <c r="C393" t="s">
        <v>941</v>
      </c>
      <c r="D393" s="8">
        <v>1</v>
      </c>
      <c r="E393">
        <v>6128.0429999999997</v>
      </c>
      <c r="F393" s="2">
        <v>0.25</v>
      </c>
      <c r="H393" s="2">
        <v>872826.11</v>
      </c>
      <c r="I393" s="16">
        <f t="shared" si="23"/>
        <v>142.43145976619289</v>
      </c>
      <c r="J393" s="2">
        <v>67193.64</v>
      </c>
      <c r="K393">
        <v>340.06299999999999</v>
      </c>
      <c r="L393" s="15">
        <f t="shared" si="21"/>
        <v>0</v>
      </c>
      <c r="M393" s="15">
        <f t="shared" si="22"/>
        <v>67193.64</v>
      </c>
      <c r="N393" s="18">
        <v>197.59164336750544</v>
      </c>
      <c r="O393" s="8">
        <v>1</v>
      </c>
      <c r="Q393">
        <f>_xlfn.XLOOKUP(A393,'CONSOLIDADO PEAJES'!H:H,'CONSOLIDADO PEAJES'!AC:AC)</f>
        <v>0</v>
      </c>
    </row>
    <row r="394" spans="1:17" x14ac:dyDescent="0.3">
      <c r="A394" t="s">
        <v>277</v>
      </c>
      <c r="B394">
        <v>1417722</v>
      </c>
      <c r="C394" t="s">
        <v>278</v>
      </c>
      <c r="D394" s="8">
        <v>1</v>
      </c>
      <c r="E394">
        <v>2105.402</v>
      </c>
      <c r="F394" s="2">
        <v>1.44</v>
      </c>
      <c r="H394" s="2">
        <v>299875.48</v>
      </c>
      <c r="I394" s="16">
        <f t="shared" si="23"/>
        <v>142.43145964523637</v>
      </c>
      <c r="J394" s="2">
        <v>13843.08</v>
      </c>
      <c r="K394">
        <v>70.058999999999997</v>
      </c>
      <c r="L394" s="15">
        <f t="shared" si="21"/>
        <v>0</v>
      </c>
      <c r="M394" s="15">
        <f t="shared" si="22"/>
        <v>13843.08</v>
      </c>
      <c r="N394" s="18">
        <v>197.59164336750544</v>
      </c>
      <c r="O394" s="8">
        <v>1</v>
      </c>
      <c r="Q394">
        <f>_xlfn.XLOOKUP(A394,'CONSOLIDADO PEAJES'!H:H,'CONSOLIDADO PEAJES'!AC:AC)</f>
        <v>0</v>
      </c>
    </row>
    <row r="395" spans="1:17" x14ac:dyDescent="0.3">
      <c r="A395" t="s">
        <v>823</v>
      </c>
      <c r="B395">
        <v>1417714</v>
      </c>
      <c r="C395" t="s">
        <v>824</v>
      </c>
      <c r="D395" s="8">
        <v>1</v>
      </c>
      <c r="E395">
        <v>2839.0659999999998</v>
      </c>
      <c r="F395" s="2">
        <v>-1.45</v>
      </c>
      <c r="H395" s="2">
        <v>404372.32</v>
      </c>
      <c r="I395" s="16">
        <f t="shared" si="23"/>
        <v>142.43146161448871</v>
      </c>
      <c r="J395" s="2">
        <v>7899.13</v>
      </c>
      <c r="K395">
        <v>39.976999999999997</v>
      </c>
      <c r="L395" s="15">
        <f t="shared" si="21"/>
        <v>0</v>
      </c>
      <c r="M395" s="15">
        <f t="shared" si="22"/>
        <v>7899.13</v>
      </c>
      <c r="N395" s="18">
        <v>197.59164336750544</v>
      </c>
      <c r="O395" s="8">
        <v>1</v>
      </c>
      <c r="Q395">
        <f>_xlfn.XLOOKUP(A395,'CONSOLIDADO PEAJES'!H:H,'CONSOLIDADO PEAJES'!AC:AC)</f>
        <v>0</v>
      </c>
    </row>
    <row r="396" spans="1:17" x14ac:dyDescent="0.3">
      <c r="A396" t="s">
        <v>1289</v>
      </c>
      <c r="B396">
        <v>1416886</v>
      </c>
      <c r="C396" t="s">
        <v>1290</v>
      </c>
      <c r="D396" s="8">
        <v>1</v>
      </c>
      <c r="E396">
        <v>11678.05</v>
      </c>
      <c r="F396" s="2">
        <v>0.23</v>
      </c>
      <c r="H396" s="2">
        <v>1261179.77</v>
      </c>
      <c r="I396" s="16">
        <f t="shared" si="23"/>
        <v>107.99575014664264</v>
      </c>
      <c r="L396" s="15">
        <f t="shared" si="21"/>
        <v>0</v>
      </c>
      <c r="M396" s="15">
        <f t="shared" si="22"/>
        <v>0</v>
      </c>
      <c r="N396" s="18">
        <v>163.15598827470689</v>
      </c>
      <c r="O396" s="8">
        <v>1</v>
      </c>
      <c r="Q396">
        <f>_xlfn.XLOOKUP(A396,'CONSOLIDADO PEAJES'!H:H,'CONSOLIDADO PEAJES'!AC:AC)</f>
        <v>1</v>
      </c>
    </row>
    <row r="397" spans="1:17" x14ac:dyDescent="0.3">
      <c r="A397" t="s">
        <v>1367</v>
      </c>
      <c r="B397">
        <v>1418629</v>
      </c>
      <c r="C397" t="s">
        <v>1368</v>
      </c>
      <c r="D397" s="8">
        <v>1</v>
      </c>
      <c r="E397">
        <v>1099.424</v>
      </c>
      <c r="F397" s="2">
        <v>3.8</v>
      </c>
      <c r="H397" s="2">
        <v>156592.57</v>
      </c>
      <c r="I397" s="16">
        <f t="shared" si="23"/>
        <v>142.43146411211691</v>
      </c>
      <c r="J397" s="2">
        <v>243.63</v>
      </c>
      <c r="K397">
        <v>1.2330000000000001</v>
      </c>
      <c r="L397" s="15">
        <f t="shared" si="21"/>
        <v>0</v>
      </c>
      <c r="M397" s="15">
        <f t="shared" si="22"/>
        <v>243.63</v>
      </c>
      <c r="N397" s="18">
        <v>197.59164336750544</v>
      </c>
      <c r="O397" s="8">
        <v>1</v>
      </c>
      <c r="Q397">
        <f>_xlfn.XLOOKUP(A397,'CONSOLIDADO PEAJES'!H:H,'CONSOLIDADO PEAJES'!AC:AC)</f>
        <v>0</v>
      </c>
    </row>
    <row r="398" spans="1:17" x14ac:dyDescent="0.3">
      <c r="A398" t="s">
        <v>469</v>
      </c>
      <c r="B398">
        <v>1418008</v>
      </c>
      <c r="C398" t="s">
        <v>470</v>
      </c>
      <c r="D398" s="8">
        <v>1</v>
      </c>
      <c r="E398">
        <v>5297.4930000000004</v>
      </c>
      <c r="F398" s="2">
        <v>0.34</v>
      </c>
      <c r="H398" s="2">
        <v>754529.66</v>
      </c>
      <c r="I398" s="16">
        <f t="shared" si="23"/>
        <v>142.43145956021084</v>
      </c>
      <c r="L398" s="15">
        <f t="shared" si="21"/>
        <v>0</v>
      </c>
      <c r="M398" s="15">
        <f t="shared" si="22"/>
        <v>0</v>
      </c>
      <c r="N398" s="18">
        <v>197.59164336750544</v>
      </c>
      <c r="O398" s="8">
        <v>1</v>
      </c>
      <c r="Q398">
        <f>_xlfn.XLOOKUP(A398,'CONSOLIDADO PEAJES'!H:H,'CONSOLIDADO PEAJES'!AC:AC)</f>
        <v>0</v>
      </c>
    </row>
    <row r="399" spans="1:17" x14ac:dyDescent="0.3">
      <c r="A399" t="s">
        <v>271</v>
      </c>
      <c r="B399">
        <v>1418388</v>
      </c>
      <c r="C399" t="s">
        <v>272</v>
      </c>
      <c r="D399" s="8">
        <v>1</v>
      </c>
      <c r="E399">
        <v>2132.5</v>
      </c>
      <c r="F399" s="2">
        <v>-3.2</v>
      </c>
      <c r="H399" s="2">
        <v>303735.09000000003</v>
      </c>
      <c r="I399" s="16">
        <f t="shared" si="23"/>
        <v>142.43146072684644</v>
      </c>
      <c r="J399" s="2">
        <v>10148.11</v>
      </c>
      <c r="K399">
        <v>51.359000000000002</v>
      </c>
      <c r="L399" s="15">
        <f t="shared" si="21"/>
        <v>0</v>
      </c>
      <c r="M399" s="15">
        <f t="shared" si="22"/>
        <v>10148.11</v>
      </c>
      <c r="N399" s="18">
        <v>197.59164336750544</v>
      </c>
      <c r="O399" s="8">
        <v>1</v>
      </c>
      <c r="Q399">
        <f>_xlfn.XLOOKUP(A399,'CONSOLIDADO PEAJES'!H:H,'CONSOLIDADO PEAJES'!AC:AC)</f>
        <v>0</v>
      </c>
    </row>
    <row r="400" spans="1:17" x14ac:dyDescent="0.3">
      <c r="A400" t="s">
        <v>472</v>
      </c>
      <c r="B400">
        <v>1418013</v>
      </c>
      <c r="C400" t="s">
        <v>473</v>
      </c>
      <c r="D400" s="8">
        <v>1</v>
      </c>
      <c r="E400">
        <v>6826.0839999999998</v>
      </c>
      <c r="F400" s="2">
        <v>-4.83</v>
      </c>
      <c r="H400" s="2">
        <v>972249.11</v>
      </c>
      <c r="I400" s="16">
        <f t="shared" si="23"/>
        <v>142.43145997031388</v>
      </c>
      <c r="J400" s="2">
        <v>41785.72</v>
      </c>
      <c r="K400">
        <v>211.47499999999999</v>
      </c>
      <c r="L400" s="15">
        <f t="shared" si="21"/>
        <v>0</v>
      </c>
      <c r="M400" s="15">
        <f t="shared" si="22"/>
        <v>41785.72</v>
      </c>
      <c r="N400" s="18">
        <v>197.59164336750544</v>
      </c>
      <c r="O400" s="8">
        <v>1</v>
      </c>
      <c r="Q400">
        <f>_xlfn.XLOOKUP(A400,'CONSOLIDADO PEAJES'!H:H,'CONSOLIDADO PEAJES'!AC:AC)</f>
        <v>0</v>
      </c>
    </row>
    <row r="401" spans="1:17" x14ac:dyDescent="0.3">
      <c r="A401" t="s">
        <v>688</v>
      </c>
      <c r="B401">
        <v>1419037</v>
      </c>
      <c r="C401" t="s">
        <v>689</v>
      </c>
      <c r="D401" s="8">
        <v>1</v>
      </c>
      <c r="E401">
        <v>2906.9520000000002</v>
      </c>
      <c r="F401" s="2">
        <v>-1.05</v>
      </c>
      <c r="H401" s="2">
        <v>414041.42</v>
      </c>
      <c r="I401" s="16">
        <f t="shared" si="23"/>
        <v>142.43146085659478</v>
      </c>
      <c r="J401" s="2">
        <v>16899.63</v>
      </c>
      <c r="K401">
        <v>85.528000000000006</v>
      </c>
      <c r="L401" s="15">
        <f t="shared" si="21"/>
        <v>0</v>
      </c>
      <c r="M401" s="15">
        <f t="shared" si="22"/>
        <v>16899.63</v>
      </c>
      <c r="N401" s="18">
        <v>197.59164336750544</v>
      </c>
      <c r="O401" s="8">
        <v>1</v>
      </c>
      <c r="Q401">
        <f>_xlfn.XLOOKUP(A401,'CONSOLIDADO PEAJES'!H:H,'CONSOLIDADO PEAJES'!AC:AC)</f>
        <v>0</v>
      </c>
    </row>
    <row r="402" spans="1:17" x14ac:dyDescent="0.3">
      <c r="A402" t="s">
        <v>463</v>
      </c>
      <c r="B402">
        <v>1418010</v>
      </c>
      <c r="C402" t="s">
        <v>464</v>
      </c>
      <c r="D402" s="8">
        <v>1</v>
      </c>
      <c r="E402">
        <v>1521.9929999999999</v>
      </c>
      <c r="F402" s="2">
        <v>-2.69</v>
      </c>
      <c r="H402" s="2">
        <v>164368.78</v>
      </c>
      <c r="I402" s="16">
        <f t="shared" si="23"/>
        <v>107.99575293710286</v>
      </c>
      <c r="J402" s="2">
        <v>5193.91</v>
      </c>
      <c r="K402">
        <v>31.834</v>
      </c>
      <c r="L402" s="15">
        <f t="shared" si="21"/>
        <v>0</v>
      </c>
      <c r="M402" s="15">
        <f t="shared" si="22"/>
        <v>5193.91</v>
      </c>
      <c r="N402" s="18">
        <v>163.15598827470689</v>
      </c>
      <c r="O402" s="8">
        <v>1</v>
      </c>
      <c r="Q402">
        <f>_xlfn.XLOOKUP(A402,'CONSOLIDADO PEAJES'!H:H,'CONSOLIDADO PEAJES'!AC:AC)</f>
        <v>1</v>
      </c>
    </row>
    <row r="403" spans="1:17" x14ac:dyDescent="0.3">
      <c r="A403" t="s">
        <v>259</v>
      </c>
      <c r="B403">
        <v>1418407</v>
      </c>
      <c r="C403" t="s">
        <v>260</v>
      </c>
      <c r="D403" s="8">
        <v>1</v>
      </c>
      <c r="E403">
        <v>2232.145</v>
      </c>
      <c r="F403" s="2">
        <v>4.0199999999999996</v>
      </c>
      <c r="H403" s="2">
        <v>317927.67</v>
      </c>
      <c r="I403" s="16">
        <f t="shared" si="23"/>
        <v>142.43145942579895</v>
      </c>
      <c r="J403" s="2">
        <v>11888.31</v>
      </c>
      <c r="K403">
        <v>60.165999999999997</v>
      </c>
      <c r="L403" s="15">
        <f t="shared" si="21"/>
        <v>0</v>
      </c>
      <c r="M403" s="15">
        <f t="shared" si="22"/>
        <v>11888.31</v>
      </c>
      <c r="N403" s="18">
        <v>197.59164336750544</v>
      </c>
      <c r="O403" s="8">
        <v>1</v>
      </c>
      <c r="Q403">
        <f>_xlfn.XLOOKUP(A403,'CONSOLIDADO PEAJES'!H:H,'CONSOLIDADO PEAJES'!AC:AC)</f>
        <v>0</v>
      </c>
    </row>
    <row r="404" spans="1:17" x14ac:dyDescent="0.3">
      <c r="A404" t="s">
        <v>703</v>
      </c>
      <c r="B404">
        <v>1418635</v>
      </c>
      <c r="C404" t="s">
        <v>704</v>
      </c>
      <c r="D404" s="8">
        <v>1</v>
      </c>
      <c r="E404">
        <v>1998.595</v>
      </c>
      <c r="F404" s="2">
        <v>-1.43</v>
      </c>
      <c r="H404" s="2">
        <v>284662.8</v>
      </c>
      <c r="I404" s="16">
        <f t="shared" si="23"/>
        <v>142.43145809931477</v>
      </c>
      <c r="J404" s="2">
        <v>14158.63</v>
      </c>
      <c r="K404">
        <v>71.656000000000006</v>
      </c>
      <c r="L404" s="15">
        <f t="shared" si="21"/>
        <v>0</v>
      </c>
      <c r="M404" s="15">
        <f t="shared" si="22"/>
        <v>14158.63</v>
      </c>
      <c r="N404" s="18">
        <v>197.59164336750544</v>
      </c>
      <c r="O404" s="8">
        <v>1</v>
      </c>
      <c r="Q404">
        <f>_xlfn.XLOOKUP(A404,'CONSOLIDADO PEAJES'!H:H,'CONSOLIDADO PEAJES'!AC:AC)</f>
        <v>0</v>
      </c>
    </row>
    <row r="405" spans="1:17" x14ac:dyDescent="0.3">
      <c r="A405" t="s">
        <v>685</v>
      </c>
      <c r="B405">
        <v>1419804</v>
      </c>
      <c r="C405" t="s">
        <v>686</v>
      </c>
      <c r="D405" s="8">
        <v>1</v>
      </c>
      <c r="E405">
        <v>2377.5880000000002</v>
      </c>
      <c r="F405" s="2">
        <v>4.7300000000000004</v>
      </c>
      <c r="H405" s="2">
        <v>338643.33</v>
      </c>
      <c r="I405" s="16">
        <f t="shared" si="23"/>
        <v>142.43145995016798</v>
      </c>
      <c r="J405" s="2">
        <v>9341.94</v>
      </c>
      <c r="K405">
        <v>47.279000000000003</v>
      </c>
      <c r="L405" s="15">
        <f t="shared" si="21"/>
        <v>0</v>
      </c>
      <c r="M405" s="15">
        <f t="shared" si="22"/>
        <v>9341.94</v>
      </c>
      <c r="N405" s="18">
        <v>197.59164336750544</v>
      </c>
      <c r="O405" s="8">
        <v>1</v>
      </c>
      <c r="Q405">
        <f>_xlfn.XLOOKUP(A405,'CONSOLIDADO PEAJES'!H:H,'CONSOLIDADO PEAJES'!AC:AC)</f>
        <v>0</v>
      </c>
    </row>
    <row r="406" spans="1:17" x14ac:dyDescent="0.3">
      <c r="A406" t="s">
        <v>851</v>
      </c>
      <c r="B406">
        <v>1418863</v>
      </c>
      <c r="C406" t="s">
        <v>852</v>
      </c>
      <c r="D406" s="8">
        <v>1</v>
      </c>
      <c r="E406">
        <v>895.755</v>
      </c>
      <c r="F406" s="2">
        <v>4.57</v>
      </c>
      <c r="H406" s="2">
        <v>127583.69</v>
      </c>
      <c r="I406" s="16">
        <f t="shared" si="23"/>
        <v>142.43145726230946</v>
      </c>
      <c r="J406" s="2">
        <v>3811.74</v>
      </c>
      <c r="K406">
        <v>19.291</v>
      </c>
      <c r="L406" s="15">
        <f t="shared" si="21"/>
        <v>0</v>
      </c>
      <c r="M406" s="15">
        <f t="shared" si="22"/>
        <v>3811.74</v>
      </c>
      <c r="N406" s="18">
        <v>197.59164336750544</v>
      </c>
      <c r="O406" s="8">
        <v>1</v>
      </c>
      <c r="Q406">
        <f>_xlfn.XLOOKUP(A406,'CONSOLIDADO PEAJES'!H:H,'CONSOLIDADO PEAJES'!AC:AC)</f>
        <v>0</v>
      </c>
    </row>
    <row r="407" spans="1:17" x14ac:dyDescent="0.3">
      <c r="A407" t="s">
        <v>475</v>
      </c>
      <c r="B407">
        <v>1418636</v>
      </c>
      <c r="C407" t="s">
        <v>476</v>
      </c>
      <c r="D407" s="8">
        <v>1</v>
      </c>
      <c r="E407">
        <v>912.154</v>
      </c>
      <c r="F407" s="2">
        <v>3.62</v>
      </c>
      <c r="H407" s="2">
        <v>129919.43</v>
      </c>
      <c r="I407" s="16">
        <f t="shared" si="23"/>
        <v>142.43146442377054</v>
      </c>
      <c r="J407" s="2">
        <v>3236.95</v>
      </c>
      <c r="K407">
        <v>16.382000000000001</v>
      </c>
      <c r="L407" s="15">
        <f t="shared" si="21"/>
        <v>0</v>
      </c>
      <c r="M407" s="15">
        <f t="shared" si="22"/>
        <v>3236.95</v>
      </c>
      <c r="N407" s="18">
        <v>197.59164336750544</v>
      </c>
      <c r="O407" s="8">
        <v>1</v>
      </c>
      <c r="Q407">
        <f>_xlfn.XLOOKUP(A407,'CONSOLIDADO PEAJES'!H:H,'CONSOLIDADO PEAJES'!AC:AC)</f>
        <v>0</v>
      </c>
    </row>
    <row r="408" spans="1:17" x14ac:dyDescent="0.3">
      <c r="A408" t="s">
        <v>301</v>
      </c>
      <c r="B408">
        <v>1418637</v>
      </c>
      <c r="C408" t="s">
        <v>302</v>
      </c>
      <c r="D408" s="8">
        <v>1</v>
      </c>
      <c r="E408">
        <v>1278.7860000000001</v>
      </c>
      <c r="F408" s="2">
        <v>-0.18</v>
      </c>
      <c r="H408" s="2">
        <v>182139.36</v>
      </c>
      <c r="I408" s="16">
        <f t="shared" si="23"/>
        <v>142.43146234006315</v>
      </c>
      <c r="J408" s="2">
        <v>6200.82</v>
      </c>
      <c r="K408">
        <v>31.382000000000001</v>
      </c>
      <c r="L408" s="15">
        <f t="shared" si="21"/>
        <v>0</v>
      </c>
      <c r="M408" s="15">
        <f t="shared" si="22"/>
        <v>6200.82</v>
      </c>
      <c r="N408" s="18">
        <v>197.59164336750544</v>
      </c>
      <c r="O408" s="8">
        <v>1</v>
      </c>
      <c r="Q408">
        <f>_xlfn.XLOOKUP(A408,'CONSOLIDADO PEAJES'!H:H,'CONSOLIDADO PEAJES'!AC:AC)</f>
        <v>0</v>
      </c>
    </row>
    <row r="409" spans="1:17" x14ac:dyDescent="0.3">
      <c r="A409" t="s">
        <v>1419</v>
      </c>
      <c r="B409">
        <v>1418638</v>
      </c>
      <c r="C409" t="s">
        <v>1420</v>
      </c>
      <c r="D409" s="8">
        <v>1</v>
      </c>
      <c r="E409">
        <v>2360.105</v>
      </c>
      <c r="F409" s="2">
        <v>-2.4300000000000002</v>
      </c>
      <c r="H409" s="2">
        <v>254881.31</v>
      </c>
      <c r="I409" s="16">
        <f t="shared" si="23"/>
        <v>107.99575018908057</v>
      </c>
      <c r="J409" s="2">
        <v>8871.1200000000008</v>
      </c>
      <c r="K409">
        <v>54.372</v>
      </c>
      <c r="L409" s="15">
        <f t="shared" si="21"/>
        <v>0</v>
      </c>
      <c r="M409" s="15">
        <f t="shared" si="22"/>
        <v>8871.1200000000008</v>
      </c>
      <c r="N409" s="18">
        <v>163.15598827470689</v>
      </c>
      <c r="O409" s="8">
        <v>1</v>
      </c>
      <c r="Q409">
        <f>_xlfn.XLOOKUP(A409,'CONSOLIDADO PEAJES'!H:H,'CONSOLIDADO PEAJES'!AC:AC)</f>
        <v>1</v>
      </c>
    </row>
    <row r="410" spans="1:17" x14ac:dyDescent="0.3">
      <c r="A410" t="s">
        <v>1500</v>
      </c>
      <c r="B410">
        <v>1421898</v>
      </c>
      <c r="C410" t="s">
        <v>1501</v>
      </c>
      <c r="D410" s="8">
        <v>1</v>
      </c>
      <c r="E410">
        <v>1486.693</v>
      </c>
      <c r="F410" s="2">
        <v>-0.67</v>
      </c>
      <c r="H410" s="2">
        <v>211751.85</v>
      </c>
      <c r="I410" s="16">
        <f t="shared" si="23"/>
        <v>142.43145693159246</v>
      </c>
      <c r="J410" s="2">
        <v>4428.82</v>
      </c>
      <c r="K410">
        <v>22.414000000000001</v>
      </c>
      <c r="L410" s="15">
        <f t="shared" si="21"/>
        <v>0</v>
      </c>
      <c r="M410" s="15">
        <f t="shared" si="22"/>
        <v>4428.82</v>
      </c>
      <c r="N410" s="18">
        <v>197.59164336750544</v>
      </c>
      <c r="O410" s="8">
        <v>1</v>
      </c>
      <c r="Q410">
        <f>_xlfn.XLOOKUP(A410,'CONSOLIDADO PEAJES'!H:H,'CONSOLIDADO PEAJES'!AC:AC)</f>
        <v>0</v>
      </c>
    </row>
    <row r="411" spans="1:17" x14ac:dyDescent="0.3">
      <c r="A411" t="s">
        <v>343</v>
      </c>
      <c r="B411">
        <v>1420049</v>
      </c>
      <c r="C411" t="s">
        <v>344</v>
      </c>
      <c r="D411" s="8">
        <v>1</v>
      </c>
      <c r="E411">
        <v>1402.845</v>
      </c>
      <c r="F411" s="2">
        <v>-2.56</v>
      </c>
      <c r="H411" s="2">
        <v>199809.26</v>
      </c>
      <c r="I411" s="16">
        <f t="shared" si="23"/>
        <v>142.43145892810682</v>
      </c>
      <c r="J411" s="2">
        <v>6293.3</v>
      </c>
      <c r="K411">
        <v>31.85</v>
      </c>
      <c r="L411" s="15">
        <f t="shared" si="21"/>
        <v>0</v>
      </c>
      <c r="M411" s="15">
        <f t="shared" si="22"/>
        <v>6293.3</v>
      </c>
      <c r="N411" s="18">
        <v>197.59164336750544</v>
      </c>
      <c r="O411" s="8">
        <v>1</v>
      </c>
      <c r="Q411">
        <f>_xlfn.XLOOKUP(A411,'CONSOLIDADO PEAJES'!H:H,'CONSOLIDADO PEAJES'!AC:AC)</f>
        <v>0</v>
      </c>
    </row>
    <row r="412" spans="1:17" x14ac:dyDescent="0.3">
      <c r="A412" t="s">
        <v>1570</v>
      </c>
      <c r="B412">
        <v>1418879</v>
      </c>
      <c r="C412" t="s">
        <v>1571</v>
      </c>
      <c r="D412" s="8">
        <v>1</v>
      </c>
      <c r="E412">
        <v>1908.4159999999999</v>
      </c>
      <c r="F412" s="2">
        <v>1.52</v>
      </c>
      <c r="H412" s="2">
        <v>271818.48</v>
      </c>
      <c r="I412" s="16">
        <f t="shared" si="23"/>
        <v>142.43146148428855</v>
      </c>
      <c r="L412" s="15">
        <f t="shared" si="21"/>
        <v>0</v>
      </c>
      <c r="M412" s="15">
        <f t="shared" si="22"/>
        <v>0</v>
      </c>
      <c r="N412" s="18">
        <v>197.59164336750544</v>
      </c>
      <c r="O412" s="8">
        <v>1</v>
      </c>
      <c r="Q412">
        <f>_xlfn.XLOOKUP(A412,'CONSOLIDADO PEAJES'!H:H,'CONSOLIDADO PEAJES'!AC:AC)</f>
        <v>0</v>
      </c>
    </row>
    <row r="413" spans="1:17" x14ac:dyDescent="0.3">
      <c r="A413" t="s">
        <v>937</v>
      </c>
      <c r="B413">
        <v>1418882</v>
      </c>
      <c r="C413" t="s">
        <v>938</v>
      </c>
      <c r="D413" s="8">
        <v>1</v>
      </c>
      <c r="E413">
        <v>1593.752</v>
      </c>
      <c r="F413" s="2">
        <v>1.56</v>
      </c>
      <c r="H413" s="2">
        <v>172118.44</v>
      </c>
      <c r="I413" s="16">
        <f t="shared" si="23"/>
        <v>107.99574839749221</v>
      </c>
      <c r="L413" s="15">
        <f t="shared" si="21"/>
        <v>0</v>
      </c>
      <c r="M413" s="15">
        <f t="shared" si="22"/>
        <v>0</v>
      </c>
      <c r="N413" s="18">
        <v>163.15598827470689</v>
      </c>
      <c r="O413" s="8">
        <v>1</v>
      </c>
      <c r="Q413">
        <f>_xlfn.XLOOKUP(A413,'CONSOLIDADO PEAJES'!H:H,'CONSOLIDADO PEAJES'!AC:AC)</f>
        <v>1</v>
      </c>
    </row>
    <row r="414" spans="1:17" x14ac:dyDescent="0.3">
      <c r="A414" t="s">
        <v>615</v>
      </c>
      <c r="B414">
        <v>1420310</v>
      </c>
      <c r="C414" t="s">
        <v>616</v>
      </c>
      <c r="D414" s="8">
        <v>1</v>
      </c>
      <c r="E414">
        <v>125.774</v>
      </c>
      <c r="F414" s="2">
        <v>-4.17</v>
      </c>
      <c r="H414" s="2">
        <v>17914.169999999998</v>
      </c>
      <c r="I414" s="16">
        <f t="shared" si="23"/>
        <v>142.43142461876062</v>
      </c>
      <c r="L414" s="15">
        <f t="shared" si="21"/>
        <v>0</v>
      </c>
      <c r="M414" s="15">
        <f t="shared" si="22"/>
        <v>0</v>
      </c>
      <c r="N414" s="18">
        <v>197.59164336750544</v>
      </c>
      <c r="O414" s="8">
        <v>1</v>
      </c>
      <c r="Q414">
        <f>_xlfn.XLOOKUP(A414,'CONSOLIDADO PEAJES'!H:H,'CONSOLIDADO PEAJES'!AC:AC)</f>
        <v>0</v>
      </c>
    </row>
    <row r="415" spans="1:17" x14ac:dyDescent="0.3">
      <c r="A415" t="s">
        <v>1334</v>
      </c>
      <c r="B415">
        <v>1418675</v>
      </c>
      <c r="C415" t="s">
        <v>1335</v>
      </c>
      <c r="D415" s="8">
        <v>1</v>
      </c>
      <c r="E415">
        <v>1540.222</v>
      </c>
      <c r="F415" s="2">
        <v>1.1499999999999999</v>
      </c>
      <c r="H415" s="2">
        <v>219376.07</v>
      </c>
      <c r="I415" s="16">
        <f t="shared" si="23"/>
        <v>142.43146117897291</v>
      </c>
      <c r="J415" s="2">
        <v>3742.78</v>
      </c>
      <c r="K415">
        <v>18.942</v>
      </c>
      <c r="L415" s="15">
        <f t="shared" si="21"/>
        <v>0</v>
      </c>
      <c r="M415" s="15">
        <f t="shared" si="22"/>
        <v>3742.78</v>
      </c>
      <c r="N415" s="18">
        <v>197.59164336750544</v>
      </c>
      <c r="O415" s="8">
        <v>1</v>
      </c>
      <c r="Q415">
        <f>_xlfn.XLOOKUP(A415,'CONSOLIDADO PEAJES'!H:H,'CONSOLIDADO PEAJES'!AC:AC)</f>
        <v>0</v>
      </c>
    </row>
    <row r="416" spans="1:17" x14ac:dyDescent="0.3">
      <c r="A416" t="s">
        <v>1075</v>
      </c>
      <c r="B416">
        <v>1419801</v>
      </c>
      <c r="C416" t="s">
        <v>1076</v>
      </c>
      <c r="D416" s="8">
        <v>1</v>
      </c>
      <c r="E416">
        <v>1367.248</v>
      </c>
      <c r="F416" s="2">
        <v>2.1</v>
      </c>
      <c r="H416" s="2">
        <v>194739.13</v>
      </c>
      <c r="I416" s="16">
        <f t="shared" si="23"/>
        <v>142.4314608615262</v>
      </c>
      <c r="J416" s="2">
        <v>1298.77</v>
      </c>
      <c r="K416">
        <v>6.5730000000000004</v>
      </c>
      <c r="L416" s="15">
        <f t="shared" si="21"/>
        <v>0</v>
      </c>
      <c r="M416" s="15">
        <f t="shared" si="22"/>
        <v>1298.77</v>
      </c>
      <c r="N416" s="18">
        <v>197.59164336750544</v>
      </c>
      <c r="O416" s="8">
        <v>1</v>
      </c>
      <c r="Q416">
        <f>_xlfn.XLOOKUP(A416,'CONSOLIDADO PEAJES'!H:H,'CONSOLIDADO PEAJES'!AC:AC)</f>
        <v>0</v>
      </c>
    </row>
    <row r="417" spans="1:17" x14ac:dyDescent="0.3">
      <c r="A417" t="s">
        <v>290</v>
      </c>
      <c r="B417">
        <v>1420087</v>
      </c>
      <c r="C417" t="s">
        <v>291</v>
      </c>
      <c r="D417" s="8">
        <v>1</v>
      </c>
      <c r="E417">
        <v>960.35699999999997</v>
      </c>
      <c r="F417" s="2">
        <v>-0.95</v>
      </c>
      <c r="H417" s="2">
        <v>136785.04999999999</v>
      </c>
      <c r="I417" s="16">
        <f t="shared" si="23"/>
        <v>142.43146038400303</v>
      </c>
      <c r="J417" s="2">
        <v>3355.9</v>
      </c>
      <c r="K417">
        <v>16.984000000000002</v>
      </c>
      <c r="L417" s="15">
        <f t="shared" si="21"/>
        <v>0</v>
      </c>
      <c r="M417" s="15">
        <f t="shared" si="22"/>
        <v>3355.9</v>
      </c>
      <c r="N417" s="18">
        <v>197.59164336750544</v>
      </c>
      <c r="O417" s="8">
        <v>1</v>
      </c>
      <c r="Q417">
        <f>_xlfn.XLOOKUP(A417,'CONSOLIDADO PEAJES'!H:H,'CONSOLIDADO PEAJES'!AC:AC)</f>
        <v>0</v>
      </c>
    </row>
    <row r="418" spans="1:17" x14ac:dyDescent="0.3">
      <c r="A418" t="s">
        <v>1286</v>
      </c>
      <c r="B418">
        <v>1420781</v>
      </c>
      <c r="C418" t="s">
        <v>1287</v>
      </c>
      <c r="D418" s="8">
        <v>1</v>
      </c>
      <c r="E418">
        <v>3930.0219999999999</v>
      </c>
      <c r="F418" s="2">
        <v>3.07</v>
      </c>
      <c r="H418" s="2">
        <v>559758.77</v>
      </c>
      <c r="I418" s="16">
        <f t="shared" si="23"/>
        <v>142.43145967121814</v>
      </c>
      <c r="J418" s="2">
        <v>2908.16</v>
      </c>
      <c r="K418">
        <v>14.718</v>
      </c>
      <c r="L418" s="15">
        <f t="shared" si="21"/>
        <v>0</v>
      </c>
      <c r="M418" s="15">
        <f t="shared" si="22"/>
        <v>2908.16</v>
      </c>
      <c r="N418" s="18">
        <v>197.59164336750544</v>
      </c>
      <c r="O418" s="8">
        <v>1</v>
      </c>
      <c r="Q418">
        <f>_xlfn.XLOOKUP(A418,'CONSOLIDADO PEAJES'!H:H,'CONSOLIDADO PEAJES'!AC:AC)</f>
        <v>0</v>
      </c>
    </row>
    <row r="419" spans="1:17" x14ac:dyDescent="0.3">
      <c r="A419" t="s">
        <v>949</v>
      </c>
      <c r="B419">
        <v>1425189</v>
      </c>
      <c r="C419" t="s">
        <v>950</v>
      </c>
      <c r="D419" s="8">
        <v>1</v>
      </c>
      <c r="E419">
        <v>464.77199999999999</v>
      </c>
      <c r="F419" s="2">
        <v>2.57</v>
      </c>
      <c r="H419" s="2">
        <v>50193.4</v>
      </c>
      <c r="I419" s="16">
        <f t="shared" si="23"/>
        <v>107.99574845300492</v>
      </c>
      <c r="J419" s="2">
        <v>5374.03</v>
      </c>
      <c r="K419">
        <v>32.938000000000002</v>
      </c>
      <c r="L419" s="15">
        <f t="shared" si="21"/>
        <v>0</v>
      </c>
      <c r="M419" s="15">
        <f t="shared" si="22"/>
        <v>5374.03</v>
      </c>
      <c r="N419" s="18">
        <v>163.15598827470689</v>
      </c>
      <c r="O419" s="8">
        <v>1</v>
      </c>
      <c r="Q419">
        <f>_xlfn.XLOOKUP(A419,'CONSOLIDADO PEAJES'!H:H,'CONSOLIDADO PEAJES'!AC:AC)</f>
        <v>1</v>
      </c>
    </row>
    <row r="420" spans="1:17" x14ac:dyDescent="0.3">
      <c r="A420" t="s">
        <v>1084</v>
      </c>
      <c r="B420">
        <v>1420744</v>
      </c>
      <c r="C420" t="s">
        <v>1085</v>
      </c>
      <c r="D420" s="8">
        <v>1</v>
      </c>
      <c r="E420">
        <v>2224.1329999999998</v>
      </c>
      <c r="F420" s="2">
        <v>2.63</v>
      </c>
      <c r="H420" s="2">
        <v>316786.51</v>
      </c>
      <c r="I420" s="16">
        <f t="shared" si="23"/>
        <v>142.43145980928301</v>
      </c>
      <c r="J420" s="2">
        <v>290.86</v>
      </c>
      <c r="K420">
        <v>1.472</v>
      </c>
      <c r="L420" s="15">
        <f t="shared" si="21"/>
        <v>0</v>
      </c>
      <c r="M420" s="15">
        <f t="shared" si="22"/>
        <v>290.86</v>
      </c>
      <c r="N420" s="18">
        <v>197.59164336750544</v>
      </c>
      <c r="O420" s="8">
        <v>1</v>
      </c>
      <c r="Q420">
        <f>_xlfn.XLOOKUP(A420,'CONSOLIDADO PEAJES'!H:H,'CONSOLIDADO PEAJES'!AC:AC)</f>
        <v>0</v>
      </c>
    </row>
    <row r="421" spans="1:17" x14ac:dyDescent="0.3">
      <c r="A421" t="s">
        <v>682</v>
      </c>
      <c r="B421">
        <v>1420739</v>
      </c>
      <c r="C421" t="s">
        <v>683</v>
      </c>
      <c r="D421" s="8">
        <v>1</v>
      </c>
      <c r="E421">
        <v>2725.3679999999999</v>
      </c>
      <c r="F421" s="2">
        <v>-3.91</v>
      </c>
      <c r="H421" s="2">
        <v>294328.15999999997</v>
      </c>
      <c r="I421" s="16">
        <f t="shared" si="23"/>
        <v>107.99574956482941</v>
      </c>
      <c r="J421" s="2">
        <v>7865.75</v>
      </c>
      <c r="K421">
        <v>48.21</v>
      </c>
      <c r="L421" s="15">
        <f t="shared" si="21"/>
        <v>0</v>
      </c>
      <c r="M421" s="15">
        <f t="shared" si="22"/>
        <v>7865.75</v>
      </c>
      <c r="N421" s="18">
        <v>163.15598827470689</v>
      </c>
      <c r="O421" s="8">
        <v>1</v>
      </c>
      <c r="Q421">
        <f>_xlfn.XLOOKUP(A421,'CONSOLIDADO PEAJES'!H:H,'CONSOLIDADO PEAJES'!AC:AC)</f>
        <v>1</v>
      </c>
    </row>
    <row r="422" spans="1:17" x14ac:dyDescent="0.3">
      <c r="A422" t="s">
        <v>745</v>
      </c>
      <c r="B422">
        <v>1424122</v>
      </c>
      <c r="C422" t="s">
        <v>746</v>
      </c>
      <c r="D422" s="8">
        <v>1</v>
      </c>
      <c r="E422">
        <v>2444.1179999999999</v>
      </c>
      <c r="F422" s="2">
        <v>-3.56</v>
      </c>
      <c r="H422" s="2">
        <v>348119.3</v>
      </c>
      <c r="I422" s="16">
        <f t="shared" si="23"/>
        <v>142.43146198342305</v>
      </c>
      <c r="J422" s="2">
        <v>2374.2600000000002</v>
      </c>
      <c r="K422">
        <v>12.016</v>
      </c>
      <c r="L422" s="15">
        <f t="shared" si="21"/>
        <v>0</v>
      </c>
      <c r="M422" s="15">
        <f t="shared" si="22"/>
        <v>2374.2600000000002</v>
      </c>
      <c r="N422" s="18">
        <v>197.59164336750544</v>
      </c>
      <c r="O422" s="8">
        <v>1</v>
      </c>
      <c r="Q422">
        <f>_xlfn.XLOOKUP(A422,'CONSOLIDADO PEAJES'!H:H,'CONSOLIDADO PEAJES'!AC:AC)</f>
        <v>0</v>
      </c>
    </row>
    <row r="423" spans="1:17" x14ac:dyDescent="0.3">
      <c r="A423" t="s">
        <v>1452</v>
      </c>
      <c r="B423">
        <v>1426324</v>
      </c>
      <c r="C423" t="s">
        <v>1453</v>
      </c>
      <c r="D423" s="8">
        <v>1</v>
      </c>
      <c r="E423">
        <v>15699.027</v>
      </c>
      <c r="F423" s="2">
        <v>-4.3600000000000003</v>
      </c>
      <c r="H423" s="2">
        <v>2236035.34</v>
      </c>
      <c r="I423" s="16">
        <f t="shared" si="23"/>
        <v>142.43146024272713</v>
      </c>
      <c r="J423" s="2">
        <v>39759.019999999997</v>
      </c>
      <c r="K423">
        <v>201.21799999999999</v>
      </c>
      <c r="L423" s="15">
        <f t="shared" si="21"/>
        <v>0</v>
      </c>
      <c r="M423" s="15">
        <f t="shared" si="22"/>
        <v>39759.019999999997</v>
      </c>
      <c r="N423" s="18">
        <v>197.59164336750544</v>
      </c>
      <c r="O423" s="8">
        <v>1</v>
      </c>
      <c r="Q423">
        <f>_xlfn.XLOOKUP(A423,'CONSOLIDADO PEAJES'!H:H,'CONSOLIDADO PEAJES'!AC:AC)</f>
        <v>0</v>
      </c>
    </row>
    <row r="424" spans="1:17" x14ac:dyDescent="0.3">
      <c r="A424" t="s">
        <v>674</v>
      </c>
      <c r="B424">
        <v>1424496</v>
      </c>
      <c r="C424" t="s">
        <v>675</v>
      </c>
      <c r="D424" s="8">
        <v>1</v>
      </c>
      <c r="E424">
        <v>1190.8900000000001</v>
      </c>
      <c r="F424" s="2">
        <v>3.79</v>
      </c>
      <c r="H424" s="2">
        <v>169620.2</v>
      </c>
      <c r="I424" s="16">
        <f t="shared" si="23"/>
        <v>142.43145882491245</v>
      </c>
      <c r="J424" s="2">
        <v>1066.01</v>
      </c>
      <c r="K424">
        <v>5.3949999999999996</v>
      </c>
      <c r="L424" s="15">
        <f t="shared" si="21"/>
        <v>0</v>
      </c>
      <c r="M424" s="15">
        <f t="shared" si="22"/>
        <v>1066.01</v>
      </c>
      <c r="N424" s="18">
        <v>197.59164336750544</v>
      </c>
      <c r="O424" s="8">
        <v>1</v>
      </c>
      <c r="Q424">
        <f>_xlfn.XLOOKUP(A424,'CONSOLIDADO PEAJES'!H:H,'CONSOLIDADO PEAJES'!AC:AC)</f>
        <v>0</v>
      </c>
    </row>
    <row r="425" spans="1:17" x14ac:dyDescent="0.3">
      <c r="A425" t="s">
        <v>1292</v>
      </c>
      <c r="B425">
        <v>1425190</v>
      </c>
      <c r="C425" t="s">
        <v>1293</v>
      </c>
      <c r="D425" s="8">
        <v>1</v>
      </c>
      <c r="E425">
        <v>1452.0409999999999</v>
      </c>
      <c r="F425" s="2">
        <v>-4.71</v>
      </c>
      <c r="H425" s="2">
        <v>156814.26</v>
      </c>
      <c r="I425" s="16">
        <f t="shared" si="23"/>
        <v>107.99575218606087</v>
      </c>
      <c r="J425" s="2">
        <v>4750.45</v>
      </c>
      <c r="K425">
        <v>29.116</v>
      </c>
      <c r="L425" s="15">
        <f t="shared" si="21"/>
        <v>0</v>
      </c>
      <c r="M425" s="15">
        <f t="shared" si="22"/>
        <v>4750.45</v>
      </c>
      <c r="N425" s="18">
        <v>163.15598827470689</v>
      </c>
      <c r="O425" s="8">
        <v>1</v>
      </c>
      <c r="Q425">
        <f>_xlfn.XLOOKUP(A425,'CONSOLIDADO PEAJES'!H:H,'CONSOLIDADO PEAJES'!AC:AC)</f>
        <v>1</v>
      </c>
    </row>
    <row r="426" spans="1:17" x14ac:dyDescent="0.3">
      <c r="A426" t="s">
        <v>496</v>
      </c>
      <c r="B426">
        <v>1428403</v>
      </c>
      <c r="C426" t="s">
        <v>497</v>
      </c>
      <c r="D426" s="8">
        <v>1</v>
      </c>
      <c r="E426">
        <v>1204.2460000000001</v>
      </c>
      <c r="F426" s="2">
        <v>-3.45</v>
      </c>
      <c r="H426" s="2">
        <v>130053.45</v>
      </c>
      <c r="I426" s="16">
        <f t="shared" si="23"/>
        <v>107.99575003778297</v>
      </c>
      <c r="L426" s="15">
        <f t="shared" si="21"/>
        <v>0</v>
      </c>
      <c r="M426" s="15">
        <f t="shared" si="22"/>
        <v>0</v>
      </c>
      <c r="N426" s="18">
        <v>163.15598827470689</v>
      </c>
      <c r="O426" s="8">
        <v>1</v>
      </c>
      <c r="Q426">
        <f>_xlfn.XLOOKUP(A426,'CONSOLIDADO PEAJES'!H:H,'CONSOLIDADO PEAJES'!AC:AC)</f>
        <v>1</v>
      </c>
    </row>
    <row r="427" spans="1:17" x14ac:dyDescent="0.3">
      <c r="A427" t="s">
        <v>1298</v>
      </c>
      <c r="B427">
        <v>1428402</v>
      </c>
      <c r="C427" t="s">
        <v>1299</v>
      </c>
      <c r="D427" s="8">
        <v>1</v>
      </c>
      <c r="E427">
        <v>0</v>
      </c>
      <c r="F427" s="2">
        <v>0</v>
      </c>
      <c r="H427" s="2">
        <v>0</v>
      </c>
      <c r="I427" s="16" t="e">
        <f t="shared" si="23"/>
        <v>#DIV/0!</v>
      </c>
      <c r="L427" s="15">
        <f t="shared" si="21"/>
        <v>0</v>
      </c>
      <c r="M427" s="15">
        <f t="shared" si="22"/>
        <v>0</v>
      </c>
      <c r="N427" s="18" t="e">
        <f t="shared" ref="N387:N450" si="24">M427/K427/O427</f>
        <v>#DIV/0!</v>
      </c>
      <c r="O427" s="8">
        <v>1</v>
      </c>
      <c r="Q427">
        <f>_xlfn.XLOOKUP(A427,'CONSOLIDADO PEAJES'!H:H,'CONSOLIDADO PEAJES'!AC:AC)</f>
        <v>1</v>
      </c>
    </row>
    <row r="428" spans="1:17" x14ac:dyDescent="0.3">
      <c r="A428" t="s">
        <v>967</v>
      </c>
      <c r="B428">
        <v>1428401</v>
      </c>
      <c r="C428" t="s">
        <v>968</v>
      </c>
      <c r="D428" s="8">
        <v>1</v>
      </c>
      <c r="E428">
        <v>2520.192</v>
      </c>
      <c r="F428" s="2">
        <v>-0.28999999999999998</v>
      </c>
      <c r="H428" s="2">
        <v>272170.03000000003</v>
      </c>
      <c r="I428" s="16">
        <f t="shared" si="23"/>
        <v>107.99575191096552</v>
      </c>
      <c r="J428" s="2">
        <v>4790.26</v>
      </c>
      <c r="K428">
        <v>29.36</v>
      </c>
      <c r="L428" s="15">
        <f t="shared" si="21"/>
        <v>0</v>
      </c>
      <c r="M428" s="15">
        <f t="shared" si="22"/>
        <v>4790.26</v>
      </c>
      <c r="N428" s="18">
        <v>163.15598827470689</v>
      </c>
      <c r="O428" s="8">
        <v>1</v>
      </c>
      <c r="Q428">
        <f>_xlfn.XLOOKUP(A428,'CONSOLIDADO PEAJES'!H:H,'CONSOLIDADO PEAJES'!AC:AC)</f>
        <v>1</v>
      </c>
    </row>
    <row r="429" spans="1:17" x14ac:dyDescent="0.3">
      <c r="A429" t="s">
        <v>1057</v>
      </c>
      <c r="B429">
        <v>1428548</v>
      </c>
      <c r="C429" t="s">
        <v>1058</v>
      </c>
      <c r="D429" s="8">
        <v>1</v>
      </c>
      <c r="E429">
        <v>1274.373</v>
      </c>
      <c r="F429" s="2">
        <v>-1.19</v>
      </c>
      <c r="H429" s="2">
        <v>137626.87</v>
      </c>
      <c r="I429" s="16">
        <f t="shared" si="23"/>
        <v>107.99575163629486</v>
      </c>
      <c r="J429" s="2">
        <v>7204.32</v>
      </c>
      <c r="K429">
        <v>44.155999999999999</v>
      </c>
      <c r="L429" s="15">
        <f t="shared" si="21"/>
        <v>0</v>
      </c>
      <c r="M429" s="15">
        <f t="shared" si="22"/>
        <v>7204.32</v>
      </c>
      <c r="N429" s="18">
        <v>163.15598827470689</v>
      </c>
      <c r="O429" s="8">
        <v>1</v>
      </c>
      <c r="Q429">
        <f>_xlfn.XLOOKUP(A429,'CONSOLIDADO PEAJES'!H:H,'CONSOLIDADO PEAJES'!AC:AC)</f>
        <v>1</v>
      </c>
    </row>
    <row r="430" spans="1:17" x14ac:dyDescent="0.3">
      <c r="A430" t="s">
        <v>640</v>
      </c>
      <c r="B430">
        <v>1428549</v>
      </c>
      <c r="C430" t="s">
        <v>641</v>
      </c>
      <c r="D430" s="8">
        <v>1</v>
      </c>
      <c r="E430">
        <v>1518.7360000000001</v>
      </c>
      <c r="F430" s="2">
        <v>4.38</v>
      </c>
      <c r="H430" s="2">
        <v>164017.03</v>
      </c>
      <c r="I430" s="16">
        <f t="shared" si="23"/>
        <v>107.99574777973261</v>
      </c>
      <c r="J430" s="2">
        <v>13078.59</v>
      </c>
      <c r="K430">
        <v>80.16</v>
      </c>
      <c r="L430" s="15">
        <f t="shared" si="21"/>
        <v>0</v>
      </c>
      <c r="M430" s="15">
        <f t="shared" si="22"/>
        <v>13078.59</v>
      </c>
      <c r="N430" s="18">
        <v>163.15598827470689</v>
      </c>
      <c r="O430" s="8">
        <v>1</v>
      </c>
      <c r="Q430">
        <f>_xlfn.XLOOKUP(A430,'CONSOLIDADO PEAJES'!H:H,'CONSOLIDADO PEAJES'!AC:AC)</f>
        <v>1</v>
      </c>
    </row>
    <row r="431" spans="1:17" x14ac:dyDescent="0.3">
      <c r="A431" t="s">
        <v>1099</v>
      </c>
      <c r="B431">
        <v>1428552</v>
      </c>
      <c r="C431" t="s">
        <v>1100</v>
      </c>
      <c r="D431" s="8">
        <v>1</v>
      </c>
      <c r="E431">
        <v>2831.6840000000002</v>
      </c>
      <c r="F431" s="2">
        <v>-4.1500000000000004</v>
      </c>
      <c r="H431" s="2">
        <v>305809.84000000003</v>
      </c>
      <c r="I431" s="16">
        <f t="shared" si="23"/>
        <v>107.99575093831092</v>
      </c>
      <c r="J431" s="2">
        <v>82734.31</v>
      </c>
      <c r="K431">
        <v>507.08699999999999</v>
      </c>
      <c r="L431" s="15">
        <f t="shared" si="21"/>
        <v>0</v>
      </c>
      <c r="M431" s="15">
        <f t="shared" si="22"/>
        <v>82734.31</v>
      </c>
      <c r="N431" s="18">
        <v>163.15598827470689</v>
      </c>
      <c r="O431" s="8">
        <v>1</v>
      </c>
      <c r="Q431">
        <f>_xlfn.XLOOKUP(A431,'CONSOLIDADO PEAJES'!H:H,'CONSOLIDADO PEAJES'!AC:AC)</f>
        <v>1</v>
      </c>
    </row>
    <row r="432" spans="1:17" x14ac:dyDescent="0.3">
      <c r="A432" t="s">
        <v>943</v>
      </c>
      <c r="B432">
        <v>1428526</v>
      </c>
      <c r="C432" t="s">
        <v>944</v>
      </c>
      <c r="D432" s="8">
        <v>1</v>
      </c>
      <c r="E432">
        <v>2322.0909999999999</v>
      </c>
      <c r="F432" s="2">
        <v>-2.3199999999999998</v>
      </c>
      <c r="H432" s="2">
        <v>250775.96</v>
      </c>
      <c r="I432" s="16">
        <f t="shared" si="23"/>
        <v>107.99575038187565</v>
      </c>
      <c r="J432" s="2">
        <v>1106.3599999999999</v>
      </c>
      <c r="K432">
        <v>6.7809999999999997</v>
      </c>
      <c r="L432" s="15">
        <f t="shared" si="21"/>
        <v>0</v>
      </c>
      <c r="M432" s="15">
        <f t="shared" si="22"/>
        <v>1106.3599999999999</v>
      </c>
      <c r="N432" s="18">
        <v>163.15598827470689</v>
      </c>
      <c r="O432" s="8">
        <v>1</v>
      </c>
      <c r="Q432">
        <f>_xlfn.XLOOKUP(A432,'CONSOLIDADO PEAJES'!H:H,'CONSOLIDADO PEAJES'!AC:AC)</f>
        <v>1</v>
      </c>
    </row>
    <row r="433" spans="1:17" x14ac:dyDescent="0.3">
      <c r="A433" t="s">
        <v>1455</v>
      </c>
      <c r="B433">
        <v>1438071</v>
      </c>
      <c r="C433" t="s">
        <v>1456</v>
      </c>
      <c r="D433" s="8">
        <v>1</v>
      </c>
      <c r="E433">
        <v>15421.393</v>
      </c>
      <c r="F433" s="2">
        <v>-1.52</v>
      </c>
      <c r="H433" s="2">
        <v>1665444.9</v>
      </c>
      <c r="I433" s="16">
        <f t="shared" si="23"/>
        <v>107.99574980029365</v>
      </c>
      <c r="J433" s="2">
        <v>29126.62</v>
      </c>
      <c r="K433">
        <v>178.52</v>
      </c>
      <c r="L433" s="15">
        <f t="shared" si="21"/>
        <v>0</v>
      </c>
      <c r="M433" s="15">
        <f t="shared" si="22"/>
        <v>29126.62</v>
      </c>
      <c r="N433" s="18">
        <v>163.15598827470689</v>
      </c>
      <c r="O433" s="8">
        <v>1</v>
      </c>
      <c r="Q433">
        <f>_xlfn.XLOOKUP(A433,'CONSOLIDADO PEAJES'!H:H,'CONSOLIDADO PEAJES'!AC:AC)</f>
        <v>1</v>
      </c>
    </row>
    <row r="434" spans="1:17" x14ac:dyDescent="0.3">
      <c r="A434" t="s">
        <v>955</v>
      </c>
      <c r="B434">
        <v>1428404</v>
      </c>
      <c r="C434" t="s">
        <v>956</v>
      </c>
      <c r="D434" s="8">
        <v>1</v>
      </c>
      <c r="E434">
        <v>858.16499999999996</v>
      </c>
      <c r="F434" s="2">
        <v>-3.14</v>
      </c>
      <c r="H434" s="2">
        <v>92678.17</v>
      </c>
      <c r="I434" s="16">
        <f t="shared" si="23"/>
        <v>107.99574673868079</v>
      </c>
      <c r="J434" s="2">
        <v>1844.97</v>
      </c>
      <c r="K434">
        <v>11.308</v>
      </c>
      <c r="L434" s="15">
        <f t="shared" si="21"/>
        <v>0</v>
      </c>
      <c r="M434" s="15">
        <f t="shared" si="22"/>
        <v>1844.97</v>
      </c>
      <c r="N434" s="18">
        <v>163.15598827470689</v>
      </c>
      <c r="O434" s="8">
        <v>1</v>
      </c>
      <c r="Q434">
        <f>_xlfn.XLOOKUP(A434,'CONSOLIDADO PEAJES'!H:H,'CONSOLIDADO PEAJES'!AC:AC)</f>
        <v>1</v>
      </c>
    </row>
    <row r="435" spans="1:17" x14ac:dyDescent="0.3">
      <c r="A435" t="s">
        <v>505</v>
      </c>
      <c r="B435">
        <v>1428405</v>
      </c>
      <c r="C435" t="s">
        <v>506</v>
      </c>
      <c r="D435" s="8">
        <v>1</v>
      </c>
      <c r="E435">
        <v>2429.5309999999999</v>
      </c>
      <c r="F435" s="2">
        <v>1.3</v>
      </c>
      <c r="H435" s="2">
        <v>262379.02</v>
      </c>
      <c r="I435" s="16">
        <f t="shared" si="23"/>
        <v>107.99574897377313</v>
      </c>
      <c r="J435" s="2">
        <v>10719.68</v>
      </c>
      <c r="K435">
        <v>65.701999999999998</v>
      </c>
      <c r="L435" s="15">
        <f t="shared" si="21"/>
        <v>0</v>
      </c>
      <c r="M435" s="15">
        <f t="shared" si="22"/>
        <v>10719.68</v>
      </c>
      <c r="N435" s="18">
        <v>163.15598827470689</v>
      </c>
      <c r="O435" s="8">
        <v>1</v>
      </c>
      <c r="Q435">
        <f>_xlfn.XLOOKUP(A435,'CONSOLIDADO PEAJES'!H:H,'CONSOLIDADO PEAJES'!AC:AC)</f>
        <v>1</v>
      </c>
    </row>
    <row r="436" spans="1:17" x14ac:dyDescent="0.3">
      <c r="A436" t="s">
        <v>958</v>
      </c>
      <c r="B436">
        <v>1428427</v>
      </c>
      <c r="C436" t="s">
        <v>959</v>
      </c>
      <c r="D436" s="8">
        <v>1</v>
      </c>
      <c r="E436">
        <v>2280.7460000000001</v>
      </c>
      <c r="F436" s="2">
        <v>2.2999999999999998</v>
      </c>
      <c r="H436" s="2">
        <v>246310.87</v>
      </c>
      <c r="I436" s="16">
        <f t="shared" si="23"/>
        <v>107.99574788249107</v>
      </c>
      <c r="J436" s="2">
        <v>2176.83</v>
      </c>
      <c r="K436">
        <v>13.342000000000001</v>
      </c>
      <c r="L436" s="15">
        <f t="shared" si="21"/>
        <v>0</v>
      </c>
      <c r="M436" s="15">
        <f t="shared" si="22"/>
        <v>2176.83</v>
      </c>
      <c r="N436" s="18">
        <v>163.15598827470689</v>
      </c>
      <c r="O436" s="8">
        <v>1</v>
      </c>
      <c r="Q436">
        <f>_xlfn.XLOOKUP(A436,'CONSOLIDADO PEAJES'!H:H,'CONSOLIDADO PEAJES'!AC:AC)</f>
        <v>1</v>
      </c>
    </row>
    <row r="437" spans="1:17" x14ac:dyDescent="0.3">
      <c r="A437" t="s">
        <v>946</v>
      </c>
      <c r="B437">
        <v>1428429</v>
      </c>
      <c r="C437" t="s">
        <v>947</v>
      </c>
      <c r="D437" s="8">
        <v>1</v>
      </c>
      <c r="E437">
        <v>2533.3119999999999</v>
      </c>
      <c r="F437" s="2">
        <v>1.18</v>
      </c>
      <c r="H437" s="2">
        <v>273586.93</v>
      </c>
      <c r="I437" s="16">
        <f t="shared" si="23"/>
        <v>107.99575022737034</v>
      </c>
      <c r="J437" s="2">
        <v>2111.89</v>
      </c>
      <c r="K437">
        <v>12.944000000000001</v>
      </c>
      <c r="L437" s="15">
        <f t="shared" si="21"/>
        <v>0</v>
      </c>
      <c r="M437" s="15">
        <f t="shared" si="22"/>
        <v>2111.89</v>
      </c>
      <c r="N437" s="18">
        <v>163.15598827470689</v>
      </c>
      <c r="O437" s="8">
        <v>1</v>
      </c>
      <c r="Q437">
        <f>_xlfn.XLOOKUP(A437,'CONSOLIDADO PEAJES'!H:H,'CONSOLIDADO PEAJES'!AC:AC)</f>
        <v>1</v>
      </c>
    </row>
    <row r="438" spans="1:17" x14ac:dyDescent="0.3">
      <c r="A438" t="s">
        <v>1464</v>
      </c>
      <c r="B438">
        <v>1428431</v>
      </c>
      <c r="C438" t="s">
        <v>1465</v>
      </c>
      <c r="D438" s="8">
        <v>1</v>
      </c>
      <c r="E438">
        <v>2334.6959999999999</v>
      </c>
      <c r="F438" s="2">
        <v>4.7</v>
      </c>
      <c r="H438" s="2">
        <v>252137.25</v>
      </c>
      <c r="I438" s="16">
        <f t="shared" si="23"/>
        <v>107.99575190945632</v>
      </c>
      <c r="J438" s="2">
        <v>2368.0500000000002</v>
      </c>
      <c r="K438">
        <v>14.513999999999999</v>
      </c>
      <c r="L438" s="15">
        <f t="shared" si="21"/>
        <v>0</v>
      </c>
      <c r="M438" s="15">
        <f t="shared" si="22"/>
        <v>2368.0500000000002</v>
      </c>
      <c r="N438" s="18">
        <v>163.15598827470689</v>
      </c>
      <c r="O438" s="8">
        <v>1</v>
      </c>
      <c r="Q438">
        <f>_xlfn.XLOOKUP(A438,'CONSOLIDADO PEAJES'!H:H,'CONSOLIDADO PEAJES'!AC:AC)</f>
        <v>1</v>
      </c>
    </row>
    <row r="439" spans="1:17" x14ac:dyDescent="0.3">
      <c r="A439" t="s">
        <v>478</v>
      </c>
      <c r="B439">
        <v>1428433</v>
      </c>
      <c r="C439" t="s">
        <v>479</v>
      </c>
      <c r="D439" s="8">
        <v>1</v>
      </c>
      <c r="E439">
        <v>2395.1120000000001</v>
      </c>
      <c r="F439" s="2">
        <v>-0.91</v>
      </c>
      <c r="H439" s="2">
        <v>258661.92</v>
      </c>
      <c r="I439" s="16">
        <f t="shared" si="23"/>
        <v>107.99575134690987</v>
      </c>
      <c r="J439" s="2">
        <v>2478.9899999999998</v>
      </c>
      <c r="K439">
        <v>15.194000000000001</v>
      </c>
      <c r="L439" s="15">
        <f t="shared" si="21"/>
        <v>0</v>
      </c>
      <c r="M439" s="15">
        <f t="shared" si="22"/>
        <v>2478.9899999999998</v>
      </c>
      <c r="N439" s="18">
        <v>163.15598827470689</v>
      </c>
      <c r="O439" s="8">
        <v>1</v>
      </c>
      <c r="Q439">
        <f>_xlfn.XLOOKUP(A439,'CONSOLIDADO PEAJES'!H:H,'CONSOLIDADO PEAJES'!AC:AC)</f>
        <v>1</v>
      </c>
    </row>
    <row r="440" spans="1:17" x14ac:dyDescent="0.3">
      <c r="A440" t="s">
        <v>1295</v>
      </c>
      <c r="B440">
        <v>1428407</v>
      </c>
      <c r="C440" t="s">
        <v>1296</v>
      </c>
      <c r="D440" s="8">
        <v>1</v>
      </c>
      <c r="E440">
        <v>787.73199999999997</v>
      </c>
      <c r="F440" s="2">
        <v>2.35</v>
      </c>
      <c r="H440" s="2">
        <v>85071.71</v>
      </c>
      <c r="I440" s="16">
        <f t="shared" si="23"/>
        <v>107.99575236247863</v>
      </c>
      <c r="J440" s="2">
        <v>5145.9399999999996</v>
      </c>
      <c r="K440">
        <v>31.54</v>
      </c>
      <c r="L440" s="15">
        <f t="shared" si="21"/>
        <v>0</v>
      </c>
      <c r="M440" s="15">
        <f t="shared" si="22"/>
        <v>5145.9399999999996</v>
      </c>
      <c r="N440" s="18">
        <v>163.15598827470689</v>
      </c>
      <c r="O440" s="8">
        <v>1</v>
      </c>
      <c r="Q440">
        <f>_xlfn.XLOOKUP(A440,'CONSOLIDADO PEAJES'!H:H,'CONSOLIDADO PEAJES'!AC:AC)</f>
        <v>1</v>
      </c>
    </row>
    <row r="441" spans="1:17" x14ac:dyDescent="0.3">
      <c r="A441" t="s">
        <v>970</v>
      </c>
      <c r="B441">
        <v>1428408</v>
      </c>
      <c r="C441" t="s">
        <v>971</v>
      </c>
      <c r="D441" s="8">
        <v>1</v>
      </c>
      <c r="E441">
        <v>2740.3980000000001</v>
      </c>
      <c r="F441" s="2">
        <v>4.58</v>
      </c>
      <c r="H441" s="2">
        <v>295951.34000000003</v>
      </c>
      <c r="I441" s="16">
        <f t="shared" si="23"/>
        <v>107.99575098215661</v>
      </c>
      <c r="J441" s="2">
        <v>9694.08</v>
      </c>
      <c r="K441">
        <v>59.415999999999997</v>
      </c>
      <c r="L441" s="15">
        <f t="shared" si="21"/>
        <v>0</v>
      </c>
      <c r="M441" s="15">
        <f t="shared" si="22"/>
        <v>9694.08</v>
      </c>
      <c r="N441" s="18">
        <v>163.15598827470689</v>
      </c>
      <c r="O441" s="8">
        <v>1</v>
      </c>
      <c r="Q441">
        <f>_xlfn.XLOOKUP(A441,'CONSOLIDADO PEAJES'!H:H,'CONSOLIDADO PEAJES'!AC:AC)</f>
        <v>1</v>
      </c>
    </row>
    <row r="442" spans="1:17" x14ac:dyDescent="0.3">
      <c r="A442" t="s">
        <v>961</v>
      </c>
      <c r="B442">
        <v>1428434</v>
      </c>
      <c r="C442" t="s">
        <v>962</v>
      </c>
      <c r="D442" s="8">
        <v>1</v>
      </c>
      <c r="E442">
        <v>0</v>
      </c>
      <c r="F442" s="2">
        <v>0</v>
      </c>
      <c r="H442" s="2">
        <v>0</v>
      </c>
      <c r="I442" s="16" t="e">
        <f t="shared" si="23"/>
        <v>#DIV/0!</v>
      </c>
      <c r="L442" s="15">
        <f t="shared" si="21"/>
        <v>0</v>
      </c>
      <c r="M442" s="15">
        <f t="shared" si="22"/>
        <v>0</v>
      </c>
      <c r="N442" s="18" t="e">
        <f t="shared" si="24"/>
        <v>#DIV/0!</v>
      </c>
      <c r="O442" s="8">
        <v>1</v>
      </c>
      <c r="Q442">
        <f>_xlfn.XLOOKUP(A442,'CONSOLIDADO PEAJES'!H:H,'CONSOLIDADO PEAJES'!AC:AC)</f>
        <v>1</v>
      </c>
    </row>
    <row r="443" spans="1:17" x14ac:dyDescent="0.3">
      <c r="A443" t="s">
        <v>511</v>
      </c>
      <c r="B443">
        <v>1428409</v>
      </c>
      <c r="C443" t="s">
        <v>512</v>
      </c>
      <c r="D443" s="8">
        <v>1</v>
      </c>
      <c r="E443">
        <v>2554.424</v>
      </c>
      <c r="F443" s="2">
        <v>-3.92</v>
      </c>
      <c r="H443" s="2">
        <v>275866.94</v>
      </c>
      <c r="I443" s="16">
        <f t="shared" si="23"/>
        <v>107.99575168413702</v>
      </c>
      <c r="J443" s="2">
        <v>9016.98</v>
      </c>
      <c r="K443">
        <v>55.265999999999998</v>
      </c>
      <c r="L443" s="15">
        <f t="shared" si="21"/>
        <v>0</v>
      </c>
      <c r="M443" s="15">
        <f t="shared" si="22"/>
        <v>9016.98</v>
      </c>
      <c r="N443" s="18">
        <v>163.15598827470689</v>
      </c>
      <c r="O443" s="8">
        <v>1</v>
      </c>
      <c r="Q443">
        <f>_xlfn.XLOOKUP(A443,'CONSOLIDADO PEAJES'!H:H,'CONSOLIDADO PEAJES'!AC:AC)</f>
        <v>1</v>
      </c>
    </row>
    <row r="444" spans="1:17" x14ac:dyDescent="0.3">
      <c r="A444" t="s">
        <v>487</v>
      </c>
      <c r="B444">
        <v>1428528</v>
      </c>
      <c r="C444" t="s">
        <v>488</v>
      </c>
      <c r="D444" s="8">
        <v>1</v>
      </c>
      <c r="E444">
        <v>2532.6019999999999</v>
      </c>
      <c r="F444" s="2">
        <v>-1.56</v>
      </c>
      <c r="H444" s="2">
        <v>273510.25</v>
      </c>
      <c r="I444" s="16">
        <f t="shared" si="23"/>
        <v>107.99574903597171</v>
      </c>
      <c r="J444" s="2">
        <v>22851.31</v>
      </c>
      <c r="K444">
        <v>140.05799999999999</v>
      </c>
      <c r="L444" s="15">
        <f t="shared" si="21"/>
        <v>0</v>
      </c>
      <c r="M444" s="15">
        <f t="shared" si="22"/>
        <v>22851.31</v>
      </c>
      <c r="N444" s="18">
        <v>163.15598827470689</v>
      </c>
      <c r="O444" s="8">
        <v>1</v>
      </c>
      <c r="Q444">
        <f>_xlfn.XLOOKUP(A444,'CONSOLIDADO PEAJES'!H:H,'CONSOLIDADO PEAJES'!AC:AC)</f>
        <v>1</v>
      </c>
    </row>
    <row r="445" spans="1:17" x14ac:dyDescent="0.3">
      <c r="A445" t="s">
        <v>499</v>
      </c>
      <c r="B445">
        <v>1428415</v>
      </c>
      <c r="C445" t="s">
        <v>500</v>
      </c>
      <c r="D445" s="8">
        <v>1</v>
      </c>
      <c r="E445">
        <v>2448.91</v>
      </c>
      <c r="F445" s="2">
        <v>3.23</v>
      </c>
      <c r="H445" s="2">
        <v>264471.87</v>
      </c>
      <c r="I445" s="16">
        <f t="shared" si="23"/>
        <v>107.99574912920443</v>
      </c>
      <c r="J445" s="2">
        <v>5364.9</v>
      </c>
      <c r="K445">
        <v>32.881999999999998</v>
      </c>
      <c r="L445" s="15">
        <f t="shared" si="21"/>
        <v>0</v>
      </c>
      <c r="M445" s="15">
        <f t="shared" si="22"/>
        <v>5364.9</v>
      </c>
      <c r="N445" s="18">
        <v>163.15598827470689</v>
      </c>
      <c r="O445" s="8">
        <v>1</v>
      </c>
      <c r="Q445">
        <f>_xlfn.XLOOKUP(A445,'CONSOLIDADO PEAJES'!H:H,'CONSOLIDADO PEAJES'!AC:AC)</f>
        <v>1</v>
      </c>
    </row>
    <row r="446" spans="1:17" x14ac:dyDescent="0.3">
      <c r="A446" t="s">
        <v>481</v>
      </c>
      <c r="B446">
        <v>1428419</v>
      </c>
      <c r="C446" t="s">
        <v>482</v>
      </c>
      <c r="D446" s="8">
        <v>1</v>
      </c>
      <c r="E446">
        <v>1751.5740000000001</v>
      </c>
      <c r="F446" s="2">
        <v>2.68</v>
      </c>
      <c r="H446" s="2">
        <v>189162.55</v>
      </c>
      <c r="I446" s="16">
        <f t="shared" si="23"/>
        <v>107.99575125001854</v>
      </c>
      <c r="J446" s="2">
        <v>1474.77</v>
      </c>
      <c r="K446">
        <v>9.0389999999999997</v>
      </c>
      <c r="L446" s="15">
        <f t="shared" si="21"/>
        <v>0</v>
      </c>
      <c r="M446" s="15">
        <f t="shared" si="22"/>
        <v>1474.77</v>
      </c>
      <c r="N446" s="18">
        <v>163.15598827470689</v>
      </c>
      <c r="O446" s="8">
        <v>1</v>
      </c>
      <c r="Q446">
        <f>_xlfn.XLOOKUP(A446,'CONSOLIDADO PEAJES'!H:H,'CONSOLIDADO PEAJES'!AC:AC)</f>
        <v>1</v>
      </c>
    </row>
    <row r="447" spans="1:17" x14ac:dyDescent="0.3">
      <c r="A447" t="s">
        <v>1576</v>
      </c>
      <c r="B447">
        <v>1428435</v>
      </c>
      <c r="C447" t="s">
        <v>1577</v>
      </c>
      <c r="D447" s="8">
        <v>1</v>
      </c>
      <c r="E447">
        <v>2297.0520000000001</v>
      </c>
      <c r="F447" s="2">
        <v>1.2</v>
      </c>
      <c r="H447" s="2">
        <v>248071.85</v>
      </c>
      <c r="I447" s="16">
        <f t="shared" si="23"/>
        <v>107.99574846368301</v>
      </c>
      <c r="J447" s="2">
        <v>2356.9499999999998</v>
      </c>
      <c r="K447">
        <v>14.446</v>
      </c>
      <c r="L447" s="15">
        <f t="shared" si="21"/>
        <v>0</v>
      </c>
      <c r="M447" s="15">
        <f t="shared" si="22"/>
        <v>2356.9499999999998</v>
      </c>
      <c r="N447" s="18">
        <v>163.15598827470689</v>
      </c>
      <c r="O447" s="8">
        <v>1</v>
      </c>
      <c r="Q447">
        <f>_xlfn.XLOOKUP(A447,'CONSOLIDADO PEAJES'!H:H,'CONSOLIDADO PEAJES'!AC:AC)</f>
        <v>1</v>
      </c>
    </row>
    <row r="448" spans="1:17" x14ac:dyDescent="0.3">
      <c r="A448" t="s">
        <v>1458</v>
      </c>
      <c r="B448">
        <v>1428420</v>
      </c>
      <c r="C448" t="s">
        <v>1459</v>
      </c>
      <c r="D448" s="8">
        <v>1</v>
      </c>
      <c r="E448">
        <v>937.32100000000003</v>
      </c>
      <c r="F448" s="2">
        <v>3.32</v>
      </c>
      <c r="H448" s="2">
        <v>101226.68</v>
      </c>
      <c r="I448" s="16">
        <f t="shared" si="23"/>
        <v>107.99574532097327</v>
      </c>
      <c r="L448" s="15">
        <f t="shared" si="21"/>
        <v>0</v>
      </c>
      <c r="M448" s="15">
        <f t="shared" si="22"/>
        <v>0</v>
      </c>
      <c r="N448" s="18">
        <v>163.15598827470689</v>
      </c>
      <c r="O448" s="8">
        <v>1</v>
      </c>
      <c r="Q448">
        <f>_xlfn.XLOOKUP(A448,'CONSOLIDADO PEAJES'!H:H,'CONSOLIDADO PEAJES'!AC:AC)</f>
        <v>1</v>
      </c>
    </row>
    <row r="449" spans="1:17" x14ac:dyDescent="0.3">
      <c r="A449" t="s">
        <v>484</v>
      </c>
      <c r="B449">
        <v>1438084</v>
      </c>
      <c r="C449" t="s">
        <v>485</v>
      </c>
      <c r="D449" s="8">
        <v>1</v>
      </c>
      <c r="E449">
        <v>3434.761</v>
      </c>
      <c r="F449" s="2">
        <v>-4.7</v>
      </c>
      <c r="H449" s="2">
        <v>370939.59</v>
      </c>
      <c r="I449" s="16">
        <f t="shared" si="23"/>
        <v>107.99574992262927</v>
      </c>
      <c r="J449" s="2">
        <v>32295.11</v>
      </c>
      <c r="K449">
        <v>197.94</v>
      </c>
      <c r="L449" s="15">
        <f t="shared" si="21"/>
        <v>0</v>
      </c>
      <c r="M449" s="15">
        <f t="shared" si="22"/>
        <v>32295.11</v>
      </c>
      <c r="N449" s="18">
        <v>163.15598827470689</v>
      </c>
      <c r="O449" s="8">
        <v>1</v>
      </c>
      <c r="Q449">
        <f>_xlfn.XLOOKUP(A449,'CONSOLIDADO PEAJES'!H:H,'CONSOLIDADO PEAJES'!AC:AC)</f>
        <v>1</v>
      </c>
    </row>
    <row r="450" spans="1:17" x14ac:dyDescent="0.3">
      <c r="A450" t="s">
        <v>1301</v>
      </c>
      <c r="B450">
        <v>1438068</v>
      </c>
      <c r="C450" t="s">
        <v>1302</v>
      </c>
      <c r="D450" s="8">
        <v>1</v>
      </c>
      <c r="E450">
        <v>24365.537</v>
      </c>
      <c r="F450" s="2">
        <v>-4.4400000000000004</v>
      </c>
      <c r="H450" s="2">
        <v>2631374.44</v>
      </c>
      <c r="I450" s="16">
        <f t="shared" si="23"/>
        <v>107.99574989871965</v>
      </c>
      <c r="L450" s="15">
        <f t="shared" ref="L450:L516" si="25">(J450*O450)-J450</f>
        <v>0</v>
      </c>
      <c r="M450" s="15">
        <f t="shared" ref="M450:M513" si="26">(J450*O450)</f>
        <v>0</v>
      </c>
      <c r="N450" s="18">
        <v>163.15598827470689</v>
      </c>
      <c r="O450" s="8">
        <v>1</v>
      </c>
      <c r="Q450">
        <f>_xlfn.XLOOKUP(A450,'CONSOLIDADO PEAJES'!H:H,'CONSOLIDADO PEAJES'!AC:AC)</f>
        <v>1</v>
      </c>
    </row>
    <row r="451" spans="1:17" x14ac:dyDescent="0.3">
      <c r="A451" t="s">
        <v>508</v>
      </c>
      <c r="B451">
        <v>1438069</v>
      </c>
      <c r="C451" t="s">
        <v>509</v>
      </c>
      <c r="D451" s="8">
        <v>1</v>
      </c>
      <c r="E451">
        <v>505.21800000000002</v>
      </c>
      <c r="F451" s="2">
        <v>-1.97</v>
      </c>
      <c r="H451" s="2">
        <v>54561.4</v>
      </c>
      <c r="I451" s="16">
        <f t="shared" ref="I451:I514" si="27">(G451+H451)/E451</f>
        <v>107.99575628738485</v>
      </c>
      <c r="J451" s="2">
        <v>2010.57</v>
      </c>
      <c r="K451">
        <v>12.323</v>
      </c>
      <c r="L451" s="15">
        <f t="shared" si="25"/>
        <v>0</v>
      </c>
      <c r="M451" s="15">
        <f t="shared" si="26"/>
        <v>2010.57</v>
      </c>
      <c r="N451" s="18">
        <v>163.15598827470689</v>
      </c>
      <c r="O451" s="8">
        <v>1</v>
      </c>
      <c r="Q451">
        <f>_xlfn.XLOOKUP(A451,'CONSOLIDADO PEAJES'!H:H,'CONSOLIDADO PEAJES'!AC:AC)</f>
        <v>1</v>
      </c>
    </row>
    <row r="452" spans="1:17" x14ac:dyDescent="0.3">
      <c r="A452" t="s">
        <v>514</v>
      </c>
      <c r="B452">
        <v>1428421</v>
      </c>
      <c r="C452" t="s">
        <v>515</v>
      </c>
      <c r="D452" s="8">
        <v>1</v>
      </c>
      <c r="E452">
        <v>660.38499999999999</v>
      </c>
      <c r="F452" s="2">
        <v>-3.87</v>
      </c>
      <c r="H452" s="2">
        <v>71318.77</v>
      </c>
      <c r="I452" s="16">
        <f t="shared" si="27"/>
        <v>107.99574490638038</v>
      </c>
      <c r="J452" s="2">
        <v>2435.1</v>
      </c>
      <c r="K452">
        <v>14.925000000000001</v>
      </c>
      <c r="L452" s="15">
        <f t="shared" si="25"/>
        <v>0</v>
      </c>
      <c r="M452" s="15">
        <f t="shared" si="26"/>
        <v>2435.1</v>
      </c>
      <c r="N452" s="18">
        <v>163.15598827470689</v>
      </c>
      <c r="O452" s="8">
        <v>1</v>
      </c>
      <c r="Q452">
        <f>_xlfn.XLOOKUP(A452,'CONSOLIDADO PEAJES'!H:H,'CONSOLIDADO PEAJES'!AC:AC)</f>
        <v>1</v>
      </c>
    </row>
    <row r="453" spans="1:17" x14ac:dyDescent="0.3">
      <c r="A453" t="s">
        <v>964</v>
      </c>
      <c r="B453">
        <v>1428425</v>
      </c>
      <c r="C453" t="s">
        <v>965</v>
      </c>
      <c r="D453" s="8">
        <v>1</v>
      </c>
      <c r="E453">
        <v>5028.0569999999998</v>
      </c>
      <c r="F453" s="2">
        <v>-3.21</v>
      </c>
      <c r="H453" s="2">
        <v>716153.5</v>
      </c>
      <c r="I453" s="16">
        <f t="shared" si="27"/>
        <v>142.43146010476812</v>
      </c>
      <c r="J453" s="2">
        <v>6029.71</v>
      </c>
      <c r="K453">
        <v>30.515999999999998</v>
      </c>
      <c r="L453" s="15">
        <f t="shared" si="25"/>
        <v>0</v>
      </c>
      <c r="M453" s="15">
        <f t="shared" si="26"/>
        <v>6029.71</v>
      </c>
      <c r="N453" s="18">
        <v>197.59164336750544</v>
      </c>
      <c r="O453" s="8">
        <v>1</v>
      </c>
      <c r="Q453">
        <f>_xlfn.XLOOKUP(A453,'CONSOLIDADO PEAJES'!H:H,'CONSOLIDADO PEAJES'!AC:AC)</f>
        <v>0</v>
      </c>
    </row>
    <row r="454" spans="1:17" x14ac:dyDescent="0.3">
      <c r="A454" t="s">
        <v>1533</v>
      </c>
      <c r="B454">
        <v>1428478</v>
      </c>
      <c r="C454" t="s">
        <v>1534</v>
      </c>
      <c r="D454" s="8">
        <v>1</v>
      </c>
      <c r="E454">
        <v>2281.2040000000002</v>
      </c>
      <c r="F454" s="2">
        <v>-4.1900000000000004</v>
      </c>
      <c r="H454" s="2">
        <v>246360.34</v>
      </c>
      <c r="I454" s="16">
        <f t="shared" si="27"/>
        <v>107.9957513663837</v>
      </c>
      <c r="J454" s="2">
        <v>5343.85</v>
      </c>
      <c r="K454">
        <v>32.753</v>
      </c>
      <c r="L454" s="15">
        <f t="shared" si="25"/>
        <v>0</v>
      </c>
      <c r="M454" s="15">
        <f t="shared" si="26"/>
        <v>5343.85</v>
      </c>
      <c r="N454" s="18">
        <v>163.15598827470689</v>
      </c>
      <c r="O454" s="8">
        <v>1</v>
      </c>
      <c r="Q454">
        <f>_xlfn.XLOOKUP(A454,'CONSOLIDADO PEAJES'!H:H,'CONSOLIDADO PEAJES'!AC:AC)</f>
        <v>1</v>
      </c>
    </row>
    <row r="455" spans="1:17" x14ac:dyDescent="0.3">
      <c r="A455" t="s">
        <v>490</v>
      </c>
      <c r="B455">
        <v>1428422</v>
      </c>
      <c r="C455" t="s">
        <v>491</v>
      </c>
      <c r="D455" s="8">
        <v>1</v>
      </c>
      <c r="E455">
        <v>2171.1799999999998</v>
      </c>
      <c r="F455" s="2">
        <v>3.37</v>
      </c>
      <c r="H455" s="2">
        <v>234478.21</v>
      </c>
      <c r="I455" s="16">
        <f t="shared" si="27"/>
        <v>107.99574885546109</v>
      </c>
      <c r="J455" s="2">
        <v>4798.42</v>
      </c>
      <c r="K455">
        <v>29.41</v>
      </c>
      <c r="L455" s="15">
        <f t="shared" si="25"/>
        <v>0</v>
      </c>
      <c r="M455" s="15">
        <f t="shared" si="26"/>
        <v>4798.42</v>
      </c>
      <c r="N455" s="18">
        <v>163.15598827470689</v>
      </c>
      <c r="O455" s="8">
        <v>1</v>
      </c>
      <c r="Q455">
        <f>_xlfn.XLOOKUP(A455,'CONSOLIDADO PEAJES'!H:H,'CONSOLIDADO PEAJES'!AC:AC)</f>
        <v>1</v>
      </c>
    </row>
    <row r="456" spans="1:17" x14ac:dyDescent="0.3">
      <c r="A456" t="s">
        <v>493</v>
      </c>
      <c r="B456">
        <v>1428424</v>
      </c>
      <c r="C456" t="s">
        <v>494</v>
      </c>
      <c r="D456" s="8">
        <v>1</v>
      </c>
      <c r="E456">
        <v>0</v>
      </c>
      <c r="F456" s="2">
        <v>0</v>
      </c>
      <c r="H456" s="2">
        <v>0</v>
      </c>
      <c r="I456" s="16" t="e">
        <f t="shared" si="27"/>
        <v>#DIV/0!</v>
      </c>
      <c r="L456" s="15">
        <f t="shared" si="25"/>
        <v>0</v>
      </c>
      <c r="M456" s="15">
        <f t="shared" si="26"/>
        <v>0</v>
      </c>
      <c r="N456" s="18" t="e">
        <f t="shared" ref="N451:N514" si="28">M456/K456/O456</f>
        <v>#DIV/0!</v>
      </c>
      <c r="O456" s="8">
        <v>1</v>
      </c>
      <c r="Q456">
        <f>_xlfn.XLOOKUP(A456,'CONSOLIDADO PEAJES'!H:H,'CONSOLIDADO PEAJES'!AC:AC)</f>
        <v>1</v>
      </c>
    </row>
    <row r="457" spans="1:17" x14ac:dyDescent="0.3">
      <c r="A457" t="s">
        <v>1461</v>
      </c>
      <c r="B457">
        <v>1428436</v>
      </c>
      <c r="C457" t="s">
        <v>1462</v>
      </c>
      <c r="D457" s="8">
        <v>1</v>
      </c>
      <c r="E457">
        <v>2383.38</v>
      </c>
      <c r="F457" s="2">
        <v>-0.85</v>
      </c>
      <c r="H457" s="2">
        <v>257394.91</v>
      </c>
      <c r="I457" s="16">
        <f t="shared" si="27"/>
        <v>107.99574973357164</v>
      </c>
      <c r="J457" s="2">
        <v>2465.94</v>
      </c>
      <c r="K457">
        <v>15.114000000000001</v>
      </c>
      <c r="L457" s="15">
        <f t="shared" si="25"/>
        <v>0</v>
      </c>
      <c r="M457" s="15">
        <f t="shared" si="26"/>
        <v>2465.94</v>
      </c>
      <c r="N457" s="18">
        <v>163.15598827470689</v>
      </c>
      <c r="O457" s="8">
        <v>1</v>
      </c>
      <c r="Q457">
        <f>_xlfn.XLOOKUP(A457,'CONSOLIDADO PEAJES'!H:H,'CONSOLIDADO PEAJES'!AC:AC)</f>
        <v>1</v>
      </c>
    </row>
    <row r="458" spans="1:17" x14ac:dyDescent="0.3">
      <c r="A458" t="s">
        <v>517</v>
      </c>
      <c r="B458">
        <v>1428437</v>
      </c>
      <c r="C458" t="s">
        <v>518</v>
      </c>
      <c r="D458" s="8">
        <v>1</v>
      </c>
      <c r="E458">
        <v>2378.5889999999999</v>
      </c>
      <c r="F458" s="2">
        <v>0.84</v>
      </c>
      <c r="H458" s="2">
        <v>256877.5</v>
      </c>
      <c r="I458" s="16">
        <f t="shared" si="27"/>
        <v>107.99574874011442</v>
      </c>
      <c r="J458" s="2">
        <v>2331.66</v>
      </c>
      <c r="K458">
        <v>14.291</v>
      </c>
      <c r="L458" s="15">
        <f t="shared" si="25"/>
        <v>0</v>
      </c>
      <c r="M458" s="15">
        <f t="shared" si="26"/>
        <v>2331.66</v>
      </c>
      <c r="N458" s="18">
        <v>163.15598827470689</v>
      </c>
      <c r="O458" s="8">
        <v>1</v>
      </c>
      <c r="Q458">
        <f>_xlfn.XLOOKUP(A458,'CONSOLIDADO PEAJES'!H:H,'CONSOLIDADO PEAJES'!AC:AC)</f>
        <v>1</v>
      </c>
    </row>
    <row r="459" spans="1:17" x14ac:dyDescent="0.3">
      <c r="A459" t="s">
        <v>952</v>
      </c>
      <c r="B459">
        <v>1438083</v>
      </c>
      <c r="C459" t="s">
        <v>953</v>
      </c>
      <c r="D459" s="8">
        <v>1</v>
      </c>
      <c r="E459">
        <v>13317.773999999999</v>
      </c>
      <c r="F459" s="2">
        <v>-4.0199999999999996</v>
      </c>
      <c r="H459" s="2">
        <v>1896869.99</v>
      </c>
      <c r="I459" s="16">
        <f t="shared" si="27"/>
        <v>142.43145964182904</v>
      </c>
      <c r="J459" s="2">
        <v>95944.03</v>
      </c>
      <c r="K459">
        <v>485.56700000000001</v>
      </c>
      <c r="L459" s="15">
        <f t="shared" si="25"/>
        <v>0</v>
      </c>
      <c r="M459" s="15">
        <f t="shared" si="26"/>
        <v>95944.03</v>
      </c>
      <c r="N459" s="18">
        <v>197.59164336750544</v>
      </c>
      <c r="O459" s="8">
        <v>1</v>
      </c>
      <c r="Q459">
        <f>_xlfn.XLOOKUP(A459,'CONSOLIDADO PEAJES'!H:H,'CONSOLIDADO PEAJES'!AC:AC)</f>
        <v>0</v>
      </c>
    </row>
    <row r="460" spans="1:17" x14ac:dyDescent="0.3">
      <c r="A460" t="s">
        <v>1573</v>
      </c>
      <c r="B460">
        <v>1438082</v>
      </c>
      <c r="C460" t="s">
        <v>1574</v>
      </c>
      <c r="D460" s="8">
        <v>1</v>
      </c>
      <c r="E460">
        <v>3418.212</v>
      </c>
      <c r="F460" s="2">
        <v>4.96</v>
      </c>
      <c r="H460" s="2">
        <v>486860.93</v>
      </c>
      <c r="I460" s="16">
        <f t="shared" si="27"/>
        <v>142.4314612434805</v>
      </c>
      <c r="J460" s="2">
        <v>17254.11</v>
      </c>
      <c r="K460">
        <v>87.322000000000003</v>
      </c>
      <c r="L460" s="15">
        <f t="shared" si="25"/>
        <v>0</v>
      </c>
      <c r="M460" s="15">
        <f t="shared" si="26"/>
        <v>17254.11</v>
      </c>
      <c r="N460" s="18">
        <v>197.59164336750544</v>
      </c>
      <c r="O460" s="8">
        <v>1</v>
      </c>
      <c r="Q460">
        <f>_xlfn.XLOOKUP(A460,'CONSOLIDADO PEAJES'!H:H,'CONSOLIDADO PEAJES'!AC:AC)</f>
        <v>0</v>
      </c>
    </row>
    <row r="461" spans="1:17" x14ac:dyDescent="0.3">
      <c r="A461" t="s">
        <v>69</v>
      </c>
      <c r="B461">
        <v>1363519</v>
      </c>
      <c r="C461" t="s">
        <v>70</v>
      </c>
      <c r="D461" s="8">
        <v>1</v>
      </c>
      <c r="E461">
        <v>1.7410000000000001</v>
      </c>
      <c r="F461" s="2">
        <v>-3.07</v>
      </c>
      <c r="H461" s="2">
        <v>188.02</v>
      </c>
      <c r="I461" s="16">
        <f t="shared" si="27"/>
        <v>107.99540493968983</v>
      </c>
      <c r="J461" s="2">
        <v>385.05</v>
      </c>
      <c r="K461">
        <v>2.36</v>
      </c>
      <c r="L461" s="15">
        <f t="shared" si="25"/>
        <v>0</v>
      </c>
      <c r="M461" s="15">
        <f t="shared" si="26"/>
        <v>385.05</v>
      </c>
      <c r="N461" s="18">
        <v>163.15598827470689</v>
      </c>
      <c r="O461" s="8">
        <v>1</v>
      </c>
      <c r="Q461">
        <f>_xlfn.XLOOKUP(A461,'CONSOLIDADO PEAJES'!H:H,'CONSOLIDADO PEAJES'!AC:AC)</f>
        <v>1</v>
      </c>
    </row>
    <row r="462" spans="1:17" x14ac:dyDescent="0.3">
      <c r="A462" t="s">
        <v>502</v>
      </c>
      <c r="B462">
        <v>1408277</v>
      </c>
      <c r="C462" t="s">
        <v>503</v>
      </c>
      <c r="D462" s="8">
        <v>1</v>
      </c>
      <c r="E462">
        <v>4644.3940000000002</v>
      </c>
      <c r="F462" s="2">
        <v>0.55000000000000004</v>
      </c>
      <c r="H462" s="2">
        <v>501574.81</v>
      </c>
      <c r="I462" s="16">
        <f t="shared" si="27"/>
        <v>107.99574928397547</v>
      </c>
      <c r="J462" s="2">
        <v>20194.64</v>
      </c>
      <c r="K462">
        <v>123.77500000000001</v>
      </c>
      <c r="L462" s="15">
        <f t="shared" si="25"/>
        <v>0</v>
      </c>
      <c r="M462" s="15">
        <f t="shared" si="26"/>
        <v>20194.64</v>
      </c>
      <c r="N462" s="18">
        <v>163.15598827470689</v>
      </c>
      <c r="O462" s="8">
        <v>1</v>
      </c>
      <c r="Q462">
        <f>_xlfn.XLOOKUP(A462,'CONSOLIDADO PEAJES'!H:H,'CONSOLIDADO PEAJES'!AC:AC)</f>
        <v>1</v>
      </c>
    </row>
    <row r="463" spans="1:17" x14ac:dyDescent="0.3">
      <c r="A463" t="s">
        <v>1093</v>
      </c>
      <c r="B463">
        <v>1438104</v>
      </c>
      <c r="C463" t="s">
        <v>1094</v>
      </c>
      <c r="D463" s="8">
        <v>1</v>
      </c>
      <c r="E463">
        <v>1585.027</v>
      </c>
      <c r="F463" s="2">
        <v>3.82</v>
      </c>
      <c r="H463" s="2">
        <v>171176.18</v>
      </c>
      <c r="I463" s="16">
        <f t="shared" si="27"/>
        <v>107.99575023012225</v>
      </c>
      <c r="L463" s="15">
        <f t="shared" si="25"/>
        <v>0</v>
      </c>
      <c r="M463" s="15">
        <f t="shared" si="26"/>
        <v>0</v>
      </c>
      <c r="N463" s="18">
        <v>163.15598827470689</v>
      </c>
      <c r="O463" s="8">
        <v>1</v>
      </c>
      <c r="Q463">
        <f>_xlfn.XLOOKUP(A463,'CONSOLIDADO PEAJES'!H:H,'CONSOLIDADO PEAJES'!AC:AC)</f>
        <v>1</v>
      </c>
    </row>
    <row r="464" spans="1:17" x14ac:dyDescent="0.3">
      <c r="A464" t="s">
        <v>973</v>
      </c>
      <c r="B464">
        <v>1443050</v>
      </c>
      <c r="C464" t="s">
        <v>974</v>
      </c>
      <c r="D464" s="8">
        <v>1</v>
      </c>
      <c r="E464">
        <v>1648.5889999999999</v>
      </c>
      <c r="F464" s="2">
        <v>-2.75</v>
      </c>
      <c r="H464" s="2">
        <v>178040.61</v>
      </c>
      <c r="I464" s="16">
        <f t="shared" si="27"/>
        <v>107.99575273157834</v>
      </c>
      <c r="J464" s="2">
        <v>5942.14</v>
      </c>
      <c r="K464">
        <v>36.42</v>
      </c>
      <c r="L464" s="15">
        <f t="shared" si="25"/>
        <v>0</v>
      </c>
      <c r="M464" s="15">
        <f t="shared" si="26"/>
        <v>5942.14</v>
      </c>
      <c r="N464" s="18">
        <v>163.15598827470689</v>
      </c>
      <c r="O464" s="8">
        <v>1</v>
      </c>
      <c r="Q464">
        <f>_xlfn.XLOOKUP(A464,'CONSOLIDADO PEAJES'!H:H,'CONSOLIDADO PEAJES'!AC:AC)</f>
        <v>1</v>
      </c>
    </row>
    <row r="465" spans="1:17" x14ac:dyDescent="0.3">
      <c r="A465" t="s">
        <v>1467</v>
      </c>
      <c r="B465">
        <v>1441789</v>
      </c>
      <c r="C465" t="s">
        <v>1468</v>
      </c>
      <c r="D465" s="8">
        <v>1</v>
      </c>
      <c r="E465">
        <v>616.12699999999995</v>
      </c>
      <c r="F465" s="2">
        <v>-2.35</v>
      </c>
      <c r="H465" s="2">
        <v>66539.100000000006</v>
      </c>
      <c r="I465" s="16">
        <f t="shared" si="27"/>
        <v>107.99575412212094</v>
      </c>
      <c r="J465" s="2">
        <v>3373.25</v>
      </c>
      <c r="K465">
        <v>20.675000000000001</v>
      </c>
      <c r="L465" s="15">
        <f t="shared" si="25"/>
        <v>0</v>
      </c>
      <c r="M465" s="15">
        <f t="shared" si="26"/>
        <v>3373.25</v>
      </c>
      <c r="N465" s="18">
        <v>163.15598827470689</v>
      </c>
      <c r="O465" s="8">
        <v>1</v>
      </c>
      <c r="Q465">
        <f>_xlfn.XLOOKUP(A465,'CONSOLIDADO PEAJES'!H:H,'CONSOLIDADO PEAJES'!AC:AC)</f>
        <v>1</v>
      </c>
    </row>
    <row r="466" spans="1:17" x14ac:dyDescent="0.3">
      <c r="A466" t="s">
        <v>1594</v>
      </c>
      <c r="B466">
        <v>1441991</v>
      </c>
      <c r="C466" t="s">
        <v>1595</v>
      </c>
      <c r="D466" s="8">
        <v>1</v>
      </c>
      <c r="E466">
        <v>867.94399999999996</v>
      </c>
      <c r="F466" s="2">
        <v>-0.03</v>
      </c>
      <c r="H466" s="2">
        <v>93734.26</v>
      </c>
      <c r="I466" s="16">
        <f t="shared" si="27"/>
        <v>107.99574626934456</v>
      </c>
      <c r="J466" s="2">
        <v>165.77</v>
      </c>
      <c r="K466">
        <v>1.016</v>
      </c>
      <c r="L466" s="15">
        <f t="shared" si="25"/>
        <v>0</v>
      </c>
      <c r="M466" s="15">
        <f t="shared" si="26"/>
        <v>165.77</v>
      </c>
      <c r="N466" s="18">
        <v>163.15598827470689</v>
      </c>
      <c r="O466" s="8">
        <v>1</v>
      </c>
      <c r="Q466">
        <f>_xlfn.XLOOKUP(A466,'CONSOLIDADO PEAJES'!H:H,'CONSOLIDADO PEAJES'!AC:AC)</f>
        <v>1</v>
      </c>
    </row>
    <row r="467" spans="1:17" x14ac:dyDescent="0.3">
      <c r="A467" t="s">
        <v>520</v>
      </c>
      <c r="B467">
        <v>1441790</v>
      </c>
      <c r="C467" t="s">
        <v>521</v>
      </c>
      <c r="D467" s="8">
        <v>1</v>
      </c>
      <c r="E467">
        <v>36.692</v>
      </c>
      <c r="F467" s="2">
        <v>0.4</v>
      </c>
      <c r="H467" s="2">
        <v>3962.58</v>
      </c>
      <c r="I467" s="16">
        <f t="shared" si="27"/>
        <v>107.99574839202006</v>
      </c>
      <c r="J467" s="2">
        <v>25777.02</v>
      </c>
      <c r="K467">
        <v>157.99</v>
      </c>
      <c r="L467" s="15">
        <f t="shared" si="25"/>
        <v>0</v>
      </c>
      <c r="M467" s="15">
        <f t="shared" si="26"/>
        <v>25777.02</v>
      </c>
      <c r="N467" s="18">
        <v>163.15598827470689</v>
      </c>
      <c r="O467" s="8">
        <v>1</v>
      </c>
      <c r="Q467">
        <f>_xlfn.XLOOKUP(A467,'CONSOLIDADO PEAJES'!H:H,'CONSOLIDADO PEAJES'!AC:AC)</f>
        <v>1</v>
      </c>
    </row>
    <row r="468" spans="1:17" x14ac:dyDescent="0.3">
      <c r="A468" t="s">
        <v>1304</v>
      </c>
      <c r="B468">
        <v>1443051</v>
      </c>
      <c r="C468" t="s">
        <v>1305</v>
      </c>
      <c r="D468" s="8">
        <v>1</v>
      </c>
      <c r="E468">
        <v>1251.143</v>
      </c>
      <c r="F468" s="2">
        <v>-0.38</v>
      </c>
      <c r="H468" s="2">
        <v>135118.13</v>
      </c>
      <c r="I468" s="16">
        <f t="shared" si="27"/>
        <v>107.99575268374599</v>
      </c>
      <c r="J468" s="2">
        <v>22172.25</v>
      </c>
      <c r="K468">
        <v>135.89599999999999</v>
      </c>
      <c r="L468" s="15">
        <f t="shared" si="25"/>
        <v>0</v>
      </c>
      <c r="M468" s="15">
        <f t="shared" si="26"/>
        <v>22172.25</v>
      </c>
      <c r="N468" s="18">
        <v>163.15598827470689</v>
      </c>
      <c r="O468" s="8">
        <v>1</v>
      </c>
      <c r="Q468">
        <f>_xlfn.XLOOKUP(A468,'CONSOLIDADO PEAJES'!H:H,'CONSOLIDADO PEAJES'!AC:AC)</f>
        <v>1</v>
      </c>
    </row>
    <row r="469" spans="1:17" x14ac:dyDescent="0.3">
      <c r="A469" t="s">
        <v>976</v>
      </c>
      <c r="B469">
        <v>1443052</v>
      </c>
      <c r="C469" t="s">
        <v>977</v>
      </c>
      <c r="D469" s="8">
        <v>1</v>
      </c>
      <c r="E469">
        <v>3417.5459999999998</v>
      </c>
      <c r="F469" s="2">
        <v>-2.62</v>
      </c>
      <c r="H469" s="2">
        <v>486766.07</v>
      </c>
      <c r="I469" s="16">
        <f t="shared" si="27"/>
        <v>142.43146105421846</v>
      </c>
      <c r="J469" s="2">
        <v>18596.55</v>
      </c>
      <c r="K469">
        <v>94.116</v>
      </c>
      <c r="L469" s="15">
        <f t="shared" si="25"/>
        <v>0</v>
      </c>
      <c r="M469" s="15">
        <f t="shared" si="26"/>
        <v>18596.55</v>
      </c>
      <c r="N469" s="18">
        <v>197.59164336750544</v>
      </c>
      <c r="O469" s="8">
        <v>1</v>
      </c>
      <c r="Q469">
        <f>_xlfn.XLOOKUP(A469,'CONSOLIDADO PEAJES'!H:H,'CONSOLIDADO PEAJES'!AC:AC)</f>
        <v>0</v>
      </c>
    </row>
    <row r="470" spans="1:17" x14ac:dyDescent="0.3">
      <c r="A470" t="s">
        <v>1132</v>
      </c>
      <c r="B470">
        <v>1442620</v>
      </c>
      <c r="C470" t="s">
        <v>1133</v>
      </c>
      <c r="D470" s="8">
        <v>1</v>
      </c>
      <c r="E470">
        <v>5130.0330000000004</v>
      </c>
      <c r="F470" s="2">
        <v>1.29</v>
      </c>
      <c r="H470" s="2">
        <v>730678.09</v>
      </c>
      <c r="I470" s="16">
        <f t="shared" si="27"/>
        <v>142.43145999255754</v>
      </c>
      <c r="J470" s="2">
        <v>2640.62</v>
      </c>
      <c r="K470">
        <v>13.364000000000001</v>
      </c>
      <c r="L470" s="15">
        <f t="shared" si="25"/>
        <v>0</v>
      </c>
      <c r="M470" s="15">
        <f t="shared" si="26"/>
        <v>2640.62</v>
      </c>
      <c r="N470" s="18">
        <v>197.59164336750544</v>
      </c>
      <c r="O470" s="8">
        <v>1</v>
      </c>
      <c r="Q470">
        <f>_xlfn.XLOOKUP(A470,'CONSOLIDADO PEAJES'!H:H,'CONSOLIDADO PEAJES'!AC:AC)</f>
        <v>0</v>
      </c>
    </row>
    <row r="471" spans="1:17" x14ac:dyDescent="0.3">
      <c r="A471" t="s">
        <v>532</v>
      </c>
      <c r="B471">
        <v>1444836</v>
      </c>
      <c r="C471" t="s">
        <v>533</v>
      </c>
      <c r="D471" s="8">
        <v>1</v>
      </c>
      <c r="E471">
        <v>4124.2960000000003</v>
      </c>
      <c r="F471" s="2">
        <v>-1.43</v>
      </c>
      <c r="H471" s="2">
        <v>587429.5</v>
      </c>
      <c r="I471" s="16">
        <f t="shared" si="27"/>
        <v>142.43145981762706</v>
      </c>
      <c r="J471" s="2">
        <v>262361.93</v>
      </c>
      <c r="K471">
        <v>1327.798</v>
      </c>
      <c r="L471" s="15">
        <f t="shared" si="25"/>
        <v>0</v>
      </c>
      <c r="M471" s="15">
        <f t="shared" si="26"/>
        <v>262361.93</v>
      </c>
      <c r="N471" s="18">
        <v>197.59164336750544</v>
      </c>
      <c r="O471" s="8">
        <v>1</v>
      </c>
      <c r="Q471">
        <f>_xlfn.XLOOKUP(A471,'CONSOLIDADO PEAJES'!H:H,'CONSOLIDADO PEAJES'!AC:AC)</f>
        <v>0</v>
      </c>
    </row>
    <row r="472" spans="1:17" x14ac:dyDescent="0.3">
      <c r="A472" t="s">
        <v>826</v>
      </c>
      <c r="B472">
        <v>1444625</v>
      </c>
      <c r="C472" t="s">
        <v>827</v>
      </c>
      <c r="D472" s="8">
        <v>1</v>
      </c>
      <c r="E472">
        <v>3060.2719999999999</v>
      </c>
      <c r="F472" s="2">
        <v>1.97</v>
      </c>
      <c r="H472" s="2">
        <v>330496.37</v>
      </c>
      <c r="I472" s="16">
        <f t="shared" si="27"/>
        <v>107.99575005097586</v>
      </c>
      <c r="J472" s="2">
        <v>181701.66</v>
      </c>
      <c r="K472">
        <v>1113.6679999999999</v>
      </c>
      <c r="L472" s="15">
        <f t="shared" si="25"/>
        <v>0</v>
      </c>
      <c r="M472" s="15">
        <f t="shared" si="26"/>
        <v>181701.66</v>
      </c>
      <c r="N472" s="18">
        <v>163.15598827470689</v>
      </c>
      <c r="O472" s="8">
        <v>1</v>
      </c>
      <c r="Q472">
        <f>_xlfn.XLOOKUP(A472,'CONSOLIDADO PEAJES'!H:H,'CONSOLIDADO PEAJES'!AC:AC)</f>
        <v>1</v>
      </c>
    </row>
    <row r="473" spans="1:17" x14ac:dyDescent="0.3">
      <c r="A473" t="s">
        <v>106</v>
      </c>
      <c r="B473">
        <v>1444513</v>
      </c>
      <c r="C473" t="s">
        <v>107</v>
      </c>
      <c r="D473" s="8">
        <v>1</v>
      </c>
      <c r="E473">
        <v>3281.7550000000001</v>
      </c>
      <c r="F473" s="2">
        <v>-2.35</v>
      </c>
      <c r="H473" s="2">
        <v>354415.59</v>
      </c>
      <c r="I473" s="16">
        <f t="shared" si="27"/>
        <v>107.995749225643</v>
      </c>
      <c r="J473" s="2">
        <v>176096.76</v>
      </c>
      <c r="K473">
        <v>1079.3150000000001</v>
      </c>
      <c r="L473" s="15">
        <f t="shared" si="25"/>
        <v>0</v>
      </c>
      <c r="M473" s="15">
        <f t="shared" si="26"/>
        <v>176096.76</v>
      </c>
      <c r="N473" s="18">
        <v>163.15598827470689</v>
      </c>
      <c r="O473" s="8">
        <v>1</v>
      </c>
      <c r="Q473">
        <f>_xlfn.XLOOKUP(A473,'CONSOLIDADO PEAJES'!H:H,'CONSOLIDADO PEAJES'!AC:AC)</f>
        <v>1</v>
      </c>
    </row>
    <row r="474" spans="1:17" x14ac:dyDescent="0.3">
      <c r="A474" t="s">
        <v>1579</v>
      </c>
      <c r="B474">
        <v>1446203</v>
      </c>
      <c r="C474" t="s">
        <v>1580</v>
      </c>
      <c r="D474" s="8">
        <v>1</v>
      </c>
      <c r="E474">
        <v>3839.3380000000002</v>
      </c>
      <c r="F474" s="2">
        <v>-2.87</v>
      </c>
      <c r="H474" s="2">
        <v>414632.19</v>
      </c>
      <c r="I474" s="16">
        <f t="shared" si="27"/>
        <v>107.99575082996078</v>
      </c>
      <c r="J474" s="2">
        <v>4770.68</v>
      </c>
      <c r="K474">
        <v>29.24</v>
      </c>
      <c r="L474" s="15">
        <f t="shared" si="25"/>
        <v>0</v>
      </c>
      <c r="M474" s="15">
        <f t="shared" si="26"/>
        <v>4770.68</v>
      </c>
      <c r="N474" s="18">
        <v>163.15598827470689</v>
      </c>
      <c r="O474" s="8">
        <v>1</v>
      </c>
      <c r="Q474">
        <f>_xlfn.XLOOKUP(A474,'CONSOLIDADO PEAJES'!H:H,'CONSOLIDADO PEAJES'!AC:AC)</f>
        <v>1</v>
      </c>
    </row>
    <row r="475" spans="1:17" x14ac:dyDescent="0.3">
      <c r="A475" t="s">
        <v>1470</v>
      </c>
      <c r="B475">
        <v>1446202</v>
      </c>
      <c r="C475" t="s">
        <v>1471</v>
      </c>
      <c r="D475" s="8">
        <v>1</v>
      </c>
      <c r="E475">
        <v>1771.2449999999999</v>
      </c>
      <c r="F475" s="2">
        <v>0.71</v>
      </c>
      <c r="H475" s="2">
        <v>191286.93</v>
      </c>
      <c r="I475" s="16">
        <f t="shared" si="27"/>
        <v>107.99574875299578</v>
      </c>
      <c r="J475" s="2">
        <v>31392.36</v>
      </c>
      <c r="K475">
        <v>192.40700000000001</v>
      </c>
      <c r="L475" s="15">
        <f t="shared" si="25"/>
        <v>0</v>
      </c>
      <c r="M475" s="15">
        <f t="shared" si="26"/>
        <v>31392.36</v>
      </c>
      <c r="N475" s="18">
        <v>163.15598827470689</v>
      </c>
      <c r="O475" s="8">
        <v>1</v>
      </c>
      <c r="Q475">
        <f>_xlfn.XLOOKUP(A475,'CONSOLIDADO PEAJES'!H:H,'CONSOLIDADO PEAJES'!AC:AC)</f>
        <v>1</v>
      </c>
    </row>
    <row r="476" spans="1:17" x14ac:dyDescent="0.3">
      <c r="A476" t="s">
        <v>979</v>
      </c>
      <c r="B476">
        <v>1446204</v>
      </c>
      <c r="C476" t="s">
        <v>980</v>
      </c>
      <c r="D476" s="8">
        <v>1</v>
      </c>
      <c r="E476">
        <v>5978.357</v>
      </c>
      <c r="F476" s="2">
        <v>3.97</v>
      </c>
      <c r="H476" s="2">
        <v>851506.12</v>
      </c>
      <c r="I476" s="16">
        <f t="shared" si="27"/>
        <v>142.4314606839304</v>
      </c>
      <c r="J476" s="2">
        <v>64709.91</v>
      </c>
      <c r="K476">
        <v>327.49299999999999</v>
      </c>
      <c r="L476" s="15">
        <f t="shared" si="25"/>
        <v>0</v>
      </c>
      <c r="M476" s="15">
        <f t="shared" si="26"/>
        <v>64709.91</v>
      </c>
      <c r="N476" s="18">
        <v>197.59164336750544</v>
      </c>
      <c r="O476" s="8">
        <v>1</v>
      </c>
      <c r="Q476">
        <f>_xlfn.XLOOKUP(A476,'CONSOLIDADO PEAJES'!H:H,'CONSOLIDADO PEAJES'!AC:AC)</f>
        <v>0</v>
      </c>
    </row>
    <row r="477" spans="1:17" x14ac:dyDescent="0.3">
      <c r="A477" t="s">
        <v>112</v>
      </c>
      <c r="B477">
        <v>1444512</v>
      </c>
      <c r="C477" t="s">
        <v>113</v>
      </c>
      <c r="D477" s="8">
        <v>1</v>
      </c>
      <c r="E477">
        <v>1069.537</v>
      </c>
      <c r="F477" s="2">
        <v>-0.98</v>
      </c>
      <c r="H477" s="2">
        <v>115505.45</v>
      </c>
      <c r="I477" s="16">
        <f t="shared" si="27"/>
        <v>107.99574956266122</v>
      </c>
      <c r="J477" s="2">
        <v>27085.53</v>
      </c>
      <c r="K477">
        <v>166.01</v>
      </c>
      <c r="L477" s="15">
        <f t="shared" si="25"/>
        <v>0</v>
      </c>
      <c r="M477" s="15">
        <f t="shared" si="26"/>
        <v>27085.53</v>
      </c>
      <c r="N477" s="18">
        <v>163.15598827470689</v>
      </c>
      <c r="O477" s="8">
        <v>1</v>
      </c>
      <c r="Q477">
        <f>_xlfn.XLOOKUP(A477,'CONSOLIDADO PEAJES'!H:H,'CONSOLIDADO PEAJES'!AC:AC)</f>
        <v>1</v>
      </c>
    </row>
    <row r="478" spans="1:17" x14ac:dyDescent="0.3">
      <c r="A478" t="s">
        <v>535</v>
      </c>
      <c r="B478">
        <v>1446205</v>
      </c>
      <c r="C478" t="s">
        <v>536</v>
      </c>
      <c r="D478" s="8">
        <v>1</v>
      </c>
      <c r="E478">
        <v>32129.625</v>
      </c>
      <c r="F478" s="2">
        <v>2.67</v>
      </c>
      <c r="H478" s="2">
        <v>3469862.95</v>
      </c>
      <c r="I478" s="16">
        <f t="shared" si="27"/>
        <v>107.99575002820606</v>
      </c>
      <c r="J478" s="2">
        <v>31554.38</v>
      </c>
      <c r="K478">
        <v>193.4</v>
      </c>
      <c r="L478" s="15">
        <f t="shared" si="25"/>
        <v>0</v>
      </c>
      <c r="M478" s="15">
        <f t="shared" si="26"/>
        <v>31554.38</v>
      </c>
      <c r="N478" s="18">
        <v>163.15598827470689</v>
      </c>
      <c r="O478" s="8">
        <v>1</v>
      </c>
      <c r="Q478">
        <f>_xlfn.XLOOKUP(A478,'CONSOLIDADO PEAJES'!H:H,'CONSOLIDADO PEAJES'!AC:AC)</f>
        <v>1</v>
      </c>
    </row>
    <row r="479" spans="1:17" x14ac:dyDescent="0.3">
      <c r="A479" t="s">
        <v>538</v>
      </c>
      <c r="B479">
        <v>1446201</v>
      </c>
      <c r="C479" t="s">
        <v>539</v>
      </c>
      <c r="D479" s="8">
        <v>1</v>
      </c>
      <c r="E479">
        <v>11534.266</v>
      </c>
      <c r="F479" s="2">
        <v>-1.71</v>
      </c>
      <c r="H479" s="2">
        <v>1245651.71</v>
      </c>
      <c r="I479" s="16">
        <f t="shared" si="27"/>
        <v>107.99575022805959</v>
      </c>
      <c r="L479" s="15">
        <f t="shared" si="25"/>
        <v>0</v>
      </c>
      <c r="M479" s="15">
        <f t="shared" si="26"/>
        <v>0</v>
      </c>
      <c r="N479" s="18">
        <v>163.15598827470689</v>
      </c>
      <c r="O479" s="8">
        <v>1</v>
      </c>
      <c r="Q479">
        <f>_xlfn.XLOOKUP(A479,'CONSOLIDADO PEAJES'!H:H,'CONSOLIDADO PEAJES'!AC:AC)</f>
        <v>1</v>
      </c>
    </row>
    <row r="480" spans="1:17" x14ac:dyDescent="0.3">
      <c r="A480" t="s">
        <v>1066</v>
      </c>
      <c r="B480">
        <v>1445868</v>
      </c>
      <c r="C480" t="s">
        <v>1067</v>
      </c>
      <c r="D480" s="8">
        <v>1</v>
      </c>
      <c r="E480">
        <v>3867.06</v>
      </c>
      <c r="F480" s="2">
        <v>-2.76</v>
      </c>
      <c r="H480" s="2">
        <v>417626.04</v>
      </c>
      <c r="I480" s="16">
        <f t="shared" si="27"/>
        <v>107.99574870832105</v>
      </c>
      <c r="J480" s="2">
        <v>234176.72</v>
      </c>
      <c r="K480">
        <v>1435.2929999999999</v>
      </c>
      <c r="L480" s="15">
        <f t="shared" si="25"/>
        <v>0</v>
      </c>
      <c r="M480" s="15">
        <f t="shared" si="26"/>
        <v>234176.72</v>
      </c>
      <c r="N480" s="18">
        <v>163.15598827470689</v>
      </c>
      <c r="O480" s="8">
        <v>1</v>
      </c>
      <c r="Q480">
        <f>_xlfn.XLOOKUP(A480,'CONSOLIDADO PEAJES'!H:H,'CONSOLIDADO PEAJES'!AC:AC)</f>
        <v>1</v>
      </c>
    </row>
    <row r="481" spans="1:17" x14ac:dyDescent="0.3">
      <c r="A481" t="s">
        <v>1612</v>
      </c>
      <c r="B481">
        <v>1446206</v>
      </c>
      <c r="C481" t="s">
        <v>1613</v>
      </c>
      <c r="D481" s="8">
        <v>1</v>
      </c>
      <c r="E481">
        <v>6197.6689999999999</v>
      </c>
      <c r="F481" s="2">
        <v>1.89</v>
      </c>
      <c r="H481" s="2">
        <v>669321.91</v>
      </c>
      <c r="I481" s="16">
        <f t="shared" si="27"/>
        <v>107.99574969234402</v>
      </c>
      <c r="J481" s="2">
        <v>104226.2</v>
      </c>
      <c r="K481">
        <v>638.81299999999999</v>
      </c>
      <c r="L481" s="15">
        <f t="shared" si="25"/>
        <v>0</v>
      </c>
      <c r="M481" s="15">
        <f t="shared" si="26"/>
        <v>104226.2</v>
      </c>
      <c r="N481" s="18">
        <v>163.15598827470689</v>
      </c>
      <c r="O481" s="8">
        <v>1</v>
      </c>
      <c r="Q481">
        <f>_xlfn.XLOOKUP(A481,'CONSOLIDADO PEAJES'!H:H,'CONSOLIDADO PEAJES'!AC:AC)</f>
        <v>1</v>
      </c>
    </row>
    <row r="482" spans="1:17" x14ac:dyDescent="0.3">
      <c r="A482" t="s">
        <v>550</v>
      </c>
      <c r="B482">
        <v>1449294</v>
      </c>
      <c r="C482" t="s">
        <v>551</v>
      </c>
      <c r="D482" s="8">
        <v>1</v>
      </c>
      <c r="E482">
        <v>1308.434</v>
      </c>
      <c r="F482" s="2">
        <v>-2.1800000000000002</v>
      </c>
      <c r="H482" s="2">
        <v>141305.31</v>
      </c>
      <c r="I482" s="16">
        <f t="shared" si="27"/>
        <v>107.99574911688323</v>
      </c>
      <c r="J482" s="2">
        <v>106.87</v>
      </c>
      <c r="K482">
        <v>0.65500000000000003</v>
      </c>
      <c r="L482" s="15">
        <f t="shared" si="25"/>
        <v>0</v>
      </c>
      <c r="M482" s="15">
        <f t="shared" si="26"/>
        <v>106.87</v>
      </c>
      <c r="N482" s="18">
        <v>163.15598827470689</v>
      </c>
      <c r="O482" s="8">
        <v>1</v>
      </c>
      <c r="Q482">
        <f>_xlfn.XLOOKUP(A482,'CONSOLIDADO PEAJES'!H:H,'CONSOLIDADO PEAJES'!AC:AC)</f>
        <v>1</v>
      </c>
    </row>
    <row r="483" spans="1:17" x14ac:dyDescent="0.3">
      <c r="A483" t="s">
        <v>991</v>
      </c>
      <c r="B483">
        <v>1449296</v>
      </c>
      <c r="C483" t="s">
        <v>992</v>
      </c>
      <c r="D483" s="8">
        <v>1</v>
      </c>
      <c r="E483">
        <v>4775.348</v>
      </c>
      <c r="F483" s="2">
        <v>-4.3899999999999997</v>
      </c>
      <c r="H483" s="2">
        <v>515717.29</v>
      </c>
      <c r="I483" s="16">
        <f t="shared" si="27"/>
        <v>107.99575025736344</v>
      </c>
      <c r="J483" s="2">
        <v>16517.099999999999</v>
      </c>
      <c r="K483">
        <v>101.235</v>
      </c>
      <c r="L483" s="15">
        <f t="shared" si="25"/>
        <v>0</v>
      </c>
      <c r="M483" s="15">
        <f t="shared" si="26"/>
        <v>16517.099999999999</v>
      </c>
      <c r="N483" s="18">
        <v>163.15598827470689</v>
      </c>
      <c r="O483" s="8">
        <v>1</v>
      </c>
      <c r="Q483">
        <f>_xlfn.XLOOKUP(A483,'CONSOLIDADO PEAJES'!H:H,'CONSOLIDADO PEAJES'!AC:AC)</f>
        <v>1</v>
      </c>
    </row>
    <row r="484" spans="1:17" x14ac:dyDescent="0.3">
      <c r="A484" t="s">
        <v>817</v>
      </c>
      <c r="B484">
        <v>1415366</v>
      </c>
      <c r="C484" t="s">
        <v>818</v>
      </c>
      <c r="D484" s="8">
        <v>2</v>
      </c>
      <c r="E484" s="3">
        <v>29167.986000000001</v>
      </c>
      <c r="F484" s="2">
        <v>-4.4800000000000004</v>
      </c>
      <c r="H484" s="2">
        <v>2396561.3199999998</v>
      </c>
      <c r="I484" s="16">
        <f t="shared" si="27"/>
        <v>82.164100051337101</v>
      </c>
      <c r="J484" s="2">
        <v>317623.15999999997</v>
      </c>
      <c r="K484">
        <v>2495.5059999999999</v>
      </c>
      <c r="L484" s="15">
        <f t="shared" si="25"/>
        <v>0</v>
      </c>
      <c r="M484" s="15">
        <f t="shared" si="26"/>
        <v>317623.15999999997</v>
      </c>
      <c r="N484" s="18">
        <f t="shared" si="28"/>
        <v>127.27805903892838</v>
      </c>
      <c r="O484" s="8">
        <v>1</v>
      </c>
      <c r="Q484">
        <f>_xlfn.XLOOKUP(A484,'CONSOLIDADO PEAJES'!H:H,'CONSOLIDADO PEAJES'!AC:AC)</f>
        <v>1</v>
      </c>
    </row>
    <row r="485" spans="1:17" x14ac:dyDescent="0.3">
      <c r="A485" t="s">
        <v>1403</v>
      </c>
      <c r="B485">
        <v>1415364</v>
      </c>
      <c r="C485" t="s">
        <v>1404</v>
      </c>
      <c r="D485" s="8">
        <v>2</v>
      </c>
      <c r="E485" s="3">
        <v>16175.768</v>
      </c>
      <c r="F485" s="2">
        <v>-2.99</v>
      </c>
      <c r="H485" s="2">
        <v>1329067.42</v>
      </c>
      <c r="I485" s="16">
        <f t="shared" si="27"/>
        <v>82.164100029129983</v>
      </c>
      <c r="J485" s="2">
        <v>10235.57</v>
      </c>
      <c r="K485">
        <v>80.418999999999997</v>
      </c>
      <c r="L485" s="15">
        <f t="shared" si="25"/>
        <v>0</v>
      </c>
      <c r="M485" s="15">
        <f t="shared" si="26"/>
        <v>10235.57</v>
      </c>
      <c r="N485" s="18">
        <f t="shared" si="28"/>
        <v>127.27800644126388</v>
      </c>
      <c r="O485" s="8">
        <v>1</v>
      </c>
      <c r="Q485">
        <f>_xlfn.XLOOKUP(A485,'CONSOLIDADO PEAJES'!H:H,'CONSOLIDADO PEAJES'!AC:AC)</f>
        <v>1</v>
      </c>
    </row>
    <row r="486" spans="1:17" x14ac:dyDescent="0.3">
      <c r="A486" t="s">
        <v>1048</v>
      </c>
      <c r="B486">
        <v>1406271</v>
      </c>
      <c r="C486" t="s">
        <v>1049</v>
      </c>
      <c r="D486" s="8">
        <v>2</v>
      </c>
      <c r="E486" s="3">
        <v>31491.756000000001</v>
      </c>
      <c r="F486" s="2">
        <v>-2.1800000000000002</v>
      </c>
      <c r="H486" s="2">
        <v>2587491.79</v>
      </c>
      <c r="I486" s="16">
        <f t="shared" si="27"/>
        <v>82.164100026686341</v>
      </c>
      <c r="J486" s="2">
        <v>83130.39</v>
      </c>
      <c r="K486">
        <v>653.14</v>
      </c>
      <c r="L486" s="15">
        <f t="shared" si="25"/>
        <v>0</v>
      </c>
      <c r="M486" s="15">
        <f t="shared" si="26"/>
        <v>83130.39</v>
      </c>
      <c r="N486" s="18">
        <f t="shared" si="28"/>
        <v>127.27805677190189</v>
      </c>
      <c r="O486" s="8">
        <v>1</v>
      </c>
      <c r="Q486">
        <f>_xlfn.XLOOKUP(A486,'CONSOLIDADO PEAJES'!H:H,'CONSOLIDADO PEAJES'!AC:AC)</f>
        <v>1</v>
      </c>
    </row>
    <row r="487" spans="1:17" x14ac:dyDescent="0.3">
      <c r="A487" t="s">
        <v>22</v>
      </c>
      <c r="B487">
        <v>1333414</v>
      </c>
      <c r="C487" t="s">
        <v>23</v>
      </c>
      <c r="D487" s="8">
        <v>2</v>
      </c>
      <c r="E487" s="3">
        <v>59416.188000000002</v>
      </c>
      <c r="F487" s="2">
        <v>-1.65</v>
      </c>
      <c r="G487" s="2">
        <v>4881877.6099999994</v>
      </c>
      <c r="I487" s="16">
        <f t="shared" si="27"/>
        <v>82.164099958751976</v>
      </c>
      <c r="J487" s="2">
        <v>48554.04</v>
      </c>
      <c r="K487">
        <v>381.48</v>
      </c>
      <c r="L487" s="15">
        <f t="shared" si="25"/>
        <v>0</v>
      </c>
      <c r="M487" s="15">
        <f t="shared" si="26"/>
        <v>48554.04</v>
      </c>
      <c r="N487" s="18">
        <f t="shared" si="28"/>
        <v>127.27807486631016</v>
      </c>
      <c r="O487" s="8">
        <v>1</v>
      </c>
      <c r="Q487">
        <f>_xlfn.XLOOKUP(A487,'CONSOLIDADO PEAJES'!H:H,'CONSOLIDADO PEAJES'!AC:AC)</f>
        <v>1</v>
      </c>
    </row>
    <row r="488" spans="1:17" x14ac:dyDescent="0.3">
      <c r="A488" t="s">
        <v>47</v>
      </c>
      <c r="B488">
        <v>1333428</v>
      </c>
      <c r="C488" t="s">
        <v>48</v>
      </c>
      <c r="D488" s="8">
        <v>2</v>
      </c>
      <c r="E488" s="3">
        <v>48440.694000000003</v>
      </c>
      <c r="F488" s="2">
        <v>-1.92</v>
      </c>
      <c r="G488" s="2">
        <v>3980086.02</v>
      </c>
      <c r="I488" s="16">
        <f t="shared" si="27"/>
        <v>82.164099878502981</v>
      </c>
      <c r="J488" s="2">
        <v>350935.9</v>
      </c>
      <c r="K488">
        <v>2757.2379999999998</v>
      </c>
      <c r="L488" s="15">
        <f t="shared" si="25"/>
        <v>0</v>
      </c>
      <c r="M488" s="15">
        <f t="shared" si="26"/>
        <v>350935.9</v>
      </c>
      <c r="N488" s="18">
        <f t="shared" si="28"/>
        <v>127.2780586949694</v>
      </c>
      <c r="O488" s="8">
        <v>1</v>
      </c>
      <c r="Q488">
        <f>_xlfn.XLOOKUP(A488,'CONSOLIDADO PEAJES'!H:H,'CONSOLIDADO PEAJES'!AC:AC)</f>
        <v>1</v>
      </c>
    </row>
    <row r="489" spans="1:17" x14ac:dyDescent="0.3">
      <c r="A489" t="s">
        <v>1271</v>
      </c>
      <c r="B489">
        <v>1415545</v>
      </c>
      <c r="C489" t="s">
        <v>1272</v>
      </c>
      <c r="D489" s="8">
        <v>2</v>
      </c>
      <c r="E489" s="3">
        <v>35786.788999999997</v>
      </c>
      <c r="F489" s="2">
        <v>-1.72</v>
      </c>
      <c r="H489" s="2">
        <v>2940389.31</v>
      </c>
      <c r="I489" s="16">
        <f t="shared" si="27"/>
        <v>82.164099997907059</v>
      </c>
      <c r="J489" s="2">
        <v>197632.41</v>
      </c>
      <c r="K489">
        <v>1552.761</v>
      </c>
      <c r="L489" s="15">
        <f t="shared" si="25"/>
        <v>0</v>
      </c>
      <c r="M489" s="15">
        <f t="shared" si="26"/>
        <v>197632.41</v>
      </c>
      <c r="N489" s="18">
        <f t="shared" si="28"/>
        <v>127.27806146599509</v>
      </c>
      <c r="O489" s="8">
        <v>1</v>
      </c>
      <c r="Q489">
        <f>_xlfn.XLOOKUP(A489,'CONSOLIDADO PEAJES'!H:H,'CONSOLIDADO PEAJES'!AC:AC)</f>
        <v>1</v>
      </c>
    </row>
    <row r="490" spans="1:17" x14ac:dyDescent="0.3">
      <c r="A490" t="s">
        <v>50</v>
      </c>
      <c r="B490">
        <v>1341490</v>
      </c>
      <c r="C490" t="s">
        <v>51</v>
      </c>
      <c r="D490" s="8">
        <v>2</v>
      </c>
      <c r="E490" s="3">
        <v>49177.248</v>
      </c>
      <c r="F490" s="2">
        <v>-4.33</v>
      </c>
      <c r="G490" s="2">
        <v>4040604.33</v>
      </c>
      <c r="I490" s="16">
        <f t="shared" si="27"/>
        <v>82.164100154608079</v>
      </c>
      <c r="L490" s="15">
        <f t="shared" si="25"/>
        <v>0</v>
      </c>
      <c r="M490" s="15">
        <f t="shared" si="26"/>
        <v>0</v>
      </c>
      <c r="N490" s="18">
        <v>127.27840909090908</v>
      </c>
      <c r="O490" s="8">
        <v>1</v>
      </c>
      <c r="P490" s="8" t="s">
        <v>1650</v>
      </c>
      <c r="Q490">
        <f>_xlfn.XLOOKUP(A490,'CONSOLIDADO PEAJES'!H:H,'CONSOLIDADO PEAJES'!AC:AC)</f>
        <v>0</v>
      </c>
    </row>
    <row r="491" spans="1:17" x14ac:dyDescent="0.3">
      <c r="A491" t="s">
        <v>26</v>
      </c>
      <c r="B491">
        <v>1405491</v>
      </c>
      <c r="C491" t="s">
        <v>27</v>
      </c>
      <c r="D491" s="8">
        <v>2</v>
      </c>
      <c r="E491" s="3">
        <v>69919.044999999998</v>
      </c>
      <c r="F491" s="2">
        <v>0.57999999999999996</v>
      </c>
      <c r="G491" s="2">
        <v>5744835.4000000004</v>
      </c>
      <c r="I491" s="16">
        <f t="shared" si="27"/>
        <v>82.164099924419745</v>
      </c>
      <c r="J491" s="2">
        <v>504.02</v>
      </c>
      <c r="K491">
        <v>3.96</v>
      </c>
      <c r="L491" s="15">
        <f t="shared" si="25"/>
        <v>0</v>
      </c>
      <c r="M491" s="15">
        <f t="shared" si="26"/>
        <v>504.02</v>
      </c>
      <c r="N491" s="18">
        <f t="shared" si="28"/>
        <v>127.27777777777777</v>
      </c>
      <c r="O491" s="8">
        <v>1</v>
      </c>
      <c r="Q491">
        <f>_xlfn.XLOOKUP(A491,'CONSOLIDADO PEAJES'!H:H,'CONSOLIDADO PEAJES'!AC:AC)</f>
        <v>1</v>
      </c>
    </row>
    <row r="492" spans="1:17" x14ac:dyDescent="0.3">
      <c r="A492" t="s">
        <v>562</v>
      </c>
      <c r="B492">
        <v>1308500</v>
      </c>
      <c r="C492" t="s">
        <v>563</v>
      </c>
      <c r="D492" s="8">
        <v>2</v>
      </c>
      <c r="E492" s="3">
        <v>36226.01</v>
      </c>
      <c r="F492" s="2">
        <v>-4.0599999999999996</v>
      </c>
      <c r="H492" s="2">
        <v>2976477.51</v>
      </c>
      <c r="I492" s="16">
        <f t="shared" si="27"/>
        <v>82.164100048556264</v>
      </c>
      <c r="J492" s="2">
        <v>4116.55</v>
      </c>
      <c r="K492">
        <v>32.343000000000004</v>
      </c>
      <c r="L492" s="15">
        <f t="shared" si="25"/>
        <v>0</v>
      </c>
      <c r="M492" s="15">
        <f t="shared" si="26"/>
        <v>4116.55</v>
      </c>
      <c r="N492" s="18">
        <f t="shared" si="28"/>
        <v>127.27792721763596</v>
      </c>
      <c r="O492" s="8">
        <v>1</v>
      </c>
      <c r="Q492">
        <f>_xlfn.XLOOKUP(A492,'CONSOLIDADO PEAJES'!H:H,'CONSOLIDADO PEAJES'!AC:AC)</f>
        <v>1</v>
      </c>
    </row>
    <row r="493" spans="1:17" x14ac:dyDescent="0.3">
      <c r="A493" t="s">
        <v>799</v>
      </c>
      <c r="B493">
        <v>1356147</v>
      </c>
      <c r="C493" t="s">
        <v>800</v>
      </c>
      <c r="D493" s="8">
        <v>2</v>
      </c>
      <c r="E493">
        <v>87533.08</v>
      </c>
      <c r="F493" s="2">
        <v>3.26</v>
      </c>
      <c r="H493" s="2">
        <v>7192076.7400000002</v>
      </c>
      <c r="I493" s="16">
        <f t="shared" si="27"/>
        <v>82.16410001795893</v>
      </c>
      <c r="L493" s="15">
        <f t="shared" si="25"/>
        <v>0</v>
      </c>
      <c r="M493" s="15">
        <f t="shared" si="26"/>
        <v>0</v>
      </c>
      <c r="N493" s="18">
        <v>127.27840909090908</v>
      </c>
      <c r="O493" s="8">
        <v>1</v>
      </c>
      <c r="Q493">
        <f>_xlfn.XLOOKUP(A493,'CONSOLIDADO PEAJES'!H:H,'CONSOLIDADO PEAJES'!AC:AC)</f>
        <v>1</v>
      </c>
    </row>
    <row r="494" spans="1:17" x14ac:dyDescent="0.3">
      <c r="A494" t="s">
        <v>855</v>
      </c>
      <c r="B494">
        <v>1376593</v>
      </c>
      <c r="C494" t="s">
        <v>856</v>
      </c>
      <c r="D494" s="8">
        <v>2</v>
      </c>
      <c r="E494">
        <v>37401.47</v>
      </c>
      <c r="F494" s="2">
        <v>1.88</v>
      </c>
      <c r="H494" s="2">
        <v>3073058.12</v>
      </c>
      <c r="I494" s="16">
        <f t="shared" si="27"/>
        <v>82.164099967193806</v>
      </c>
      <c r="L494" s="15">
        <f t="shared" si="25"/>
        <v>0</v>
      </c>
      <c r="M494" s="15">
        <f t="shared" si="26"/>
        <v>0</v>
      </c>
      <c r="N494" s="18">
        <v>127.27840909090908</v>
      </c>
      <c r="O494" s="8">
        <v>1</v>
      </c>
      <c r="Q494">
        <f>_xlfn.XLOOKUP(A494,'CONSOLIDADO PEAJES'!H:H,'CONSOLIDADO PEAJES'!AC:AC)</f>
        <v>1</v>
      </c>
    </row>
    <row r="495" spans="1:17" x14ac:dyDescent="0.3">
      <c r="A495" t="s">
        <v>323</v>
      </c>
      <c r="B495">
        <v>1377793</v>
      </c>
      <c r="C495" t="s">
        <v>324</v>
      </c>
      <c r="D495" s="8">
        <v>2</v>
      </c>
      <c r="E495">
        <v>32731.256000000001</v>
      </c>
      <c r="F495" s="2">
        <v>-2.34</v>
      </c>
      <c r="H495" s="2">
        <v>2689334.19</v>
      </c>
      <c r="I495" s="16">
        <f t="shared" si="27"/>
        <v>82.16409996609967</v>
      </c>
      <c r="J495" s="2">
        <v>658.15</v>
      </c>
      <c r="K495">
        <v>5.1710000000000003</v>
      </c>
      <c r="L495" s="15">
        <f t="shared" si="25"/>
        <v>0</v>
      </c>
      <c r="M495" s="15">
        <f t="shared" si="26"/>
        <v>658.15</v>
      </c>
      <c r="N495" s="18">
        <f t="shared" si="28"/>
        <v>127.27712241345967</v>
      </c>
      <c r="O495" s="8">
        <v>1</v>
      </c>
      <c r="Q495">
        <f>_xlfn.XLOOKUP(A495,'CONSOLIDADO PEAJES'!H:H,'CONSOLIDADO PEAJES'!AC:AC)</f>
        <v>1</v>
      </c>
    </row>
    <row r="496" spans="1:17" x14ac:dyDescent="0.3">
      <c r="A496" t="s">
        <v>1027</v>
      </c>
      <c r="B496">
        <v>1377760</v>
      </c>
      <c r="C496" t="s">
        <v>1028</v>
      </c>
      <c r="D496" s="8">
        <v>2</v>
      </c>
      <c r="E496">
        <v>16561.544000000002</v>
      </c>
      <c r="F496" s="2">
        <v>3.52</v>
      </c>
      <c r="H496" s="2">
        <v>1360764.36</v>
      </c>
      <c r="I496" s="16">
        <f t="shared" si="27"/>
        <v>82.164100158777458</v>
      </c>
      <c r="J496" s="2">
        <v>82312.12</v>
      </c>
      <c r="K496">
        <v>646.71100000000001</v>
      </c>
      <c r="L496" s="15">
        <f t="shared" si="25"/>
        <v>0</v>
      </c>
      <c r="M496" s="15">
        <f t="shared" si="26"/>
        <v>82312.12</v>
      </c>
      <c r="N496" s="18">
        <f t="shared" si="28"/>
        <v>127.27805774140225</v>
      </c>
      <c r="O496" s="8">
        <v>1</v>
      </c>
      <c r="Q496">
        <f>_xlfn.XLOOKUP(A496,'CONSOLIDADO PEAJES'!H:H,'CONSOLIDADO PEAJES'!AC:AC)</f>
        <v>1</v>
      </c>
    </row>
    <row r="497" spans="1:17" x14ac:dyDescent="0.3">
      <c r="A497" t="s">
        <v>211</v>
      </c>
      <c r="B497">
        <v>1380522</v>
      </c>
      <c r="C497" t="s">
        <v>212</v>
      </c>
      <c r="D497" s="8">
        <v>2</v>
      </c>
      <c r="E497">
        <v>18051.076000000001</v>
      </c>
      <c r="F497" s="2">
        <v>0.24</v>
      </c>
      <c r="H497" s="2">
        <v>1483150.41</v>
      </c>
      <c r="I497" s="16">
        <f t="shared" si="27"/>
        <v>82.164099802139205</v>
      </c>
      <c r="J497" s="2">
        <v>205849.35</v>
      </c>
      <c r="K497">
        <v>1617.32</v>
      </c>
      <c r="L497" s="15">
        <f t="shared" si="25"/>
        <v>0</v>
      </c>
      <c r="M497" s="15">
        <f t="shared" si="26"/>
        <v>205849.35</v>
      </c>
      <c r="N497" s="18">
        <f t="shared" si="28"/>
        <v>127.27805876388099</v>
      </c>
      <c r="O497" s="8">
        <v>1</v>
      </c>
      <c r="Q497">
        <f>_xlfn.XLOOKUP(A497,'CONSOLIDADO PEAJES'!H:H,'CONSOLIDADO PEAJES'!AC:AC)</f>
        <v>1</v>
      </c>
    </row>
    <row r="498" spans="1:17" x14ac:dyDescent="0.3">
      <c r="A498" t="s">
        <v>721</v>
      </c>
      <c r="B498">
        <v>1384359</v>
      </c>
      <c r="C498" t="s">
        <v>722</v>
      </c>
      <c r="D498" s="8">
        <v>2</v>
      </c>
      <c r="E498">
        <v>29956.061000000002</v>
      </c>
      <c r="F498" s="2">
        <v>-1.78</v>
      </c>
      <c r="H498" s="2">
        <v>2461312.79</v>
      </c>
      <c r="I498" s="16">
        <f t="shared" si="27"/>
        <v>82.16409994625127</v>
      </c>
      <c r="J498" s="2">
        <v>735858.99</v>
      </c>
      <c r="K498">
        <v>5781.5069999999996</v>
      </c>
      <c r="L498" s="15">
        <f t="shared" si="25"/>
        <v>0</v>
      </c>
      <c r="M498" s="15">
        <f t="shared" si="26"/>
        <v>735858.99</v>
      </c>
      <c r="N498" s="18">
        <f t="shared" si="28"/>
        <v>127.27805916346725</v>
      </c>
      <c r="O498" s="8">
        <v>1</v>
      </c>
      <c r="Q498">
        <f>_xlfn.XLOOKUP(A498,'CONSOLIDADO PEAJES'!H:H,'CONSOLIDADO PEAJES'!AC:AC)</f>
        <v>1</v>
      </c>
    </row>
    <row r="499" spans="1:17" x14ac:dyDescent="0.3">
      <c r="A499" t="s">
        <v>1603</v>
      </c>
      <c r="B499">
        <v>1384494</v>
      </c>
      <c r="C499" t="s">
        <v>1604</v>
      </c>
      <c r="D499" s="8">
        <v>2</v>
      </c>
      <c r="E499">
        <v>21183.487000000001</v>
      </c>
      <c r="F499" s="2">
        <v>-2.14</v>
      </c>
      <c r="H499" s="2">
        <v>1740522.14</v>
      </c>
      <c r="I499" s="16">
        <f t="shared" si="27"/>
        <v>82.164099800944001</v>
      </c>
      <c r="L499" s="15">
        <f t="shared" si="25"/>
        <v>0</v>
      </c>
      <c r="M499" s="15">
        <f t="shared" si="26"/>
        <v>0</v>
      </c>
      <c r="N499" s="18">
        <v>127.27840909090908</v>
      </c>
      <c r="O499" s="8">
        <v>1</v>
      </c>
      <c r="Q499">
        <f>_xlfn.XLOOKUP(A499,'CONSOLIDADO PEAJES'!H:H,'CONSOLIDADO PEAJES'!AC:AC)</f>
        <v>1</v>
      </c>
    </row>
    <row r="500" spans="1:17" x14ac:dyDescent="0.3">
      <c r="A500" t="s">
        <v>63</v>
      </c>
      <c r="B500">
        <v>1391980</v>
      </c>
      <c r="C500" t="s">
        <v>64</v>
      </c>
      <c r="D500" s="8">
        <v>2</v>
      </c>
      <c r="E500">
        <v>81030.466</v>
      </c>
      <c r="F500" s="2">
        <v>4.6900000000000004</v>
      </c>
      <c r="G500" s="2">
        <v>6657795.3099999996</v>
      </c>
      <c r="I500" s="16">
        <f t="shared" si="27"/>
        <v>82.164099981851265</v>
      </c>
      <c r="L500" s="15">
        <f t="shared" si="25"/>
        <v>0</v>
      </c>
      <c r="M500" s="15">
        <f t="shared" si="26"/>
        <v>0</v>
      </c>
      <c r="N500" s="18">
        <v>127.27840909090908</v>
      </c>
      <c r="O500" s="8">
        <v>1</v>
      </c>
      <c r="Q500">
        <f>_xlfn.XLOOKUP(A500,'CONSOLIDADO PEAJES'!H:H,'CONSOLIDADO PEAJES'!AC:AC)</f>
        <v>1</v>
      </c>
    </row>
    <row r="501" spans="1:17" x14ac:dyDescent="0.3">
      <c r="A501" t="s">
        <v>1536</v>
      </c>
      <c r="B501">
        <v>1398092</v>
      </c>
      <c r="C501" t="s">
        <v>1537</v>
      </c>
      <c r="D501" s="8">
        <v>2</v>
      </c>
      <c r="E501">
        <v>14053.259</v>
      </c>
      <c r="F501" s="2">
        <v>-4.82</v>
      </c>
      <c r="H501" s="2">
        <v>1154673.3799999999</v>
      </c>
      <c r="I501" s="16">
        <f t="shared" si="27"/>
        <v>82.164100156412104</v>
      </c>
      <c r="J501" s="2">
        <v>3991.44</v>
      </c>
      <c r="K501">
        <v>31.36</v>
      </c>
      <c r="L501" s="15">
        <f t="shared" si="25"/>
        <v>0</v>
      </c>
      <c r="M501" s="15">
        <f t="shared" si="26"/>
        <v>3991.44</v>
      </c>
      <c r="N501" s="18">
        <f t="shared" si="28"/>
        <v>127.2780612244898</v>
      </c>
      <c r="O501" s="8">
        <v>1</v>
      </c>
      <c r="Q501">
        <f>_xlfn.XLOOKUP(A501,'CONSOLIDADO PEAJES'!H:H,'CONSOLIDADO PEAJES'!AC:AC)</f>
        <v>1</v>
      </c>
    </row>
    <row r="502" spans="1:17" x14ac:dyDescent="0.3">
      <c r="A502" t="s">
        <v>388</v>
      </c>
      <c r="B502">
        <v>1403651</v>
      </c>
      <c r="C502" t="s">
        <v>389</v>
      </c>
      <c r="D502" s="8">
        <v>2</v>
      </c>
      <c r="E502">
        <v>7946.1959999999999</v>
      </c>
      <c r="F502" s="2">
        <v>-0.06</v>
      </c>
      <c r="H502" s="2">
        <v>652892.04</v>
      </c>
      <c r="I502" s="16">
        <f t="shared" si="27"/>
        <v>82.16409965221095</v>
      </c>
      <c r="J502" s="2">
        <v>448.02</v>
      </c>
      <c r="K502">
        <v>3.52</v>
      </c>
      <c r="L502" s="15">
        <f t="shared" si="25"/>
        <v>0</v>
      </c>
      <c r="M502" s="15">
        <f t="shared" si="26"/>
        <v>448.02</v>
      </c>
      <c r="N502" s="18">
        <f t="shared" si="28"/>
        <v>127.27840909090908</v>
      </c>
      <c r="O502" s="8">
        <v>1</v>
      </c>
      <c r="Q502">
        <f>_xlfn.XLOOKUP(A502,'CONSOLIDADO PEAJES'!H:H,'CONSOLIDADO PEAJES'!AC:AC)</f>
        <v>1</v>
      </c>
    </row>
    <row r="503" spans="1:17" x14ac:dyDescent="0.3">
      <c r="A503" t="s">
        <v>406</v>
      </c>
      <c r="B503">
        <v>1403658</v>
      </c>
      <c r="C503" t="s">
        <v>407</v>
      </c>
      <c r="D503" s="8">
        <v>2</v>
      </c>
      <c r="E503">
        <v>6407.8320000000003</v>
      </c>
      <c r="F503" s="2">
        <v>-3.75</v>
      </c>
      <c r="H503" s="2">
        <v>526493.75</v>
      </c>
      <c r="I503" s="16">
        <f t="shared" si="27"/>
        <v>82.164100119978173</v>
      </c>
      <c r="L503" s="15">
        <f t="shared" si="25"/>
        <v>0</v>
      </c>
      <c r="M503" s="15">
        <f t="shared" si="26"/>
        <v>0</v>
      </c>
      <c r="N503" s="18">
        <v>127.27840909090908</v>
      </c>
      <c r="O503" s="8">
        <v>1</v>
      </c>
      <c r="Q503">
        <f>_xlfn.XLOOKUP(A503,'CONSOLIDADO PEAJES'!H:H,'CONSOLIDADO PEAJES'!AC:AC)</f>
        <v>1</v>
      </c>
    </row>
    <row r="504" spans="1:17" x14ac:dyDescent="0.3">
      <c r="A504" t="s">
        <v>889</v>
      </c>
      <c r="B504">
        <v>1400914</v>
      </c>
      <c r="C504" t="s">
        <v>890</v>
      </c>
      <c r="D504" s="8">
        <v>2</v>
      </c>
      <c r="E504">
        <v>55124.517</v>
      </c>
      <c r="F504" s="2">
        <v>3.67</v>
      </c>
      <c r="H504" s="2">
        <v>4529256.33</v>
      </c>
      <c r="I504" s="16">
        <f t="shared" si="27"/>
        <v>82.164100050073912</v>
      </c>
      <c r="L504" s="15">
        <f t="shared" si="25"/>
        <v>0</v>
      </c>
      <c r="M504" s="15">
        <f t="shared" si="26"/>
        <v>0</v>
      </c>
      <c r="N504" s="18">
        <v>127.27840909090908</v>
      </c>
      <c r="O504" s="8">
        <v>1</v>
      </c>
      <c r="Q504">
        <f>_xlfn.XLOOKUP(A504,'CONSOLIDADO PEAJES'!H:H,'CONSOLIDADO PEAJES'!AC:AC)</f>
        <v>1</v>
      </c>
    </row>
    <row r="505" spans="1:17" x14ac:dyDescent="0.3">
      <c r="A505" t="s">
        <v>727</v>
      </c>
      <c r="B505">
        <v>1406185</v>
      </c>
      <c r="C505" t="s">
        <v>728</v>
      </c>
      <c r="D505" s="8">
        <v>2</v>
      </c>
      <c r="E505">
        <v>71134.724000000002</v>
      </c>
      <c r="F505" s="2">
        <v>-0.57999999999999996</v>
      </c>
      <c r="H505" s="2">
        <v>5844720.5800000001</v>
      </c>
      <c r="I505" s="16">
        <f t="shared" si="27"/>
        <v>82.164100053301681</v>
      </c>
      <c r="L505" s="15">
        <f t="shared" si="25"/>
        <v>0</v>
      </c>
      <c r="M505" s="15">
        <f t="shared" si="26"/>
        <v>0</v>
      </c>
      <c r="N505" s="18">
        <v>127.27840909090908</v>
      </c>
      <c r="O505" s="8">
        <v>1</v>
      </c>
      <c r="Q505">
        <f>_xlfn.XLOOKUP(A505,'CONSOLIDADO PEAJES'!H:H,'CONSOLIDADO PEAJES'!AC:AC)</f>
        <v>1</v>
      </c>
    </row>
    <row r="506" spans="1:17" x14ac:dyDescent="0.3">
      <c r="A506" t="s">
        <v>913</v>
      </c>
      <c r="B506">
        <v>1412137</v>
      </c>
      <c r="C506" t="s">
        <v>914</v>
      </c>
      <c r="D506" s="8">
        <v>2</v>
      </c>
      <c r="E506">
        <v>24602.367999999999</v>
      </c>
      <c r="F506" s="2">
        <v>-1.42</v>
      </c>
      <c r="H506" s="2">
        <v>2021431.42</v>
      </c>
      <c r="I506" s="16">
        <f t="shared" si="27"/>
        <v>82.164099813481371</v>
      </c>
      <c r="L506" s="15">
        <f t="shared" si="25"/>
        <v>0</v>
      </c>
      <c r="M506" s="15">
        <f t="shared" si="26"/>
        <v>0</v>
      </c>
      <c r="N506" s="18">
        <v>127.27840909090908</v>
      </c>
      <c r="O506" s="8">
        <v>1</v>
      </c>
      <c r="Q506">
        <f>_xlfn.XLOOKUP(A506,'CONSOLIDADO PEAJES'!H:H,'CONSOLIDADO PEAJES'!AC:AC)</f>
        <v>1</v>
      </c>
    </row>
    <row r="507" spans="1:17" x14ac:dyDescent="0.3">
      <c r="A507" t="s">
        <v>1265</v>
      </c>
      <c r="B507">
        <v>1413688</v>
      </c>
      <c r="C507" t="s">
        <v>1266</v>
      </c>
      <c r="D507" s="8">
        <v>2</v>
      </c>
      <c r="E507">
        <v>33692.730000000003</v>
      </c>
      <c r="F507" s="2">
        <v>-2.84</v>
      </c>
      <c r="H507" s="2">
        <v>2768332.84</v>
      </c>
      <c r="I507" s="16">
        <f t="shared" si="27"/>
        <v>82.164100089247725</v>
      </c>
      <c r="L507" s="15">
        <f t="shared" si="25"/>
        <v>0</v>
      </c>
      <c r="M507" s="15">
        <f t="shared" si="26"/>
        <v>0</v>
      </c>
      <c r="N507" s="18">
        <v>127.27840909090908</v>
      </c>
      <c r="O507" s="8">
        <v>1</v>
      </c>
      <c r="Q507">
        <f>_xlfn.XLOOKUP(A507,'CONSOLIDADO PEAJES'!H:H,'CONSOLIDADO PEAJES'!AC:AC)</f>
        <v>1</v>
      </c>
    </row>
    <row r="508" spans="1:17" x14ac:dyDescent="0.3">
      <c r="A508" t="s">
        <v>931</v>
      </c>
      <c r="B508">
        <v>1415538</v>
      </c>
      <c r="C508" t="s">
        <v>932</v>
      </c>
      <c r="D508" s="8">
        <v>2</v>
      </c>
      <c r="E508">
        <v>25749.681</v>
      </c>
      <c r="F508" s="2">
        <v>2.08</v>
      </c>
      <c r="H508" s="2">
        <v>2115699.36</v>
      </c>
      <c r="I508" s="16">
        <f t="shared" si="27"/>
        <v>82.164099819333671</v>
      </c>
      <c r="J508" s="2">
        <v>13398.56</v>
      </c>
      <c r="K508">
        <v>105.27</v>
      </c>
      <c r="L508" s="15">
        <f t="shared" si="25"/>
        <v>0</v>
      </c>
      <c r="M508" s="15">
        <f t="shared" si="26"/>
        <v>13398.56</v>
      </c>
      <c r="N508" s="18">
        <f t="shared" si="28"/>
        <v>127.27804692694974</v>
      </c>
      <c r="O508" s="8">
        <v>1</v>
      </c>
      <c r="Q508">
        <f>_xlfn.XLOOKUP(A508,'CONSOLIDADO PEAJES'!H:H,'CONSOLIDADO PEAJES'!AC:AC)</f>
        <v>1</v>
      </c>
    </row>
    <row r="509" spans="1:17" x14ac:dyDescent="0.3">
      <c r="A509" t="s">
        <v>925</v>
      </c>
      <c r="B509">
        <v>1415539</v>
      </c>
      <c r="C509" t="s">
        <v>926</v>
      </c>
      <c r="D509" s="8">
        <v>2</v>
      </c>
      <c r="E509">
        <v>86122.778000000006</v>
      </c>
      <c r="F509" s="2">
        <v>-1.95</v>
      </c>
      <c r="H509" s="2">
        <v>7076200.54</v>
      </c>
      <c r="I509" s="16">
        <f t="shared" si="27"/>
        <v>82.164099955066476</v>
      </c>
      <c r="J509" s="2">
        <v>10331.41</v>
      </c>
      <c r="K509">
        <v>81.171999999999997</v>
      </c>
      <c r="L509" s="15">
        <f t="shared" si="25"/>
        <v>0</v>
      </c>
      <c r="M509" s="15">
        <f t="shared" si="26"/>
        <v>10331.41</v>
      </c>
      <c r="N509" s="18">
        <f t="shared" si="28"/>
        <v>127.2780022667915</v>
      </c>
      <c r="O509" s="8">
        <v>1</v>
      </c>
      <c r="Q509">
        <f>_xlfn.XLOOKUP(A509,'CONSOLIDADO PEAJES'!H:H,'CONSOLIDADO PEAJES'!AC:AC)</f>
        <v>1</v>
      </c>
    </row>
    <row r="510" spans="1:17" x14ac:dyDescent="0.3">
      <c r="A510" t="s">
        <v>1081</v>
      </c>
      <c r="B510">
        <v>1424769</v>
      </c>
      <c r="C510" t="s">
        <v>1082</v>
      </c>
      <c r="D510" s="8">
        <v>2</v>
      </c>
      <c r="E510">
        <v>11751.71</v>
      </c>
      <c r="F510" s="2">
        <v>1.71</v>
      </c>
      <c r="H510" s="2">
        <v>965568.68</v>
      </c>
      <c r="I510" s="16">
        <f t="shared" si="27"/>
        <v>82.164100373477567</v>
      </c>
      <c r="J510" s="2">
        <v>4107269.61</v>
      </c>
      <c r="K510">
        <v>32270.052</v>
      </c>
      <c r="L510" s="15">
        <f t="shared" si="25"/>
        <v>0</v>
      </c>
      <c r="M510" s="15">
        <f t="shared" si="26"/>
        <v>4107269.61</v>
      </c>
      <c r="N510" s="18">
        <f t="shared" si="28"/>
        <v>127.27805985562092</v>
      </c>
      <c r="O510" s="8">
        <v>1</v>
      </c>
      <c r="Q510">
        <f>_xlfn.XLOOKUP(A510,'CONSOLIDADO PEAJES'!H:H,'CONSOLIDADO PEAJES'!AC:AC)</f>
        <v>1</v>
      </c>
    </row>
    <row r="511" spans="1:17" x14ac:dyDescent="0.3">
      <c r="A511" t="s">
        <v>90</v>
      </c>
      <c r="B511">
        <v>1420782</v>
      </c>
      <c r="C511" t="s">
        <v>91</v>
      </c>
      <c r="D511" s="8">
        <v>2</v>
      </c>
      <c r="E511">
        <v>19580.592000000001</v>
      </c>
      <c r="F511" s="2">
        <v>2.37</v>
      </c>
      <c r="H511" s="2">
        <v>1608821.72</v>
      </c>
      <c r="I511" s="16">
        <f t="shared" si="27"/>
        <v>82.164100043553333</v>
      </c>
      <c r="J511" s="2">
        <v>196235.91</v>
      </c>
      <c r="K511">
        <v>1541.789</v>
      </c>
      <c r="L511" s="15">
        <f t="shared" si="25"/>
        <v>196235.91</v>
      </c>
      <c r="M511" s="15">
        <f t="shared" si="26"/>
        <v>392471.82</v>
      </c>
      <c r="N511" s="18">
        <f t="shared" si="28"/>
        <v>127.2780581519261</v>
      </c>
      <c r="O511" s="8">
        <v>2</v>
      </c>
      <c r="Q511">
        <f>_xlfn.XLOOKUP(A511,'CONSOLIDADO PEAJES'!H:H,'CONSOLIDADO PEAJES'!AC:AC)</f>
        <v>1</v>
      </c>
    </row>
    <row r="512" spans="1:17" x14ac:dyDescent="0.3">
      <c r="A512" t="s">
        <v>526</v>
      </c>
      <c r="B512">
        <v>1444791</v>
      </c>
      <c r="C512" t="s">
        <v>527</v>
      </c>
      <c r="D512" s="8">
        <v>2</v>
      </c>
      <c r="E512">
        <v>53961.294999999998</v>
      </c>
      <c r="F512" s="2">
        <v>1.56</v>
      </c>
      <c r="H512" s="2">
        <v>4433681.24</v>
      </c>
      <c r="I512" s="16">
        <f t="shared" si="27"/>
        <v>82.164100027621657</v>
      </c>
      <c r="J512" s="2">
        <v>2078987.2</v>
      </c>
      <c r="K512">
        <v>16334.215</v>
      </c>
      <c r="L512" s="15">
        <f t="shared" si="25"/>
        <v>0</v>
      </c>
      <c r="M512" s="15">
        <f t="shared" si="26"/>
        <v>2078987.2</v>
      </c>
      <c r="N512" s="18">
        <f t="shared" si="28"/>
        <v>127.27806019450583</v>
      </c>
      <c r="O512" s="8">
        <v>1</v>
      </c>
      <c r="Q512">
        <f>_xlfn.XLOOKUP(A512,'CONSOLIDADO PEAJES'!H:H,'CONSOLIDADO PEAJES'!AC:AC)</f>
        <v>1</v>
      </c>
    </row>
    <row r="513" spans="1:17" x14ac:dyDescent="0.3">
      <c r="A513" t="s">
        <v>1473</v>
      </c>
      <c r="B513">
        <v>1427128</v>
      </c>
      <c r="C513" t="s">
        <v>1474</v>
      </c>
      <c r="D513" s="8">
        <v>2</v>
      </c>
      <c r="E513">
        <v>24293.755000000001</v>
      </c>
      <c r="F513" s="2">
        <v>-0.43</v>
      </c>
      <c r="H513" s="2">
        <v>1996074.52</v>
      </c>
      <c r="I513" s="16">
        <f t="shared" si="27"/>
        <v>82.164100197766871</v>
      </c>
      <c r="J513" s="2">
        <v>1326685.9099999999</v>
      </c>
      <c r="K513">
        <v>10423.523999999999</v>
      </c>
      <c r="L513" s="15">
        <f t="shared" si="25"/>
        <v>0</v>
      </c>
      <c r="M513" s="15">
        <f t="shared" si="26"/>
        <v>1326685.9099999999</v>
      </c>
      <c r="N513" s="18">
        <f t="shared" si="28"/>
        <v>127.2780597041845</v>
      </c>
      <c r="O513" s="8">
        <v>1</v>
      </c>
      <c r="Q513">
        <f>_xlfn.XLOOKUP(A513,'CONSOLIDADO PEAJES'!H:H,'CONSOLIDADO PEAJES'!AC:AC)</f>
        <v>1</v>
      </c>
    </row>
    <row r="514" spans="1:17" x14ac:dyDescent="0.3">
      <c r="A514" t="s">
        <v>1192</v>
      </c>
      <c r="B514">
        <v>1448586</v>
      </c>
      <c r="C514" t="s">
        <v>1193</v>
      </c>
      <c r="D514" s="8">
        <v>2</v>
      </c>
      <c r="E514">
        <v>31721.773000000001</v>
      </c>
      <c r="F514" s="2">
        <v>3.28</v>
      </c>
      <c r="H514" s="2">
        <v>2606390.9300000002</v>
      </c>
      <c r="I514" s="16">
        <f t="shared" si="27"/>
        <v>82.164100033122367</v>
      </c>
      <c r="J514" s="2">
        <v>27965.79</v>
      </c>
      <c r="K514">
        <v>219.72200000000001</v>
      </c>
      <c r="L514" s="15">
        <f t="shared" si="25"/>
        <v>0</v>
      </c>
      <c r="M514" s="15">
        <f t="shared" ref="M514:M577" si="29">(J514*O514)</f>
        <v>27965.79</v>
      </c>
      <c r="N514" s="18">
        <f t="shared" si="28"/>
        <v>127.27806045821538</v>
      </c>
      <c r="O514" s="8">
        <v>1</v>
      </c>
      <c r="Q514">
        <f>_xlfn.XLOOKUP(A514,'CONSOLIDADO PEAJES'!H:H,'CONSOLIDADO PEAJES'!AC:AC)</f>
        <v>1</v>
      </c>
    </row>
    <row r="515" spans="1:17" x14ac:dyDescent="0.3">
      <c r="A515" t="s">
        <v>1135</v>
      </c>
      <c r="B515">
        <v>1450084</v>
      </c>
      <c r="C515" t="s">
        <v>1136</v>
      </c>
      <c r="D515" s="8">
        <v>2</v>
      </c>
      <c r="E515">
        <v>3870.5360000000001</v>
      </c>
      <c r="F515" s="2">
        <v>-0.33</v>
      </c>
      <c r="H515" s="2">
        <v>318019.11</v>
      </c>
      <c r="I515" s="16">
        <f t="shared" ref="I515:I516" si="30">(G515+H515)/E515</f>
        <v>82.164100786041004</v>
      </c>
      <c r="J515" s="2">
        <v>18261.22</v>
      </c>
      <c r="K515">
        <v>143.47499999999999</v>
      </c>
      <c r="L515" s="15">
        <f t="shared" si="25"/>
        <v>0</v>
      </c>
      <c r="M515" s="15">
        <f t="shared" si="29"/>
        <v>18261.22</v>
      </c>
      <c r="N515" s="18">
        <f t="shared" ref="N515:N516" si="31">M515/K515/O515</f>
        <v>127.27806238020563</v>
      </c>
      <c r="O515" s="8">
        <v>1</v>
      </c>
      <c r="Q515">
        <f>_xlfn.XLOOKUP(A515,'CONSOLIDADO PEAJES'!H:H,'CONSOLIDADO PEAJES'!AC:AC)</f>
        <v>0</v>
      </c>
    </row>
    <row r="516" spans="1:17" x14ac:dyDescent="0.3">
      <c r="A516" t="s">
        <v>865</v>
      </c>
      <c r="B516">
        <v>1450127</v>
      </c>
      <c r="C516" t="s">
        <v>866</v>
      </c>
      <c r="D516" s="8">
        <v>2</v>
      </c>
      <c r="E516">
        <v>806.60199999999998</v>
      </c>
      <c r="F516" s="2">
        <v>-3.73</v>
      </c>
      <c r="H516" s="2">
        <v>66273.73</v>
      </c>
      <c r="I516" s="16">
        <f t="shared" si="30"/>
        <v>82.164103238028176</v>
      </c>
      <c r="L516" s="15">
        <f t="shared" si="25"/>
        <v>0</v>
      </c>
      <c r="M516" s="15">
        <f t="shared" si="29"/>
        <v>0</v>
      </c>
      <c r="N516" s="18">
        <v>127.27840909090908</v>
      </c>
      <c r="O516" s="8">
        <v>1</v>
      </c>
      <c r="Q516">
        <f>_xlfn.XLOOKUP(A516,'CONSOLIDADO PEAJES'!H:H,'CONSOLIDADO PEAJES'!AC:AC)</f>
        <v>0</v>
      </c>
    </row>
  </sheetData>
  <autoFilter ref="A1:P516" xr:uid="{4C9E26AE-8547-4E36-B93A-68B6B168CCB1}">
    <sortState xmlns:xlrd2="http://schemas.microsoft.com/office/spreadsheetml/2017/richdata2" ref="A2:P516">
      <sortCondition ref="D1:D516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47AE-17E7-4BC4-96A4-FB9E714B66A7}">
  <dimension ref="A1:AD1910"/>
  <sheetViews>
    <sheetView topLeftCell="R1" zoomScale="80" zoomScaleNormal="80" workbookViewId="0">
      <selection activeCell="AC1" sqref="AC1"/>
    </sheetView>
  </sheetViews>
  <sheetFormatPr baseColWidth="10" defaultRowHeight="14.4" x14ac:dyDescent="0.3"/>
  <cols>
    <col min="15" max="15" width="17.109375" style="2" bestFit="1" customWidth="1"/>
    <col min="16" max="16" width="11.44140625" style="3"/>
    <col min="22" max="22" width="11.44140625" style="8"/>
    <col min="23" max="23" width="27.88671875" customWidth="1"/>
  </cols>
  <sheetData>
    <row r="1" spans="1:30" x14ac:dyDescent="0.3">
      <c r="A1" s="4" t="s">
        <v>1628</v>
      </c>
      <c r="B1" s="4" t="s">
        <v>1629</v>
      </c>
      <c r="C1" s="4" t="s">
        <v>0</v>
      </c>
      <c r="D1" s="4" t="s">
        <v>1630</v>
      </c>
      <c r="E1" s="4" t="s">
        <v>1631</v>
      </c>
      <c r="F1" s="4" t="s">
        <v>1632</v>
      </c>
      <c r="G1" s="5" t="s">
        <v>1633</v>
      </c>
      <c r="H1" s="4" t="s">
        <v>1634</v>
      </c>
      <c r="I1" s="4" t="s">
        <v>1</v>
      </c>
      <c r="J1" s="4" t="s">
        <v>1635</v>
      </c>
      <c r="K1" s="4" t="s">
        <v>2</v>
      </c>
      <c r="L1" s="4" t="s">
        <v>1636</v>
      </c>
      <c r="M1" s="4" t="s">
        <v>1637</v>
      </c>
      <c r="N1" s="4" t="s">
        <v>1638</v>
      </c>
      <c r="O1" s="6" t="s">
        <v>1639</v>
      </c>
      <c r="P1" s="7" t="s">
        <v>1640</v>
      </c>
      <c r="Q1" s="4" t="s">
        <v>1641</v>
      </c>
      <c r="R1" s="4" t="s">
        <v>1642</v>
      </c>
      <c r="S1" s="4" t="s">
        <v>1643</v>
      </c>
      <c r="T1" s="4" t="s">
        <v>1644</v>
      </c>
      <c r="U1" s="4" t="s">
        <v>1645</v>
      </c>
      <c r="V1" s="4" t="s">
        <v>1646</v>
      </c>
      <c r="W1" s="4" t="s">
        <v>1647</v>
      </c>
      <c r="X1" s="4" t="s">
        <v>3</v>
      </c>
      <c r="Y1" s="4" t="s">
        <v>1648</v>
      </c>
      <c r="Z1" s="4" t="s">
        <v>1649</v>
      </c>
      <c r="AA1" s="4" t="s">
        <v>4</v>
      </c>
      <c r="AB1" s="4" t="s">
        <v>5</v>
      </c>
      <c r="AC1" s="4" t="s">
        <v>6</v>
      </c>
      <c r="AD1" s="4" t="s">
        <v>1650</v>
      </c>
    </row>
    <row r="2" spans="1:30" x14ac:dyDescent="0.3">
      <c r="A2" t="s">
        <v>66</v>
      </c>
      <c r="B2">
        <v>1333414</v>
      </c>
      <c r="D2" t="s">
        <v>7</v>
      </c>
      <c r="E2">
        <v>941507</v>
      </c>
      <c r="F2">
        <v>9015884123</v>
      </c>
      <c r="G2">
        <v>48</v>
      </c>
      <c r="H2" t="s">
        <v>22</v>
      </c>
      <c r="I2">
        <v>0</v>
      </c>
      <c r="J2" t="s">
        <v>23</v>
      </c>
      <c r="K2" t="s">
        <v>8</v>
      </c>
      <c r="L2" t="s">
        <v>15</v>
      </c>
      <c r="M2" t="s">
        <v>9</v>
      </c>
      <c r="N2" t="s">
        <v>14</v>
      </c>
      <c r="O2" s="2">
        <v>0</v>
      </c>
      <c r="P2" s="3">
        <v>59416.188000000002</v>
      </c>
      <c r="Q2" s="1">
        <v>46031</v>
      </c>
      <c r="R2" s="1">
        <v>45992</v>
      </c>
      <c r="S2" s="1">
        <v>46022</v>
      </c>
      <c r="V2" s="8">
        <v>2</v>
      </c>
      <c r="W2" t="s">
        <v>24</v>
      </c>
      <c r="X2" t="s">
        <v>25</v>
      </c>
      <c r="Y2" t="s">
        <v>17</v>
      </c>
      <c r="Z2" t="s">
        <v>11</v>
      </c>
      <c r="AA2">
        <v>62371</v>
      </c>
      <c r="AB2">
        <v>21107168</v>
      </c>
      <c r="AC2">
        <v>1</v>
      </c>
      <c r="AD2" s="8"/>
    </row>
    <row r="3" spans="1:30" x14ac:dyDescent="0.3">
      <c r="A3" t="s">
        <v>66</v>
      </c>
      <c r="B3">
        <v>1405491</v>
      </c>
      <c r="D3" t="s">
        <v>7</v>
      </c>
      <c r="E3">
        <v>941518</v>
      </c>
      <c r="F3">
        <v>9015884123</v>
      </c>
      <c r="G3">
        <v>305</v>
      </c>
      <c r="H3" t="s">
        <v>26</v>
      </c>
      <c r="I3">
        <v>0</v>
      </c>
      <c r="J3" t="s">
        <v>27</v>
      </c>
      <c r="K3" t="s">
        <v>8</v>
      </c>
      <c r="L3" t="s">
        <v>18</v>
      </c>
      <c r="M3" t="s">
        <v>9</v>
      </c>
      <c r="N3" t="s">
        <v>14</v>
      </c>
      <c r="O3" s="2">
        <v>0.57999999999999996</v>
      </c>
      <c r="P3" s="3">
        <v>0</v>
      </c>
      <c r="Q3" s="1">
        <v>46031</v>
      </c>
      <c r="R3" s="1">
        <v>45992</v>
      </c>
      <c r="S3" s="1">
        <v>46022</v>
      </c>
      <c r="V3" s="8">
        <v>2</v>
      </c>
      <c r="W3" t="s">
        <v>24</v>
      </c>
      <c r="X3" t="s">
        <v>28</v>
      </c>
      <c r="Y3" t="s">
        <v>10</v>
      </c>
      <c r="Z3" t="s">
        <v>11</v>
      </c>
      <c r="AA3">
        <v>62371</v>
      </c>
      <c r="AB3">
        <v>19397544</v>
      </c>
      <c r="AC3">
        <v>1</v>
      </c>
      <c r="AD3" s="8"/>
    </row>
    <row r="4" spans="1:30" x14ac:dyDescent="0.3">
      <c r="A4" t="s">
        <v>66</v>
      </c>
      <c r="B4">
        <v>1333414</v>
      </c>
      <c r="D4" t="s">
        <v>7</v>
      </c>
      <c r="E4">
        <v>941507</v>
      </c>
      <c r="F4">
        <v>9015884123</v>
      </c>
      <c r="G4">
        <v>48</v>
      </c>
      <c r="H4" t="s">
        <v>22</v>
      </c>
      <c r="I4">
        <v>0</v>
      </c>
      <c r="J4" t="s">
        <v>23</v>
      </c>
      <c r="K4" t="s">
        <v>8</v>
      </c>
      <c r="L4" t="s">
        <v>19</v>
      </c>
      <c r="M4" t="s">
        <v>16</v>
      </c>
      <c r="N4" t="s">
        <v>14</v>
      </c>
      <c r="O4" s="2">
        <v>40237.69</v>
      </c>
      <c r="P4" s="3">
        <v>316.14</v>
      </c>
      <c r="Q4" s="1">
        <v>46031</v>
      </c>
      <c r="R4" s="1">
        <v>45992</v>
      </c>
      <c r="S4" s="1">
        <v>46022</v>
      </c>
      <c r="V4" s="8">
        <v>2</v>
      </c>
      <c r="W4" t="s">
        <v>24</v>
      </c>
      <c r="X4" t="s">
        <v>25</v>
      </c>
      <c r="Y4" t="s">
        <v>17</v>
      </c>
      <c r="Z4" t="s">
        <v>11</v>
      </c>
      <c r="AA4">
        <v>62371</v>
      </c>
      <c r="AB4">
        <v>21107168</v>
      </c>
      <c r="AC4">
        <v>1</v>
      </c>
      <c r="AD4" s="8"/>
    </row>
    <row r="5" spans="1:30" x14ac:dyDescent="0.3">
      <c r="A5" t="s">
        <v>66</v>
      </c>
      <c r="B5">
        <v>1333428</v>
      </c>
      <c r="D5" t="s">
        <v>7</v>
      </c>
      <c r="E5">
        <v>941510</v>
      </c>
      <c r="F5">
        <v>9015884123</v>
      </c>
      <c r="G5">
        <v>49</v>
      </c>
      <c r="H5" t="s">
        <v>47</v>
      </c>
      <c r="I5">
        <v>0</v>
      </c>
      <c r="J5" t="s">
        <v>48</v>
      </c>
      <c r="K5" t="s">
        <v>8</v>
      </c>
      <c r="L5" t="s">
        <v>12</v>
      </c>
      <c r="M5" t="s">
        <v>13</v>
      </c>
      <c r="N5" t="s">
        <v>14</v>
      </c>
      <c r="O5" s="2">
        <v>507696.9</v>
      </c>
      <c r="P5" s="3">
        <v>6179.06</v>
      </c>
      <c r="Q5" s="1">
        <v>46031</v>
      </c>
      <c r="R5" s="1">
        <v>45992</v>
      </c>
      <c r="S5" s="1">
        <v>46022</v>
      </c>
      <c r="V5" s="8">
        <v>2</v>
      </c>
      <c r="W5" t="s">
        <v>24</v>
      </c>
      <c r="X5" t="s">
        <v>49</v>
      </c>
      <c r="Y5" t="s">
        <v>17</v>
      </c>
      <c r="Z5" t="s">
        <v>11</v>
      </c>
      <c r="AA5">
        <v>62371</v>
      </c>
      <c r="AB5">
        <v>21139379</v>
      </c>
      <c r="AC5">
        <v>1</v>
      </c>
      <c r="AD5" s="8"/>
    </row>
    <row r="6" spans="1:30" x14ac:dyDescent="0.3">
      <c r="A6" t="s">
        <v>66</v>
      </c>
      <c r="B6">
        <v>1333428</v>
      </c>
      <c r="D6" t="s">
        <v>7</v>
      </c>
      <c r="E6">
        <v>941510</v>
      </c>
      <c r="F6">
        <v>9015884123</v>
      </c>
      <c r="G6">
        <v>49</v>
      </c>
      <c r="H6" t="s">
        <v>47</v>
      </c>
      <c r="I6">
        <v>0</v>
      </c>
      <c r="J6" t="s">
        <v>48</v>
      </c>
      <c r="K6" t="s">
        <v>8</v>
      </c>
      <c r="L6" t="s">
        <v>15</v>
      </c>
      <c r="M6" t="s">
        <v>9</v>
      </c>
      <c r="N6" t="s">
        <v>14</v>
      </c>
      <c r="O6" s="2">
        <v>0</v>
      </c>
      <c r="P6" s="3">
        <v>48440.694000000003</v>
      </c>
      <c r="Q6" s="1">
        <v>46031</v>
      </c>
      <c r="R6" s="1">
        <v>45992</v>
      </c>
      <c r="S6" s="1">
        <v>46022</v>
      </c>
      <c r="V6" s="8">
        <v>2</v>
      </c>
      <c r="W6" t="s">
        <v>24</v>
      </c>
      <c r="X6" t="s">
        <v>49</v>
      </c>
      <c r="Y6" t="s">
        <v>17</v>
      </c>
      <c r="Z6" t="s">
        <v>11</v>
      </c>
      <c r="AA6">
        <v>62371</v>
      </c>
      <c r="AB6">
        <v>21139379</v>
      </c>
      <c r="AC6">
        <v>1</v>
      </c>
      <c r="AD6" s="8"/>
    </row>
    <row r="7" spans="1:30" x14ac:dyDescent="0.3">
      <c r="A7" t="s">
        <v>66</v>
      </c>
      <c r="B7">
        <v>1341490</v>
      </c>
      <c r="D7" t="s">
        <v>7</v>
      </c>
      <c r="E7">
        <v>941513</v>
      </c>
      <c r="F7">
        <v>9015884123</v>
      </c>
      <c r="G7">
        <v>79</v>
      </c>
      <c r="H7" t="s">
        <v>50</v>
      </c>
      <c r="I7">
        <v>0</v>
      </c>
      <c r="J7" t="s">
        <v>51</v>
      </c>
      <c r="K7" t="s">
        <v>8</v>
      </c>
      <c r="L7" t="s">
        <v>18</v>
      </c>
      <c r="M7" t="s">
        <v>9</v>
      </c>
      <c r="N7" t="s">
        <v>14</v>
      </c>
      <c r="O7" s="2">
        <v>-4.33</v>
      </c>
      <c r="P7" s="3">
        <v>0</v>
      </c>
      <c r="Q7" s="1">
        <v>46031</v>
      </c>
      <c r="R7" s="1">
        <v>45992</v>
      </c>
      <c r="S7" s="1">
        <v>46022</v>
      </c>
      <c r="V7" s="8">
        <v>2</v>
      </c>
      <c r="W7" t="s">
        <v>24</v>
      </c>
      <c r="X7" t="s">
        <v>52</v>
      </c>
      <c r="Y7" t="s">
        <v>17</v>
      </c>
      <c r="Z7" t="s">
        <v>11</v>
      </c>
      <c r="AA7">
        <v>62371</v>
      </c>
      <c r="AB7">
        <v>21135098</v>
      </c>
      <c r="AC7">
        <v>0</v>
      </c>
      <c r="AD7" s="8" t="s">
        <v>1650</v>
      </c>
    </row>
    <row r="8" spans="1:30" x14ac:dyDescent="0.3">
      <c r="A8" t="s">
        <v>66</v>
      </c>
      <c r="B8">
        <v>1341490</v>
      </c>
      <c r="D8" t="s">
        <v>7</v>
      </c>
      <c r="E8">
        <v>941513</v>
      </c>
      <c r="F8">
        <v>9015884123</v>
      </c>
      <c r="G8">
        <v>79</v>
      </c>
      <c r="H8" t="s">
        <v>50</v>
      </c>
      <c r="I8">
        <v>0</v>
      </c>
      <c r="J8" t="s">
        <v>51</v>
      </c>
      <c r="K8" t="s">
        <v>8</v>
      </c>
      <c r="L8" t="s">
        <v>12</v>
      </c>
      <c r="M8" t="s">
        <v>16</v>
      </c>
      <c r="N8" t="s">
        <v>14</v>
      </c>
      <c r="O8" s="2">
        <v>3452796.11</v>
      </c>
      <c r="P8" s="3">
        <v>42023.171999999999</v>
      </c>
      <c r="Q8" s="1">
        <v>46031</v>
      </c>
      <c r="R8" s="1">
        <v>45992</v>
      </c>
      <c r="S8" s="1">
        <v>46022</v>
      </c>
      <c r="V8" s="8">
        <v>2</v>
      </c>
      <c r="W8" t="s">
        <v>24</v>
      </c>
      <c r="X8" t="s">
        <v>52</v>
      </c>
      <c r="Y8" t="s">
        <v>17</v>
      </c>
      <c r="Z8" t="s">
        <v>11</v>
      </c>
      <c r="AA8">
        <v>62371</v>
      </c>
      <c r="AB8">
        <v>21135098</v>
      </c>
      <c r="AC8">
        <v>0</v>
      </c>
      <c r="AD8" s="8" t="s">
        <v>1650</v>
      </c>
    </row>
    <row r="9" spans="1:30" x14ac:dyDescent="0.3">
      <c r="A9" t="s">
        <v>66</v>
      </c>
      <c r="B9">
        <v>1341490</v>
      </c>
      <c r="D9" t="s">
        <v>7</v>
      </c>
      <c r="E9">
        <v>941513</v>
      </c>
      <c r="F9">
        <v>9015884123</v>
      </c>
      <c r="G9">
        <v>79</v>
      </c>
      <c r="H9" t="s">
        <v>50</v>
      </c>
      <c r="I9">
        <v>0</v>
      </c>
      <c r="J9" t="s">
        <v>51</v>
      </c>
      <c r="K9" t="s">
        <v>8</v>
      </c>
      <c r="L9" t="s">
        <v>12</v>
      </c>
      <c r="M9" t="s">
        <v>13</v>
      </c>
      <c r="N9" t="s">
        <v>14</v>
      </c>
      <c r="O9" s="2">
        <v>587808.22</v>
      </c>
      <c r="P9" s="3">
        <v>7154.076</v>
      </c>
      <c r="Q9" s="1">
        <v>46031</v>
      </c>
      <c r="R9" s="1">
        <v>45992</v>
      </c>
      <c r="S9" s="1">
        <v>46022</v>
      </c>
      <c r="V9" s="8">
        <v>2</v>
      </c>
      <c r="W9" t="s">
        <v>24</v>
      </c>
      <c r="X9" t="s">
        <v>52</v>
      </c>
      <c r="Y9" t="s">
        <v>17</v>
      </c>
      <c r="Z9" t="s">
        <v>11</v>
      </c>
      <c r="AA9">
        <v>62371</v>
      </c>
      <c r="AB9">
        <v>21135098</v>
      </c>
      <c r="AC9">
        <v>0</v>
      </c>
      <c r="AD9" s="8" t="s">
        <v>1650</v>
      </c>
    </row>
    <row r="10" spans="1:30" x14ac:dyDescent="0.3">
      <c r="A10" t="s">
        <v>66</v>
      </c>
      <c r="B10">
        <v>1333414</v>
      </c>
      <c r="D10" t="s">
        <v>7</v>
      </c>
      <c r="E10">
        <v>941507</v>
      </c>
      <c r="F10">
        <v>9015884123</v>
      </c>
      <c r="G10">
        <v>48</v>
      </c>
      <c r="H10" t="s">
        <v>22</v>
      </c>
      <c r="I10">
        <v>0</v>
      </c>
      <c r="J10" t="s">
        <v>23</v>
      </c>
      <c r="K10" t="s">
        <v>8</v>
      </c>
      <c r="L10" t="s">
        <v>12</v>
      </c>
      <c r="M10" t="s">
        <v>16</v>
      </c>
      <c r="N10" t="s">
        <v>14</v>
      </c>
      <c r="O10" s="2">
        <v>4290296.67</v>
      </c>
      <c r="P10" s="3">
        <v>52216.195</v>
      </c>
      <c r="Q10" s="1">
        <v>46031</v>
      </c>
      <c r="R10" s="1">
        <v>45992</v>
      </c>
      <c r="S10" s="1">
        <v>46022</v>
      </c>
      <c r="V10" s="8">
        <v>2</v>
      </c>
      <c r="W10" t="s">
        <v>24</v>
      </c>
      <c r="X10" t="s">
        <v>25</v>
      </c>
      <c r="Y10" t="s">
        <v>17</v>
      </c>
      <c r="Z10" t="s">
        <v>11</v>
      </c>
      <c r="AA10">
        <v>62371</v>
      </c>
      <c r="AB10">
        <v>21107168</v>
      </c>
      <c r="AC10">
        <v>1</v>
      </c>
      <c r="AD10" s="8"/>
    </row>
    <row r="11" spans="1:30" x14ac:dyDescent="0.3">
      <c r="A11" t="s">
        <v>66</v>
      </c>
      <c r="B11">
        <v>1395792</v>
      </c>
      <c r="D11" t="s">
        <v>7</v>
      </c>
      <c r="E11">
        <v>941515</v>
      </c>
      <c r="F11">
        <v>9015884123</v>
      </c>
      <c r="G11">
        <v>242</v>
      </c>
      <c r="H11" t="s">
        <v>58</v>
      </c>
      <c r="I11">
        <v>0</v>
      </c>
      <c r="J11" t="s">
        <v>59</v>
      </c>
      <c r="K11" t="s">
        <v>8</v>
      </c>
      <c r="L11" t="s">
        <v>18</v>
      </c>
      <c r="M11" t="s">
        <v>9</v>
      </c>
      <c r="N11" t="s">
        <v>14</v>
      </c>
      <c r="O11" s="2">
        <v>-1.36</v>
      </c>
      <c r="P11" s="3">
        <v>0</v>
      </c>
      <c r="Q11" s="1">
        <v>46031</v>
      </c>
      <c r="R11" s="1">
        <v>45992</v>
      </c>
      <c r="S11" s="1">
        <v>46022</v>
      </c>
      <c r="V11" s="8">
        <v>1</v>
      </c>
      <c r="W11" t="s">
        <v>24</v>
      </c>
      <c r="X11" t="s">
        <v>60</v>
      </c>
      <c r="Y11" t="s">
        <v>10</v>
      </c>
      <c r="Z11" t="s">
        <v>11</v>
      </c>
      <c r="AA11">
        <v>62371</v>
      </c>
      <c r="AB11">
        <v>17053469</v>
      </c>
      <c r="AC11">
        <v>1</v>
      </c>
      <c r="AD11" s="8"/>
    </row>
    <row r="12" spans="1:30" x14ac:dyDescent="0.3">
      <c r="A12" t="s">
        <v>66</v>
      </c>
      <c r="B12">
        <v>1333428</v>
      </c>
      <c r="D12" t="s">
        <v>7</v>
      </c>
      <c r="E12">
        <v>941510</v>
      </c>
      <c r="F12">
        <v>9015884123</v>
      </c>
      <c r="G12">
        <v>49</v>
      </c>
      <c r="H12" t="s">
        <v>47</v>
      </c>
      <c r="I12">
        <v>0</v>
      </c>
      <c r="J12" t="s">
        <v>48</v>
      </c>
      <c r="K12" t="s">
        <v>8</v>
      </c>
      <c r="L12" t="s">
        <v>18</v>
      </c>
      <c r="M12" t="s">
        <v>9</v>
      </c>
      <c r="N12" t="s">
        <v>14</v>
      </c>
      <c r="O12" s="2">
        <v>-1.92</v>
      </c>
      <c r="P12" s="3">
        <v>0</v>
      </c>
      <c r="Q12" s="1">
        <v>46031</v>
      </c>
      <c r="R12" s="1">
        <v>45992</v>
      </c>
      <c r="S12" s="1">
        <v>46022</v>
      </c>
      <c r="V12" s="8">
        <v>2</v>
      </c>
      <c r="W12" t="s">
        <v>24</v>
      </c>
      <c r="X12" t="s">
        <v>49</v>
      </c>
      <c r="Y12" t="s">
        <v>17</v>
      </c>
      <c r="Z12" t="s">
        <v>11</v>
      </c>
      <c r="AA12">
        <v>62371</v>
      </c>
      <c r="AB12">
        <v>21139379</v>
      </c>
      <c r="AC12">
        <v>1</v>
      </c>
      <c r="AD12" s="8"/>
    </row>
    <row r="13" spans="1:30" x14ac:dyDescent="0.3">
      <c r="A13" t="s">
        <v>66</v>
      </c>
      <c r="B13">
        <v>1333428</v>
      </c>
      <c r="D13" t="s">
        <v>7</v>
      </c>
      <c r="E13">
        <v>941510</v>
      </c>
      <c r="F13">
        <v>9015884123</v>
      </c>
      <c r="G13">
        <v>49</v>
      </c>
      <c r="H13" t="s">
        <v>47</v>
      </c>
      <c r="I13">
        <v>0</v>
      </c>
      <c r="J13" t="s">
        <v>48</v>
      </c>
      <c r="K13" t="s">
        <v>8</v>
      </c>
      <c r="L13" t="s">
        <v>19</v>
      </c>
      <c r="M13" t="s">
        <v>13</v>
      </c>
      <c r="N13" t="s">
        <v>14</v>
      </c>
      <c r="O13" s="2">
        <v>49416.47</v>
      </c>
      <c r="P13" s="3">
        <v>388.25599999999997</v>
      </c>
      <c r="Q13" s="1">
        <v>46031</v>
      </c>
      <c r="R13" s="1">
        <v>45992</v>
      </c>
      <c r="S13" s="1">
        <v>46022</v>
      </c>
      <c r="V13" s="8">
        <v>2</v>
      </c>
      <c r="W13" t="s">
        <v>24</v>
      </c>
      <c r="X13" t="s">
        <v>49</v>
      </c>
      <c r="Y13" t="s">
        <v>17</v>
      </c>
      <c r="Z13" t="s">
        <v>11</v>
      </c>
      <c r="AA13">
        <v>62371</v>
      </c>
      <c r="AB13">
        <v>21139379</v>
      </c>
      <c r="AC13">
        <v>1</v>
      </c>
      <c r="AD13" s="8"/>
    </row>
    <row r="14" spans="1:30" x14ac:dyDescent="0.3">
      <c r="A14" t="s">
        <v>66</v>
      </c>
      <c r="B14">
        <v>1333414</v>
      </c>
      <c r="D14" t="s">
        <v>7</v>
      </c>
      <c r="E14">
        <v>941507</v>
      </c>
      <c r="F14">
        <v>9015884123</v>
      </c>
      <c r="G14">
        <v>48</v>
      </c>
      <c r="H14" t="s">
        <v>22</v>
      </c>
      <c r="I14">
        <v>0</v>
      </c>
      <c r="J14" t="s">
        <v>23</v>
      </c>
      <c r="K14" t="s">
        <v>8</v>
      </c>
      <c r="L14" t="s">
        <v>18</v>
      </c>
      <c r="M14" t="s">
        <v>9</v>
      </c>
      <c r="N14" t="s">
        <v>14</v>
      </c>
      <c r="O14" s="2">
        <v>-1.65</v>
      </c>
      <c r="P14" s="3">
        <v>0</v>
      </c>
      <c r="Q14" s="1">
        <v>46031</v>
      </c>
      <c r="R14" s="1">
        <v>45992</v>
      </c>
      <c r="S14" s="1">
        <v>46022</v>
      </c>
      <c r="V14" s="8">
        <v>2</v>
      </c>
      <c r="W14" t="s">
        <v>24</v>
      </c>
      <c r="X14" t="s">
        <v>25</v>
      </c>
      <c r="Y14" t="s">
        <v>17</v>
      </c>
      <c r="Z14" t="s">
        <v>11</v>
      </c>
      <c r="AA14">
        <v>62371</v>
      </c>
      <c r="AB14">
        <v>21107168</v>
      </c>
      <c r="AC14">
        <v>1</v>
      </c>
      <c r="AD14" s="8"/>
    </row>
    <row r="15" spans="1:30" x14ac:dyDescent="0.3">
      <c r="A15" t="s">
        <v>66</v>
      </c>
      <c r="B15">
        <v>1333414</v>
      </c>
      <c r="D15" t="s">
        <v>7</v>
      </c>
      <c r="E15">
        <v>941507</v>
      </c>
      <c r="F15">
        <v>9015884123</v>
      </c>
      <c r="G15">
        <v>48</v>
      </c>
      <c r="H15" t="s">
        <v>22</v>
      </c>
      <c r="I15">
        <v>0</v>
      </c>
      <c r="J15" t="s">
        <v>23</v>
      </c>
      <c r="K15" t="s">
        <v>8</v>
      </c>
      <c r="L15" t="s">
        <v>19</v>
      </c>
      <c r="M15" t="s">
        <v>13</v>
      </c>
      <c r="N15" t="s">
        <v>14</v>
      </c>
      <c r="O15" s="2">
        <v>8316.35</v>
      </c>
      <c r="P15" s="3">
        <v>65.34</v>
      </c>
      <c r="Q15" s="1">
        <v>46031</v>
      </c>
      <c r="R15" s="1">
        <v>45992</v>
      </c>
      <c r="S15" s="1">
        <v>46022</v>
      </c>
      <c r="V15" s="8">
        <v>2</v>
      </c>
      <c r="W15" t="s">
        <v>24</v>
      </c>
      <c r="X15" t="s">
        <v>25</v>
      </c>
      <c r="Y15" t="s">
        <v>17</v>
      </c>
      <c r="Z15" t="s">
        <v>11</v>
      </c>
      <c r="AA15">
        <v>62371</v>
      </c>
      <c r="AB15">
        <v>21107168</v>
      </c>
      <c r="AC15">
        <v>1</v>
      </c>
      <c r="AD15" s="8"/>
    </row>
    <row r="16" spans="1:30" x14ac:dyDescent="0.3">
      <c r="A16" t="s">
        <v>66</v>
      </c>
      <c r="B16">
        <v>1391980</v>
      </c>
      <c r="D16" t="s">
        <v>7</v>
      </c>
      <c r="E16">
        <v>941514</v>
      </c>
      <c r="F16">
        <v>9015884123</v>
      </c>
      <c r="G16">
        <v>237</v>
      </c>
      <c r="H16" t="s">
        <v>63</v>
      </c>
      <c r="I16">
        <v>0</v>
      </c>
      <c r="J16" t="s">
        <v>64</v>
      </c>
      <c r="K16" t="s">
        <v>8</v>
      </c>
      <c r="L16" t="s">
        <v>12</v>
      </c>
      <c r="M16" t="s">
        <v>13</v>
      </c>
      <c r="N16" t="s">
        <v>14</v>
      </c>
      <c r="O16" s="2">
        <v>878100.47</v>
      </c>
      <c r="P16" s="3">
        <v>10687.155000000001</v>
      </c>
      <c r="Q16" s="1">
        <v>46031</v>
      </c>
      <c r="R16" s="1">
        <v>45992</v>
      </c>
      <c r="S16" s="1">
        <v>46022</v>
      </c>
      <c r="V16" s="8">
        <v>2</v>
      </c>
      <c r="W16" t="s">
        <v>24</v>
      </c>
      <c r="X16" t="s">
        <v>65</v>
      </c>
      <c r="Y16" t="s">
        <v>10</v>
      </c>
      <c r="Z16" t="s">
        <v>11</v>
      </c>
      <c r="AA16">
        <v>62371</v>
      </c>
      <c r="AB16">
        <v>17177216</v>
      </c>
      <c r="AC16">
        <v>1</v>
      </c>
      <c r="AD16" s="8"/>
    </row>
    <row r="17" spans="1:30" x14ac:dyDescent="0.3">
      <c r="A17" t="s">
        <v>66</v>
      </c>
      <c r="B17">
        <v>1395792</v>
      </c>
      <c r="D17" t="s">
        <v>7</v>
      </c>
      <c r="E17">
        <v>941515</v>
      </c>
      <c r="F17">
        <v>9015884123</v>
      </c>
      <c r="G17">
        <v>242</v>
      </c>
      <c r="H17" t="s">
        <v>58</v>
      </c>
      <c r="I17">
        <v>0</v>
      </c>
      <c r="J17" t="s">
        <v>59</v>
      </c>
      <c r="K17" t="s">
        <v>8</v>
      </c>
      <c r="L17" t="s">
        <v>15</v>
      </c>
      <c r="M17" t="s">
        <v>9</v>
      </c>
      <c r="N17" t="s">
        <v>14</v>
      </c>
      <c r="O17" s="2">
        <v>0</v>
      </c>
      <c r="P17" s="3">
        <v>57069.387999999999</v>
      </c>
      <c r="Q17" s="1">
        <v>46031</v>
      </c>
      <c r="R17" s="1">
        <v>45992</v>
      </c>
      <c r="S17" s="1">
        <v>46022</v>
      </c>
      <c r="V17" s="8">
        <v>1</v>
      </c>
      <c r="W17" t="s">
        <v>24</v>
      </c>
      <c r="X17" t="s">
        <v>60</v>
      </c>
      <c r="Y17" t="s">
        <v>10</v>
      </c>
      <c r="Z17" t="s">
        <v>11</v>
      </c>
      <c r="AA17">
        <v>62371</v>
      </c>
      <c r="AB17">
        <v>17053469</v>
      </c>
      <c r="AC17">
        <v>1</v>
      </c>
      <c r="AD17" s="8"/>
    </row>
    <row r="18" spans="1:30" x14ac:dyDescent="0.3">
      <c r="A18" t="s">
        <v>66</v>
      </c>
      <c r="B18">
        <v>1333414</v>
      </c>
      <c r="D18" t="s">
        <v>7</v>
      </c>
      <c r="E18">
        <v>941507</v>
      </c>
      <c r="F18">
        <v>9015884123</v>
      </c>
      <c r="G18">
        <v>48</v>
      </c>
      <c r="H18" t="s">
        <v>22</v>
      </c>
      <c r="I18">
        <v>0</v>
      </c>
      <c r="J18" t="s">
        <v>23</v>
      </c>
      <c r="K18" t="s">
        <v>8</v>
      </c>
      <c r="L18" t="s">
        <v>12</v>
      </c>
      <c r="M18" t="s">
        <v>13</v>
      </c>
      <c r="N18" t="s">
        <v>14</v>
      </c>
      <c r="O18" s="2">
        <v>591580.93999999994</v>
      </c>
      <c r="P18" s="3">
        <v>7199.9930000000004</v>
      </c>
      <c r="Q18" s="1">
        <v>46031</v>
      </c>
      <c r="R18" s="1">
        <v>45992</v>
      </c>
      <c r="S18" s="1">
        <v>46022</v>
      </c>
      <c r="V18" s="8">
        <v>2</v>
      </c>
      <c r="W18" t="s">
        <v>24</v>
      </c>
      <c r="X18" t="s">
        <v>25</v>
      </c>
      <c r="Y18" t="s">
        <v>17</v>
      </c>
      <c r="Z18" t="s">
        <v>11</v>
      </c>
      <c r="AA18">
        <v>62371</v>
      </c>
      <c r="AB18">
        <v>21107168</v>
      </c>
      <c r="AC18">
        <v>1</v>
      </c>
      <c r="AD18" s="8"/>
    </row>
    <row r="19" spans="1:30" x14ac:dyDescent="0.3">
      <c r="A19" t="s">
        <v>66</v>
      </c>
      <c r="B19">
        <v>1333428</v>
      </c>
      <c r="D19" t="s">
        <v>7</v>
      </c>
      <c r="E19">
        <v>941510</v>
      </c>
      <c r="F19">
        <v>9015884123</v>
      </c>
      <c r="G19">
        <v>49</v>
      </c>
      <c r="H19" t="s">
        <v>47</v>
      </c>
      <c r="I19">
        <v>0</v>
      </c>
      <c r="J19" t="s">
        <v>48</v>
      </c>
      <c r="K19" t="s">
        <v>8</v>
      </c>
      <c r="L19" t="s">
        <v>19</v>
      </c>
      <c r="M19" t="s">
        <v>16</v>
      </c>
      <c r="N19" t="s">
        <v>14</v>
      </c>
      <c r="O19" s="2">
        <v>301519.43</v>
      </c>
      <c r="P19" s="3">
        <v>2368.982</v>
      </c>
      <c r="Q19" s="1">
        <v>46031</v>
      </c>
      <c r="R19" s="1">
        <v>45992</v>
      </c>
      <c r="S19" s="1">
        <v>46022</v>
      </c>
      <c r="V19" s="8">
        <v>2</v>
      </c>
      <c r="W19" t="s">
        <v>24</v>
      </c>
      <c r="X19" t="s">
        <v>49</v>
      </c>
      <c r="Y19" t="s">
        <v>17</v>
      </c>
      <c r="Z19" t="s">
        <v>11</v>
      </c>
      <c r="AA19">
        <v>62371</v>
      </c>
      <c r="AB19">
        <v>21139379</v>
      </c>
      <c r="AC19">
        <v>1</v>
      </c>
      <c r="AD19" s="8"/>
    </row>
    <row r="20" spans="1:30" x14ac:dyDescent="0.3">
      <c r="A20" t="s">
        <v>66</v>
      </c>
      <c r="B20">
        <v>1391980</v>
      </c>
      <c r="D20" t="s">
        <v>7</v>
      </c>
      <c r="E20">
        <v>941514</v>
      </c>
      <c r="F20">
        <v>9015884123</v>
      </c>
      <c r="G20">
        <v>237</v>
      </c>
      <c r="H20" t="s">
        <v>63</v>
      </c>
      <c r="I20">
        <v>0</v>
      </c>
      <c r="J20" t="s">
        <v>64</v>
      </c>
      <c r="K20" t="s">
        <v>8</v>
      </c>
      <c r="L20" t="s">
        <v>18</v>
      </c>
      <c r="M20" t="s">
        <v>9</v>
      </c>
      <c r="N20" t="s">
        <v>14</v>
      </c>
      <c r="O20" s="2">
        <v>4.6900000000000004</v>
      </c>
      <c r="P20" s="3">
        <v>0</v>
      </c>
      <c r="Q20" s="1">
        <v>46031</v>
      </c>
      <c r="R20" s="1">
        <v>45992</v>
      </c>
      <c r="S20" s="1">
        <v>46022</v>
      </c>
      <c r="V20" s="8">
        <v>2</v>
      </c>
      <c r="W20" t="s">
        <v>24</v>
      </c>
      <c r="X20" t="s">
        <v>65</v>
      </c>
      <c r="Y20" t="s">
        <v>10</v>
      </c>
      <c r="Z20" t="s">
        <v>11</v>
      </c>
      <c r="AA20">
        <v>62371</v>
      </c>
      <c r="AB20">
        <v>17177216</v>
      </c>
      <c r="AC20">
        <v>1</v>
      </c>
      <c r="AD20" s="8"/>
    </row>
    <row r="21" spans="1:30" x14ac:dyDescent="0.3">
      <c r="A21" t="s">
        <v>66</v>
      </c>
      <c r="B21">
        <v>1395792</v>
      </c>
      <c r="D21" t="s">
        <v>7</v>
      </c>
      <c r="E21">
        <v>941515</v>
      </c>
      <c r="F21">
        <v>9015884123</v>
      </c>
      <c r="G21">
        <v>242</v>
      </c>
      <c r="H21" t="s">
        <v>58</v>
      </c>
      <c r="I21">
        <v>0</v>
      </c>
      <c r="J21" t="s">
        <v>59</v>
      </c>
      <c r="K21" t="s">
        <v>8</v>
      </c>
      <c r="L21" t="s">
        <v>12</v>
      </c>
      <c r="M21" t="s">
        <v>13</v>
      </c>
      <c r="N21" t="s">
        <v>14</v>
      </c>
      <c r="O21" s="2">
        <v>1011876.87</v>
      </c>
      <c r="P21" s="3">
        <v>9369.5990000000002</v>
      </c>
      <c r="Q21" s="1">
        <v>46031</v>
      </c>
      <c r="R21" s="1">
        <v>45992</v>
      </c>
      <c r="S21" s="1">
        <v>46022</v>
      </c>
      <c r="V21" s="8">
        <v>1</v>
      </c>
      <c r="W21" t="s">
        <v>24</v>
      </c>
      <c r="X21" t="s">
        <v>60</v>
      </c>
      <c r="Y21" t="s">
        <v>10</v>
      </c>
      <c r="Z21" t="s">
        <v>11</v>
      </c>
      <c r="AA21">
        <v>62371</v>
      </c>
      <c r="AB21">
        <v>17053469</v>
      </c>
      <c r="AC21">
        <v>1</v>
      </c>
      <c r="AD21" s="8"/>
    </row>
    <row r="22" spans="1:30" x14ac:dyDescent="0.3">
      <c r="A22" t="s">
        <v>66</v>
      </c>
      <c r="B22">
        <v>1405491</v>
      </c>
      <c r="D22" t="s">
        <v>7</v>
      </c>
      <c r="E22">
        <v>941518</v>
      </c>
      <c r="F22">
        <v>9015884123</v>
      </c>
      <c r="G22">
        <v>305</v>
      </c>
      <c r="H22" t="s">
        <v>26</v>
      </c>
      <c r="I22">
        <v>0</v>
      </c>
      <c r="J22" t="s">
        <v>27</v>
      </c>
      <c r="K22" t="s">
        <v>8</v>
      </c>
      <c r="L22" t="s">
        <v>19</v>
      </c>
      <c r="M22" t="s">
        <v>16</v>
      </c>
      <c r="N22" t="s">
        <v>14</v>
      </c>
      <c r="O22" s="2">
        <v>504.02</v>
      </c>
      <c r="P22" s="3">
        <v>3.96</v>
      </c>
      <c r="Q22" s="1">
        <v>46031</v>
      </c>
      <c r="R22" s="1">
        <v>45992</v>
      </c>
      <c r="S22" s="1">
        <v>46022</v>
      </c>
      <c r="V22" s="8">
        <v>2</v>
      </c>
      <c r="W22" t="s">
        <v>24</v>
      </c>
      <c r="X22" t="s">
        <v>28</v>
      </c>
      <c r="Y22" t="s">
        <v>10</v>
      </c>
      <c r="Z22" t="s">
        <v>11</v>
      </c>
      <c r="AA22">
        <v>62371</v>
      </c>
      <c r="AB22">
        <v>19397544</v>
      </c>
      <c r="AC22">
        <v>1</v>
      </c>
      <c r="AD22" s="8"/>
    </row>
    <row r="23" spans="1:30" x14ac:dyDescent="0.3">
      <c r="A23" t="s">
        <v>66</v>
      </c>
      <c r="B23">
        <v>1333428</v>
      </c>
      <c r="D23" t="s">
        <v>7</v>
      </c>
      <c r="E23">
        <v>941510</v>
      </c>
      <c r="F23">
        <v>9015884123</v>
      </c>
      <c r="G23">
        <v>49</v>
      </c>
      <c r="H23" t="s">
        <v>47</v>
      </c>
      <c r="I23">
        <v>0</v>
      </c>
      <c r="J23" t="s">
        <v>48</v>
      </c>
      <c r="K23" t="s">
        <v>8</v>
      </c>
      <c r="L23" t="s">
        <v>12</v>
      </c>
      <c r="M23" t="s">
        <v>16</v>
      </c>
      <c r="N23" t="s">
        <v>14</v>
      </c>
      <c r="O23" s="2">
        <v>3472389.12</v>
      </c>
      <c r="P23" s="3">
        <v>42261.633999999998</v>
      </c>
      <c r="Q23" s="1">
        <v>46031</v>
      </c>
      <c r="R23" s="1">
        <v>45992</v>
      </c>
      <c r="S23" s="1">
        <v>46022</v>
      </c>
      <c r="V23" s="8">
        <v>2</v>
      </c>
      <c r="W23" t="s">
        <v>24</v>
      </c>
      <c r="X23" t="s">
        <v>49</v>
      </c>
      <c r="Y23" t="s">
        <v>17</v>
      </c>
      <c r="Z23" t="s">
        <v>11</v>
      </c>
      <c r="AA23">
        <v>62371</v>
      </c>
      <c r="AB23">
        <v>21139379</v>
      </c>
      <c r="AC23">
        <v>1</v>
      </c>
      <c r="AD23" s="8"/>
    </row>
    <row r="24" spans="1:30" x14ac:dyDescent="0.3">
      <c r="A24" t="s">
        <v>66</v>
      </c>
      <c r="B24">
        <v>1405491</v>
      </c>
      <c r="D24" t="s">
        <v>7</v>
      </c>
      <c r="E24">
        <v>941518</v>
      </c>
      <c r="F24">
        <v>9015884123</v>
      </c>
      <c r="G24">
        <v>305</v>
      </c>
      <c r="H24" t="s">
        <v>26</v>
      </c>
      <c r="I24">
        <v>0</v>
      </c>
      <c r="J24" t="s">
        <v>27</v>
      </c>
      <c r="K24" t="s">
        <v>8</v>
      </c>
      <c r="L24" t="s">
        <v>12</v>
      </c>
      <c r="M24" t="s">
        <v>16</v>
      </c>
      <c r="N24" t="s">
        <v>14</v>
      </c>
      <c r="O24" s="2">
        <v>5039595.38</v>
      </c>
      <c r="P24" s="3">
        <v>61335.733999999997</v>
      </c>
      <c r="Q24" s="1">
        <v>46031</v>
      </c>
      <c r="R24" s="1">
        <v>45992</v>
      </c>
      <c r="S24" s="1">
        <v>46022</v>
      </c>
      <c r="V24" s="8">
        <v>2</v>
      </c>
      <c r="W24" t="s">
        <v>24</v>
      </c>
      <c r="X24" t="s">
        <v>28</v>
      </c>
      <c r="Y24" t="s">
        <v>10</v>
      </c>
      <c r="Z24" t="s">
        <v>11</v>
      </c>
      <c r="AA24">
        <v>62371</v>
      </c>
      <c r="AB24">
        <v>19397544</v>
      </c>
      <c r="AC24">
        <v>1</v>
      </c>
      <c r="AD24" s="8"/>
    </row>
    <row r="25" spans="1:30" x14ac:dyDescent="0.3">
      <c r="A25" t="s">
        <v>66</v>
      </c>
      <c r="B25">
        <v>1405491</v>
      </c>
      <c r="D25" t="s">
        <v>7</v>
      </c>
      <c r="E25">
        <v>941518</v>
      </c>
      <c r="F25">
        <v>9015884123</v>
      </c>
      <c r="G25">
        <v>305</v>
      </c>
      <c r="H25" t="s">
        <v>26</v>
      </c>
      <c r="I25">
        <v>0</v>
      </c>
      <c r="J25" t="s">
        <v>27</v>
      </c>
      <c r="K25" t="s">
        <v>8</v>
      </c>
      <c r="L25" t="s">
        <v>15</v>
      </c>
      <c r="M25" t="s">
        <v>9</v>
      </c>
      <c r="N25" t="s">
        <v>14</v>
      </c>
      <c r="O25" s="2">
        <v>0</v>
      </c>
      <c r="P25" s="3">
        <v>69919.044999999998</v>
      </c>
      <c r="Q25" s="1">
        <v>46031</v>
      </c>
      <c r="R25" s="1">
        <v>45992</v>
      </c>
      <c r="S25" s="1">
        <v>46022</v>
      </c>
      <c r="V25" s="8">
        <v>2</v>
      </c>
      <c r="W25" t="s">
        <v>24</v>
      </c>
      <c r="X25" t="s">
        <v>28</v>
      </c>
      <c r="Y25" t="s">
        <v>10</v>
      </c>
      <c r="Z25" t="s">
        <v>11</v>
      </c>
      <c r="AA25">
        <v>62371</v>
      </c>
      <c r="AB25">
        <v>19397544</v>
      </c>
      <c r="AC25">
        <v>1</v>
      </c>
      <c r="AD25" s="8"/>
    </row>
    <row r="26" spans="1:30" x14ac:dyDescent="0.3">
      <c r="A26" t="s">
        <v>66</v>
      </c>
      <c r="B26">
        <v>1341490</v>
      </c>
      <c r="D26" t="s">
        <v>7</v>
      </c>
      <c r="E26">
        <v>941513</v>
      </c>
      <c r="F26">
        <v>9015884123</v>
      </c>
      <c r="G26">
        <v>79</v>
      </c>
      <c r="H26" t="s">
        <v>50</v>
      </c>
      <c r="I26">
        <v>0</v>
      </c>
      <c r="J26" t="s">
        <v>51</v>
      </c>
      <c r="K26" t="s">
        <v>8</v>
      </c>
      <c r="L26" t="s">
        <v>15</v>
      </c>
      <c r="M26" t="s">
        <v>9</v>
      </c>
      <c r="N26" t="s">
        <v>14</v>
      </c>
      <c r="O26" s="2">
        <v>0</v>
      </c>
      <c r="P26" s="3">
        <v>49177.248</v>
      </c>
      <c r="Q26" s="1">
        <v>46031</v>
      </c>
      <c r="R26" s="1">
        <v>45992</v>
      </c>
      <c r="S26" s="1">
        <v>46022</v>
      </c>
      <c r="V26" s="8">
        <v>2</v>
      </c>
      <c r="W26" t="s">
        <v>24</v>
      </c>
      <c r="X26" t="s">
        <v>52</v>
      </c>
      <c r="Y26" t="s">
        <v>17</v>
      </c>
      <c r="Z26" t="s">
        <v>11</v>
      </c>
      <c r="AA26">
        <v>62371</v>
      </c>
      <c r="AB26">
        <v>21135098</v>
      </c>
      <c r="AC26">
        <v>0</v>
      </c>
      <c r="AD26" s="8" t="s">
        <v>1650</v>
      </c>
    </row>
    <row r="27" spans="1:30" x14ac:dyDescent="0.3">
      <c r="A27" t="s">
        <v>66</v>
      </c>
      <c r="B27">
        <v>1391980</v>
      </c>
      <c r="D27" t="s">
        <v>7</v>
      </c>
      <c r="E27">
        <v>941514</v>
      </c>
      <c r="F27">
        <v>9015884123</v>
      </c>
      <c r="G27">
        <v>237</v>
      </c>
      <c r="H27" t="s">
        <v>63</v>
      </c>
      <c r="I27">
        <v>0</v>
      </c>
      <c r="J27" t="s">
        <v>64</v>
      </c>
      <c r="K27" t="s">
        <v>8</v>
      </c>
      <c r="L27" t="s">
        <v>12</v>
      </c>
      <c r="M27" t="s">
        <v>16</v>
      </c>
      <c r="N27" t="s">
        <v>14</v>
      </c>
      <c r="O27" s="2">
        <v>5779694.8399999999</v>
      </c>
      <c r="P27" s="3">
        <v>70343.311000000002</v>
      </c>
      <c r="Q27" s="1">
        <v>46031</v>
      </c>
      <c r="R27" s="1">
        <v>45992</v>
      </c>
      <c r="S27" s="1">
        <v>46022</v>
      </c>
      <c r="V27" s="8">
        <v>2</v>
      </c>
      <c r="W27" t="s">
        <v>24</v>
      </c>
      <c r="X27" t="s">
        <v>65</v>
      </c>
      <c r="Y27" t="s">
        <v>10</v>
      </c>
      <c r="Z27" t="s">
        <v>11</v>
      </c>
      <c r="AA27">
        <v>62371</v>
      </c>
      <c r="AB27">
        <v>17177216</v>
      </c>
      <c r="AC27">
        <v>1</v>
      </c>
      <c r="AD27" s="8"/>
    </row>
    <row r="28" spans="1:30" x14ac:dyDescent="0.3">
      <c r="A28" t="s">
        <v>66</v>
      </c>
      <c r="B28">
        <v>1391980</v>
      </c>
      <c r="D28" t="s">
        <v>7</v>
      </c>
      <c r="E28">
        <v>941514</v>
      </c>
      <c r="F28">
        <v>9015884123</v>
      </c>
      <c r="G28">
        <v>237</v>
      </c>
      <c r="H28" t="s">
        <v>63</v>
      </c>
      <c r="I28">
        <v>0</v>
      </c>
      <c r="J28" t="s">
        <v>64</v>
      </c>
      <c r="K28" t="s">
        <v>8</v>
      </c>
      <c r="L28" t="s">
        <v>15</v>
      </c>
      <c r="M28" t="s">
        <v>9</v>
      </c>
      <c r="N28" t="s">
        <v>14</v>
      </c>
      <c r="O28" s="2">
        <v>0</v>
      </c>
      <c r="P28" s="3">
        <v>81030.466</v>
      </c>
      <c r="Q28" s="1">
        <v>46031</v>
      </c>
      <c r="R28" s="1">
        <v>45992</v>
      </c>
      <c r="S28" s="1">
        <v>46022</v>
      </c>
      <c r="V28" s="8">
        <v>2</v>
      </c>
      <c r="W28" t="s">
        <v>24</v>
      </c>
      <c r="X28" t="s">
        <v>65</v>
      </c>
      <c r="Y28" t="s">
        <v>10</v>
      </c>
      <c r="Z28" t="s">
        <v>11</v>
      </c>
      <c r="AA28">
        <v>62371</v>
      </c>
      <c r="AB28">
        <v>17177216</v>
      </c>
      <c r="AC28">
        <v>1</v>
      </c>
      <c r="AD28" s="8"/>
    </row>
    <row r="29" spans="1:30" x14ac:dyDescent="0.3">
      <c r="A29" t="s">
        <v>66</v>
      </c>
      <c r="B29">
        <v>1395792</v>
      </c>
      <c r="D29" t="s">
        <v>7</v>
      </c>
      <c r="E29">
        <v>941515</v>
      </c>
      <c r="F29">
        <v>9015884123</v>
      </c>
      <c r="G29">
        <v>242</v>
      </c>
      <c r="H29" t="s">
        <v>58</v>
      </c>
      <c r="I29">
        <v>0</v>
      </c>
      <c r="J29" t="s">
        <v>59</v>
      </c>
      <c r="K29" t="s">
        <v>8</v>
      </c>
      <c r="L29" t="s">
        <v>12</v>
      </c>
      <c r="M29" t="s">
        <v>16</v>
      </c>
      <c r="N29" t="s">
        <v>14</v>
      </c>
      <c r="O29" s="2">
        <v>5151374.49</v>
      </c>
      <c r="P29" s="3">
        <v>47699.788999999997</v>
      </c>
      <c r="Q29" s="1">
        <v>46031</v>
      </c>
      <c r="R29" s="1">
        <v>45992</v>
      </c>
      <c r="S29" s="1">
        <v>46022</v>
      </c>
      <c r="V29" s="8">
        <v>1</v>
      </c>
      <c r="W29" t="s">
        <v>24</v>
      </c>
      <c r="X29" t="s">
        <v>60</v>
      </c>
      <c r="Y29" t="s">
        <v>10</v>
      </c>
      <c r="Z29" t="s">
        <v>11</v>
      </c>
      <c r="AA29">
        <v>62371</v>
      </c>
      <c r="AB29">
        <v>17053469</v>
      </c>
      <c r="AC29">
        <v>1</v>
      </c>
      <c r="AD29" s="8"/>
    </row>
    <row r="30" spans="1:30" x14ac:dyDescent="0.3">
      <c r="A30" t="s">
        <v>66</v>
      </c>
      <c r="B30">
        <v>1405491</v>
      </c>
      <c r="D30" t="s">
        <v>7</v>
      </c>
      <c r="E30">
        <v>941518</v>
      </c>
      <c r="F30">
        <v>9015884123</v>
      </c>
      <c r="G30">
        <v>305</v>
      </c>
      <c r="H30" t="s">
        <v>26</v>
      </c>
      <c r="I30">
        <v>0</v>
      </c>
      <c r="J30" t="s">
        <v>27</v>
      </c>
      <c r="K30" t="s">
        <v>8</v>
      </c>
      <c r="L30" t="s">
        <v>12</v>
      </c>
      <c r="M30" t="s">
        <v>13</v>
      </c>
      <c r="N30" t="s">
        <v>14</v>
      </c>
      <c r="O30" s="2">
        <v>705240.02</v>
      </c>
      <c r="P30" s="3">
        <v>8583.3109999999997</v>
      </c>
      <c r="Q30" s="1">
        <v>46031</v>
      </c>
      <c r="R30" s="1">
        <v>45992</v>
      </c>
      <c r="S30" s="1">
        <v>46022</v>
      </c>
      <c r="V30" s="8">
        <v>2</v>
      </c>
      <c r="W30" t="s">
        <v>24</v>
      </c>
      <c r="X30" t="s">
        <v>28</v>
      </c>
      <c r="Y30" t="s">
        <v>10</v>
      </c>
      <c r="Z30" t="s">
        <v>11</v>
      </c>
      <c r="AA30">
        <v>62371</v>
      </c>
      <c r="AB30">
        <v>19397544</v>
      </c>
      <c r="AC30">
        <v>1</v>
      </c>
      <c r="AD30" s="8"/>
    </row>
    <row r="31" spans="1:30" x14ac:dyDescent="0.3">
      <c r="A31" t="s">
        <v>1627</v>
      </c>
      <c r="B31">
        <v>1363519</v>
      </c>
      <c r="D31" t="s">
        <v>7</v>
      </c>
      <c r="E31">
        <v>946809</v>
      </c>
      <c r="F31">
        <v>9015884123</v>
      </c>
      <c r="G31">
        <v>504</v>
      </c>
      <c r="H31" t="s">
        <v>69</v>
      </c>
      <c r="I31">
        <v>0</v>
      </c>
      <c r="J31" t="s">
        <v>70</v>
      </c>
      <c r="K31" t="s">
        <v>8</v>
      </c>
      <c r="L31" t="s">
        <v>19</v>
      </c>
      <c r="M31" t="s">
        <v>9</v>
      </c>
      <c r="N31" t="s">
        <v>14</v>
      </c>
      <c r="O31" s="2">
        <v>385.05</v>
      </c>
      <c r="P31" s="3">
        <v>2.36</v>
      </c>
      <c r="Q31" s="1">
        <v>46033</v>
      </c>
      <c r="R31" s="1">
        <v>45992</v>
      </c>
      <c r="S31" s="1">
        <v>46022</v>
      </c>
      <c r="V31" s="8">
        <v>1</v>
      </c>
      <c r="W31" t="s">
        <v>24</v>
      </c>
      <c r="X31" t="s">
        <v>71</v>
      </c>
      <c r="Y31" t="s">
        <v>68</v>
      </c>
      <c r="Z31" t="s">
        <v>11</v>
      </c>
      <c r="AA31">
        <v>62371</v>
      </c>
      <c r="AB31">
        <v>19792503</v>
      </c>
      <c r="AC31">
        <v>1</v>
      </c>
      <c r="AD31" s="8"/>
    </row>
    <row r="32" spans="1:30" x14ac:dyDescent="0.3">
      <c r="A32" t="s">
        <v>1627</v>
      </c>
      <c r="B32">
        <v>1415369</v>
      </c>
      <c r="D32" t="s">
        <v>7</v>
      </c>
      <c r="E32">
        <v>946474</v>
      </c>
      <c r="F32">
        <v>9015884123</v>
      </c>
      <c r="G32">
        <v>397</v>
      </c>
      <c r="H32" t="s">
        <v>72</v>
      </c>
      <c r="I32">
        <v>0</v>
      </c>
      <c r="J32" t="s">
        <v>73</v>
      </c>
      <c r="K32" t="s">
        <v>8</v>
      </c>
      <c r="L32" t="s">
        <v>18</v>
      </c>
      <c r="M32" t="s">
        <v>9</v>
      </c>
      <c r="N32" t="s">
        <v>14</v>
      </c>
      <c r="O32" s="2">
        <v>0.56999999999999995</v>
      </c>
      <c r="P32" s="3">
        <v>0</v>
      </c>
      <c r="Q32" s="1">
        <v>46033</v>
      </c>
      <c r="R32" s="1">
        <v>45992</v>
      </c>
      <c r="S32" s="1">
        <v>46022</v>
      </c>
      <c r="V32" s="8">
        <v>1</v>
      </c>
      <c r="W32" t="s">
        <v>24</v>
      </c>
      <c r="X32" t="s">
        <v>74</v>
      </c>
      <c r="Y32" t="s">
        <v>75</v>
      </c>
      <c r="Z32" t="s">
        <v>11</v>
      </c>
      <c r="AA32">
        <v>62371</v>
      </c>
      <c r="AB32">
        <v>12901850</v>
      </c>
      <c r="AC32">
        <v>0</v>
      </c>
      <c r="AD32" s="8"/>
    </row>
    <row r="33" spans="1:30" x14ac:dyDescent="0.3">
      <c r="A33" t="s">
        <v>1627</v>
      </c>
      <c r="B33">
        <v>1360644</v>
      </c>
      <c r="D33" t="s">
        <v>7</v>
      </c>
      <c r="E33">
        <v>945897</v>
      </c>
      <c r="F33">
        <v>9015884123</v>
      </c>
      <c r="G33">
        <v>146</v>
      </c>
      <c r="H33" t="s">
        <v>76</v>
      </c>
      <c r="I33">
        <v>0</v>
      </c>
      <c r="J33" t="s">
        <v>77</v>
      </c>
      <c r="K33" t="s">
        <v>8</v>
      </c>
      <c r="L33" t="s">
        <v>19</v>
      </c>
      <c r="M33" t="s">
        <v>9</v>
      </c>
      <c r="N33" t="s">
        <v>14</v>
      </c>
      <c r="O33" s="2">
        <v>6196.87</v>
      </c>
      <c r="P33" s="3">
        <v>31.361999999999998</v>
      </c>
      <c r="Q33" s="1">
        <v>46033</v>
      </c>
      <c r="R33" s="1">
        <v>45992</v>
      </c>
      <c r="S33" s="1">
        <v>46022</v>
      </c>
      <c r="V33" s="8">
        <v>1</v>
      </c>
      <c r="W33" t="s">
        <v>24</v>
      </c>
      <c r="X33" t="s">
        <v>78</v>
      </c>
      <c r="Y33" t="s">
        <v>42</v>
      </c>
      <c r="Z33" t="s">
        <v>11</v>
      </c>
      <c r="AA33">
        <v>62371</v>
      </c>
      <c r="AB33">
        <v>17583420</v>
      </c>
      <c r="AC33">
        <v>0</v>
      </c>
      <c r="AD33" s="8"/>
    </row>
    <row r="34" spans="1:30" x14ac:dyDescent="0.3">
      <c r="A34" t="s">
        <v>1627</v>
      </c>
      <c r="B34">
        <v>1414342</v>
      </c>
      <c r="D34" t="s">
        <v>7</v>
      </c>
      <c r="E34">
        <v>946436</v>
      </c>
      <c r="F34">
        <v>9015884123</v>
      </c>
      <c r="G34">
        <v>385</v>
      </c>
      <c r="H34" t="s">
        <v>79</v>
      </c>
      <c r="I34">
        <v>0</v>
      </c>
      <c r="J34" t="s">
        <v>80</v>
      </c>
      <c r="K34" t="s">
        <v>8</v>
      </c>
      <c r="L34" t="s">
        <v>18</v>
      </c>
      <c r="M34" t="s">
        <v>9</v>
      </c>
      <c r="N34" t="s">
        <v>14</v>
      </c>
      <c r="O34" s="2">
        <v>3</v>
      </c>
      <c r="P34" s="3">
        <v>0</v>
      </c>
      <c r="Q34" s="1">
        <v>46033</v>
      </c>
      <c r="R34" s="1">
        <v>45992</v>
      </c>
      <c r="S34" s="1">
        <v>46022</v>
      </c>
      <c r="V34" s="8">
        <v>1</v>
      </c>
      <c r="W34" t="s">
        <v>24</v>
      </c>
      <c r="X34" t="s">
        <v>81</v>
      </c>
      <c r="Y34" t="s">
        <v>68</v>
      </c>
      <c r="Z34" t="s">
        <v>11</v>
      </c>
      <c r="AA34">
        <v>62371</v>
      </c>
      <c r="AB34">
        <v>21342685</v>
      </c>
      <c r="AC34">
        <v>0</v>
      </c>
      <c r="AD34" s="8"/>
    </row>
    <row r="35" spans="1:30" x14ac:dyDescent="0.3">
      <c r="A35" t="s">
        <v>1627</v>
      </c>
      <c r="B35">
        <v>1414342</v>
      </c>
      <c r="D35" t="s">
        <v>7</v>
      </c>
      <c r="E35">
        <v>946436</v>
      </c>
      <c r="F35">
        <v>9015884123</v>
      </c>
      <c r="G35">
        <v>385</v>
      </c>
      <c r="H35" t="s">
        <v>79</v>
      </c>
      <c r="I35">
        <v>0</v>
      </c>
      <c r="J35" t="s">
        <v>80</v>
      </c>
      <c r="K35" t="s">
        <v>8</v>
      </c>
      <c r="L35" t="s">
        <v>67</v>
      </c>
      <c r="M35" t="s">
        <v>9</v>
      </c>
      <c r="N35" t="s">
        <v>14</v>
      </c>
      <c r="O35" s="2">
        <v>595431.73</v>
      </c>
      <c r="P35" s="3">
        <v>4180.4790000000003</v>
      </c>
      <c r="Q35" s="1">
        <v>46033</v>
      </c>
      <c r="R35" s="1">
        <v>45992</v>
      </c>
      <c r="S35" s="1">
        <v>46022</v>
      </c>
      <c r="V35" s="8">
        <v>1</v>
      </c>
      <c r="W35" t="s">
        <v>24</v>
      </c>
      <c r="X35" t="s">
        <v>81</v>
      </c>
      <c r="Y35" t="s">
        <v>68</v>
      </c>
      <c r="Z35" t="s">
        <v>11</v>
      </c>
      <c r="AA35">
        <v>62371</v>
      </c>
      <c r="AB35">
        <v>21342685</v>
      </c>
      <c r="AC35">
        <v>0</v>
      </c>
      <c r="AD35" s="8"/>
    </row>
    <row r="36" spans="1:30" x14ac:dyDescent="0.3">
      <c r="A36" t="s">
        <v>1627</v>
      </c>
      <c r="B36">
        <v>1415531</v>
      </c>
      <c r="D36" t="s">
        <v>7</v>
      </c>
      <c r="E36">
        <v>946530</v>
      </c>
      <c r="F36">
        <v>9015884123</v>
      </c>
      <c r="G36">
        <v>414</v>
      </c>
      <c r="H36" t="s">
        <v>84</v>
      </c>
      <c r="I36">
        <v>0</v>
      </c>
      <c r="J36" t="s">
        <v>85</v>
      </c>
      <c r="K36" t="s">
        <v>8</v>
      </c>
      <c r="L36" t="s">
        <v>18</v>
      </c>
      <c r="M36" t="s">
        <v>9</v>
      </c>
      <c r="N36" t="s">
        <v>14</v>
      </c>
      <c r="O36" s="2">
        <v>-0.53</v>
      </c>
      <c r="P36" s="3">
        <v>0</v>
      </c>
      <c r="Q36" s="1">
        <v>46033</v>
      </c>
      <c r="R36" s="1">
        <v>45992</v>
      </c>
      <c r="S36" s="1">
        <v>46022</v>
      </c>
      <c r="V36" s="8">
        <v>1</v>
      </c>
      <c r="W36" t="s">
        <v>24</v>
      </c>
      <c r="X36" t="s">
        <v>86</v>
      </c>
      <c r="Y36" t="s">
        <v>68</v>
      </c>
      <c r="Z36" t="s">
        <v>11</v>
      </c>
      <c r="AA36">
        <v>62371</v>
      </c>
      <c r="AB36">
        <v>17619157</v>
      </c>
      <c r="AC36">
        <v>0</v>
      </c>
      <c r="AD36" s="8"/>
    </row>
    <row r="37" spans="1:30" x14ac:dyDescent="0.3">
      <c r="A37" t="s">
        <v>1627</v>
      </c>
      <c r="B37">
        <v>1415531</v>
      </c>
      <c r="D37" t="s">
        <v>7</v>
      </c>
      <c r="E37">
        <v>946530</v>
      </c>
      <c r="F37">
        <v>9015884123</v>
      </c>
      <c r="G37">
        <v>414</v>
      </c>
      <c r="H37" t="s">
        <v>84</v>
      </c>
      <c r="I37">
        <v>0</v>
      </c>
      <c r="J37" t="s">
        <v>85</v>
      </c>
      <c r="K37" t="s">
        <v>8</v>
      </c>
      <c r="L37" t="s">
        <v>15</v>
      </c>
      <c r="M37" t="s">
        <v>9</v>
      </c>
      <c r="N37" t="s">
        <v>14</v>
      </c>
      <c r="O37" s="2">
        <v>0</v>
      </c>
      <c r="P37" s="3">
        <v>1946.203</v>
      </c>
      <c r="Q37" s="1">
        <v>46033</v>
      </c>
      <c r="R37" s="1">
        <v>45992</v>
      </c>
      <c r="S37" s="1">
        <v>46022</v>
      </c>
      <c r="V37" s="8">
        <v>1</v>
      </c>
      <c r="W37" t="s">
        <v>24</v>
      </c>
      <c r="X37" t="s">
        <v>86</v>
      </c>
      <c r="Y37" t="s">
        <v>68</v>
      </c>
      <c r="Z37" t="s">
        <v>11</v>
      </c>
      <c r="AA37">
        <v>62371</v>
      </c>
      <c r="AB37">
        <v>17619157</v>
      </c>
      <c r="AC37">
        <v>0</v>
      </c>
      <c r="AD37" s="8"/>
    </row>
    <row r="38" spans="1:30" x14ac:dyDescent="0.3">
      <c r="A38" t="s">
        <v>1627</v>
      </c>
      <c r="B38">
        <v>1377539</v>
      </c>
      <c r="D38" t="s">
        <v>7</v>
      </c>
      <c r="E38">
        <v>945961</v>
      </c>
      <c r="F38">
        <v>9015884123</v>
      </c>
      <c r="G38">
        <v>198</v>
      </c>
      <c r="H38" t="s">
        <v>87</v>
      </c>
      <c r="I38">
        <v>0</v>
      </c>
      <c r="J38" t="s">
        <v>88</v>
      </c>
      <c r="K38" t="s">
        <v>8</v>
      </c>
      <c r="L38" t="s">
        <v>67</v>
      </c>
      <c r="M38" t="s">
        <v>9</v>
      </c>
      <c r="N38" t="s">
        <v>14</v>
      </c>
      <c r="O38" s="2">
        <v>1607296.44</v>
      </c>
      <c r="P38" s="3">
        <v>11284.700999999999</v>
      </c>
      <c r="Q38" s="1">
        <v>46033</v>
      </c>
      <c r="R38" s="1">
        <v>45992</v>
      </c>
      <c r="S38" s="1">
        <v>46022</v>
      </c>
      <c r="V38" s="8">
        <v>1</v>
      </c>
      <c r="W38" t="s">
        <v>24</v>
      </c>
      <c r="X38" t="s">
        <v>89</v>
      </c>
      <c r="Y38" t="s">
        <v>42</v>
      </c>
      <c r="Z38" t="s">
        <v>11</v>
      </c>
      <c r="AA38">
        <v>62371</v>
      </c>
      <c r="AB38">
        <v>17579804</v>
      </c>
      <c r="AC38">
        <v>0</v>
      </c>
      <c r="AD38" s="8"/>
    </row>
    <row r="39" spans="1:30" x14ac:dyDescent="0.3">
      <c r="A39" t="s">
        <v>1627</v>
      </c>
      <c r="B39">
        <v>1420782</v>
      </c>
      <c r="D39" t="s">
        <v>7</v>
      </c>
      <c r="E39">
        <v>946683</v>
      </c>
      <c r="F39">
        <v>9015884123</v>
      </c>
      <c r="G39">
        <v>463</v>
      </c>
      <c r="H39" t="s">
        <v>90</v>
      </c>
      <c r="I39">
        <v>0</v>
      </c>
      <c r="J39" t="s">
        <v>91</v>
      </c>
      <c r="K39" t="s">
        <v>8</v>
      </c>
      <c r="L39" t="s">
        <v>67</v>
      </c>
      <c r="M39" t="s">
        <v>9</v>
      </c>
      <c r="N39" t="s">
        <v>14</v>
      </c>
      <c r="O39" s="2">
        <v>1608821.72</v>
      </c>
      <c r="P39" s="3">
        <v>19580.592000000001</v>
      </c>
      <c r="Q39" s="1">
        <v>46033</v>
      </c>
      <c r="R39" s="1">
        <v>45992</v>
      </c>
      <c r="S39" s="1">
        <v>46022</v>
      </c>
      <c r="V39" s="8">
        <v>2</v>
      </c>
      <c r="W39" t="s">
        <v>24</v>
      </c>
      <c r="X39" t="s">
        <v>92</v>
      </c>
      <c r="Y39" t="s">
        <v>29</v>
      </c>
      <c r="Z39" t="s">
        <v>11</v>
      </c>
      <c r="AA39">
        <v>62371</v>
      </c>
      <c r="AB39">
        <v>18413239</v>
      </c>
      <c r="AC39">
        <v>1</v>
      </c>
      <c r="AD39" s="8"/>
    </row>
    <row r="40" spans="1:30" x14ac:dyDescent="0.3">
      <c r="A40" t="s">
        <v>1627</v>
      </c>
      <c r="B40">
        <v>1403697</v>
      </c>
      <c r="D40" t="s">
        <v>7</v>
      </c>
      <c r="E40">
        <v>946217</v>
      </c>
      <c r="F40">
        <v>9015884123</v>
      </c>
      <c r="G40">
        <v>291</v>
      </c>
      <c r="H40" t="s">
        <v>93</v>
      </c>
      <c r="I40">
        <v>0</v>
      </c>
      <c r="J40" t="s">
        <v>94</v>
      </c>
      <c r="K40" t="s">
        <v>8</v>
      </c>
      <c r="L40" t="s">
        <v>15</v>
      </c>
      <c r="M40" t="s">
        <v>9</v>
      </c>
      <c r="N40" t="s">
        <v>14</v>
      </c>
      <c r="O40" s="2">
        <v>0</v>
      </c>
      <c r="P40" s="3">
        <v>158.673</v>
      </c>
      <c r="Q40" s="1">
        <v>46033</v>
      </c>
      <c r="R40" s="1">
        <v>45992</v>
      </c>
      <c r="S40" s="1">
        <v>46022</v>
      </c>
      <c r="V40" s="8">
        <v>1</v>
      </c>
      <c r="W40" t="s">
        <v>24</v>
      </c>
      <c r="X40" t="s">
        <v>95</v>
      </c>
      <c r="Y40" t="s">
        <v>83</v>
      </c>
      <c r="Z40" t="s">
        <v>11</v>
      </c>
      <c r="AA40">
        <v>62371</v>
      </c>
      <c r="AB40">
        <v>18092532</v>
      </c>
      <c r="AC40">
        <v>0</v>
      </c>
      <c r="AD40" s="8"/>
    </row>
    <row r="41" spans="1:30" x14ac:dyDescent="0.3">
      <c r="A41" t="s">
        <v>1627</v>
      </c>
      <c r="B41">
        <v>1403710</v>
      </c>
      <c r="D41" t="s">
        <v>7</v>
      </c>
      <c r="E41">
        <v>946235</v>
      </c>
      <c r="F41">
        <v>9015884123</v>
      </c>
      <c r="G41">
        <v>297</v>
      </c>
      <c r="H41" t="s">
        <v>96</v>
      </c>
      <c r="I41">
        <v>0</v>
      </c>
      <c r="J41" t="s">
        <v>97</v>
      </c>
      <c r="K41" t="s">
        <v>8</v>
      </c>
      <c r="L41" t="s">
        <v>15</v>
      </c>
      <c r="M41" t="s">
        <v>9</v>
      </c>
      <c r="N41" t="s">
        <v>14</v>
      </c>
      <c r="O41" s="2">
        <v>0</v>
      </c>
      <c r="P41" s="3">
        <v>2647.2179999999998</v>
      </c>
      <c r="Q41" s="1">
        <v>46033</v>
      </c>
      <c r="R41" s="1">
        <v>45992</v>
      </c>
      <c r="S41" s="1">
        <v>46022</v>
      </c>
      <c r="V41" s="8">
        <v>1</v>
      </c>
      <c r="W41" t="s">
        <v>24</v>
      </c>
      <c r="X41" t="s">
        <v>98</v>
      </c>
      <c r="Y41" t="s">
        <v>53</v>
      </c>
      <c r="Z41" t="s">
        <v>11</v>
      </c>
      <c r="AA41">
        <v>62371</v>
      </c>
      <c r="AB41">
        <v>21435247</v>
      </c>
      <c r="AC41">
        <v>0</v>
      </c>
      <c r="AD41" s="8"/>
    </row>
    <row r="42" spans="1:30" x14ac:dyDescent="0.3">
      <c r="A42" t="s">
        <v>1627</v>
      </c>
      <c r="B42">
        <v>1408941</v>
      </c>
      <c r="D42" t="s">
        <v>7</v>
      </c>
      <c r="E42">
        <v>946343</v>
      </c>
      <c r="F42">
        <v>9015884123</v>
      </c>
      <c r="G42">
        <v>345</v>
      </c>
      <c r="H42" t="s">
        <v>100</v>
      </c>
      <c r="I42">
        <v>0</v>
      </c>
      <c r="J42" t="s">
        <v>101</v>
      </c>
      <c r="K42" t="s">
        <v>8</v>
      </c>
      <c r="L42" t="s">
        <v>67</v>
      </c>
      <c r="M42" t="s">
        <v>9</v>
      </c>
      <c r="N42" t="s">
        <v>14</v>
      </c>
      <c r="O42" s="2">
        <v>14588.4</v>
      </c>
      <c r="P42" s="3">
        <v>102.42400000000001</v>
      </c>
      <c r="Q42" s="1">
        <v>46033</v>
      </c>
      <c r="R42" s="1">
        <v>45992</v>
      </c>
      <c r="S42" s="1">
        <v>46022</v>
      </c>
      <c r="V42" s="8">
        <v>1</v>
      </c>
      <c r="W42" t="s">
        <v>24</v>
      </c>
      <c r="X42" t="s">
        <v>102</v>
      </c>
      <c r="Y42" t="s">
        <v>30</v>
      </c>
      <c r="Z42" t="s">
        <v>11</v>
      </c>
      <c r="AA42">
        <v>62371</v>
      </c>
      <c r="AB42">
        <v>21425312</v>
      </c>
      <c r="AC42">
        <v>0</v>
      </c>
      <c r="AD42" s="8"/>
    </row>
    <row r="43" spans="1:30" x14ac:dyDescent="0.3">
      <c r="A43" t="s">
        <v>1627</v>
      </c>
      <c r="B43">
        <v>1320917</v>
      </c>
      <c r="D43" t="s">
        <v>7</v>
      </c>
      <c r="E43">
        <v>945186</v>
      </c>
      <c r="F43">
        <v>9015884123</v>
      </c>
      <c r="G43">
        <v>45</v>
      </c>
      <c r="H43" t="s">
        <v>103</v>
      </c>
      <c r="I43">
        <v>0</v>
      </c>
      <c r="J43" t="s">
        <v>104</v>
      </c>
      <c r="K43" t="s">
        <v>8</v>
      </c>
      <c r="L43" t="s">
        <v>19</v>
      </c>
      <c r="M43" t="s">
        <v>9</v>
      </c>
      <c r="N43" t="s">
        <v>14</v>
      </c>
      <c r="O43" s="2">
        <v>23112.85</v>
      </c>
      <c r="P43" s="3">
        <v>141.661</v>
      </c>
      <c r="Q43" s="1">
        <v>46033</v>
      </c>
      <c r="R43" s="1">
        <v>45992</v>
      </c>
      <c r="S43" s="1">
        <v>46022</v>
      </c>
      <c r="V43" s="8">
        <v>1</v>
      </c>
      <c r="W43" t="s">
        <v>24</v>
      </c>
      <c r="X43" t="s">
        <v>105</v>
      </c>
      <c r="Y43" t="s">
        <v>34</v>
      </c>
      <c r="Z43" t="s">
        <v>11</v>
      </c>
      <c r="AA43">
        <v>62371</v>
      </c>
      <c r="AB43">
        <v>21104556</v>
      </c>
      <c r="AC43">
        <v>1</v>
      </c>
      <c r="AD43" s="8"/>
    </row>
    <row r="44" spans="1:30" x14ac:dyDescent="0.3">
      <c r="A44" t="s">
        <v>1627</v>
      </c>
      <c r="B44">
        <v>1444513</v>
      </c>
      <c r="D44" t="s">
        <v>7</v>
      </c>
      <c r="E44">
        <v>946879</v>
      </c>
      <c r="F44">
        <v>9015884123</v>
      </c>
      <c r="G44">
        <v>525</v>
      </c>
      <c r="H44" t="s">
        <v>106</v>
      </c>
      <c r="I44">
        <v>0</v>
      </c>
      <c r="J44" t="s">
        <v>107</v>
      </c>
      <c r="K44" t="s">
        <v>8</v>
      </c>
      <c r="L44" t="s">
        <v>18</v>
      </c>
      <c r="M44" t="s">
        <v>9</v>
      </c>
      <c r="N44" t="s">
        <v>14</v>
      </c>
      <c r="O44" s="2">
        <v>-2.35</v>
      </c>
      <c r="P44" s="3">
        <v>0</v>
      </c>
      <c r="Q44" s="1">
        <v>46033</v>
      </c>
      <c r="R44" s="1">
        <v>45992</v>
      </c>
      <c r="S44" s="1">
        <v>46022</v>
      </c>
      <c r="V44" s="8">
        <v>1</v>
      </c>
      <c r="W44" t="s">
        <v>24</v>
      </c>
      <c r="X44" t="s">
        <v>108</v>
      </c>
      <c r="Y44" t="s">
        <v>34</v>
      </c>
      <c r="Z44" t="s">
        <v>11</v>
      </c>
      <c r="AA44">
        <v>62371</v>
      </c>
      <c r="AB44">
        <v>21249968</v>
      </c>
      <c r="AC44">
        <v>1</v>
      </c>
      <c r="AD44" s="8"/>
    </row>
    <row r="45" spans="1:30" x14ac:dyDescent="0.3">
      <c r="A45" t="s">
        <v>1627</v>
      </c>
      <c r="B45">
        <v>1407562</v>
      </c>
      <c r="D45" t="s">
        <v>7</v>
      </c>
      <c r="E45">
        <v>946305</v>
      </c>
      <c r="F45">
        <v>9015884123</v>
      </c>
      <c r="G45">
        <v>324</v>
      </c>
      <c r="H45" t="s">
        <v>109</v>
      </c>
      <c r="I45">
        <v>0</v>
      </c>
      <c r="J45" t="s">
        <v>110</v>
      </c>
      <c r="K45" t="s">
        <v>8</v>
      </c>
      <c r="L45" t="s">
        <v>67</v>
      </c>
      <c r="M45" t="s">
        <v>9</v>
      </c>
      <c r="N45" t="s">
        <v>14</v>
      </c>
      <c r="O45" s="2">
        <v>33676.959999999999</v>
      </c>
      <c r="P45" s="3">
        <v>311.83600000000001</v>
      </c>
      <c r="Q45" s="1">
        <v>46033</v>
      </c>
      <c r="R45" s="1">
        <v>45992</v>
      </c>
      <c r="S45" s="1">
        <v>46022</v>
      </c>
      <c r="V45" s="8">
        <v>1</v>
      </c>
      <c r="W45" t="s">
        <v>24</v>
      </c>
      <c r="X45" t="s">
        <v>111</v>
      </c>
      <c r="Y45" t="s">
        <v>30</v>
      </c>
      <c r="Z45" t="s">
        <v>11</v>
      </c>
      <c r="AA45">
        <v>62371</v>
      </c>
      <c r="AB45">
        <v>18462012</v>
      </c>
      <c r="AC45">
        <v>1</v>
      </c>
      <c r="AD45" s="8"/>
    </row>
    <row r="46" spans="1:30" x14ac:dyDescent="0.3">
      <c r="A46" t="s">
        <v>1627</v>
      </c>
      <c r="B46">
        <v>1444512</v>
      </c>
      <c r="D46" t="s">
        <v>7</v>
      </c>
      <c r="E46">
        <v>946875</v>
      </c>
      <c r="F46">
        <v>9015884123</v>
      </c>
      <c r="G46">
        <v>524</v>
      </c>
      <c r="H46" t="s">
        <v>112</v>
      </c>
      <c r="I46">
        <v>0</v>
      </c>
      <c r="J46" t="s">
        <v>113</v>
      </c>
      <c r="K46" t="s">
        <v>8</v>
      </c>
      <c r="L46" t="s">
        <v>18</v>
      </c>
      <c r="M46" t="s">
        <v>9</v>
      </c>
      <c r="N46" t="s">
        <v>14</v>
      </c>
      <c r="O46" s="2">
        <v>-0.98</v>
      </c>
      <c r="P46" s="3">
        <v>0</v>
      </c>
      <c r="Q46" s="1">
        <v>46033</v>
      </c>
      <c r="R46" s="1">
        <v>45992</v>
      </c>
      <c r="S46" s="1">
        <v>46022</v>
      </c>
      <c r="V46" s="8">
        <v>1</v>
      </c>
      <c r="W46" t="s">
        <v>24</v>
      </c>
      <c r="X46" t="s">
        <v>114</v>
      </c>
      <c r="Y46" t="s">
        <v>34</v>
      </c>
      <c r="Z46" t="s">
        <v>11</v>
      </c>
      <c r="AA46">
        <v>62371</v>
      </c>
      <c r="AB46">
        <v>21249814</v>
      </c>
      <c r="AC46">
        <v>1</v>
      </c>
      <c r="AD46" s="8"/>
    </row>
    <row r="47" spans="1:30" x14ac:dyDescent="0.3">
      <c r="A47" t="s">
        <v>1627</v>
      </c>
      <c r="B47">
        <v>1415123</v>
      </c>
      <c r="D47" t="s">
        <v>7</v>
      </c>
      <c r="E47">
        <v>946542</v>
      </c>
      <c r="F47">
        <v>9015884123</v>
      </c>
      <c r="G47">
        <v>418</v>
      </c>
      <c r="H47" t="s">
        <v>115</v>
      </c>
      <c r="I47">
        <v>0</v>
      </c>
      <c r="J47" t="s">
        <v>116</v>
      </c>
      <c r="K47" t="s">
        <v>8</v>
      </c>
      <c r="L47" t="s">
        <v>19</v>
      </c>
      <c r="M47" t="s">
        <v>9</v>
      </c>
      <c r="N47" t="s">
        <v>14</v>
      </c>
      <c r="O47" s="2">
        <v>10218.459999999999</v>
      </c>
      <c r="P47" s="3">
        <v>62.63</v>
      </c>
      <c r="Q47" s="1">
        <v>46033</v>
      </c>
      <c r="R47" s="1">
        <v>45992</v>
      </c>
      <c r="S47" s="1">
        <v>46022</v>
      </c>
      <c r="V47" s="8">
        <v>1</v>
      </c>
      <c r="W47" t="s">
        <v>24</v>
      </c>
      <c r="X47" t="s">
        <v>117</v>
      </c>
      <c r="Y47" t="s">
        <v>34</v>
      </c>
      <c r="Z47" t="s">
        <v>11</v>
      </c>
      <c r="AA47">
        <v>62371</v>
      </c>
      <c r="AB47">
        <v>21285169</v>
      </c>
      <c r="AC47">
        <v>1</v>
      </c>
      <c r="AD47" s="8"/>
    </row>
    <row r="48" spans="1:30" x14ac:dyDescent="0.3">
      <c r="A48" t="s">
        <v>1627</v>
      </c>
      <c r="B48">
        <v>1415107</v>
      </c>
      <c r="D48" t="s">
        <v>7</v>
      </c>
      <c r="E48">
        <v>946468</v>
      </c>
      <c r="F48">
        <v>9015884123</v>
      </c>
      <c r="G48">
        <v>395</v>
      </c>
      <c r="H48" t="s">
        <v>118</v>
      </c>
      <c r="I48">
        <v>0</v>
      </c>
      <c r="J48" t="s">
        <v>119</v>
      </c>
      <c r="K48" t="s">
        <v>8</v>
      </c>
      <c r="L48" t="s">
        <v>15</v>
      </c>
      <c r="M48" t="s">
        <v>9</v>
      </c>
      <c r="N48" t="s">
        <v>14</v>
      </c>
      <c r="O48" s="2">
        <v>0</v>
      </c>
      <c r="P48" s="3">
        <v>1266.0139999999999</v>
      </c>
      <c r="Q48" s="1">
        <v>46033</v>
      </c>
      <c r="R48" s="1">
        <v>45992</v>
      </c>
      <c r="S48" s="1">
        <v>46022</v>
      </c>
      <c r="V48" s="8">
        <v>1</v>
      </c>
      <c r="W48" t="s">
        <v>24</v>
      </c>
      <c r="X48" t="s">
        <v>120</v>
      </c>
      <c r="Y48" t="s">
        <v>34</v>
      </c>
      <c r="Z48" t="s">
        <v>11</v>
      </c>
      <c r="AA48">
        <v>62371</v>
      </c>
      <c r="AB48">
        <v>21249991</v>
      </c>
      <c r="AC48">
        <v>1</v>
      </c>
      <c r="AD48" s="8"/>
    </row>
    <row r="49" spans="1:30" x14ac:dyDescent="0.3">
      <c r="A49" t="s">
        <v>1627</v>
      </c>
      <c r="B49">
        <v>1411978</v>
      </c>
      <c r="D49" t="s">
        <v>7</v>
      </c>
      <c r="E49">
        <v>946391</v>
      </c>
      <c r="F49">
        <v>9015884123</v>
      </c>
      <c r="G49">
        <v>369</v>
      </c>
      <c r="H49" t="s">
        <v>121</v>
      </c>
      <c r="I49">
        <v>0</v>
      </c>
      <c r="J49" t="s">
        <v>122</v>
      </c>
      <c r="K49" t="s">
        <v>8</v>
      </c>
      <c r="L49" t="s">
        <v>67</v>
      </c>
      <c r="M49" t="s">
        <v>9</v>
      </c>
      <c r="N49" t="s">
        <v>14</v>
      </c>
      <c r="O49" s="2">
        <v>149932.66</v>
      </c>
      <c r="P49" s="3">
        <v>1388.32</v>
      </c>
      <c r="Q49" s="1">
        <v>46033</v>
      </c>
      <c r="R49" s="1">
        <v>45992</v>
      </c>
      <c r="S49" s="1">
        <v>46022</v>
      </c>
      <c r="V49" s="8">
        <v>1</v>
      </c>
      <c r="W49" t="s">
        <v>24</v>
      </c>
      <c r="X49" t="s">
        <v>123</v>
      </c>
      <c r="Y49" t="s">
        <v>34</v>
      </c>
      <c r="Z49" t="s">
        <v>11</v>
      </c>
      <c r="AA49">
        <v>62371</v>
      </c>
      <c r="AB49">
        <v>21249994</v>
      </c>
      <c r="AC49">
        <v>1</v>
      </c>
      <c r="AD49" s="8"/>
    </row>
    <row r="50" spans="1:30" x14ac:dyDescent="0.3">
      <c r="A50" t="s">
        <v>1627</v>
      </c>
      <c r="B50">
        <v>1403903</v>
      </c>
      <c r="D50" t="s">
        <v>7</v>
      </c>
      <c r="E50">
        <v>946228</v>
      </c>
      <c r="F50">
        <v>9015884123</v>
      </c>
      <c r="G50">
        <v>294</v>
      </c>
      <c r="H50" t="s">
        <v>124</v>
      </c>
      <c r="I50">
        <v>0</v>
      </c>
      <c r="J50" t="s">
        <v>125</v>
      </c>
      <c r="K50" t="s">
        <v>8</v>
      </c>
      <c r="L50" t="s">
        <v>18</v>
      </c>
      <c r="M50" t="s">
        <v>9</v>
      </c>
      <c r="N50" t="s">
        <v>14</v>
      </c>
      <c r="O50" s="2">
        <v>4.4000000000000004</v>
      </c>
      <c r="P50" s="3">
        <v>0</v>
      </c>
      <c r="Q50" s="1">
        <v>46036</v>
      </c>
      <c r="R50" s="1">
        <v>45992</v>
      </c>
      <c r="S50" s="1">
        <v>46022</v>
      </c>
      <c r="V50" s="8">
        <v>1</v>
      </c>
      <c r="W50" t="s">
        <v>24</v>
      </c>
      <c r="X50" t="s">
        <v>126</v>
      </c>
      <c r="Y50" t="s">
        <v>34</v>
      </c>
      <c r="Z50" t="s">
        <v>11</v>
      </c>
      <c r="AA50">
        <v>62371</v>
      </c>
      <c r="AB50">
        <v>18581834</v>
      </c>
      <c r="AC50">
        <v>0</v>
      </c>
      <c r="AD50" s="8"/>
    </row>
    <row r="51" spans="1:30" x14ac:dyDescent="0.3">
      <c r="A51" t="s">
        <v>1627</v>
      </c>
      <c r="B51">
        <v>1406191</v>
      </c>
      <c r="D51" t="s">
        <v>7</v>
      </c>
      <c r="E51">
        <v>946298</v>
      </c>
      <c r="F51">
        <v>9015884123</v>
      </c>
      <c r="G51">
        <v>321</v>
      </c>
      <c r="H51" t="s">
        <v>127</v>
      </c>
      <c r="I51">
        <v>0</v>
      </c>
      <c r="J51" t="s">
        <v>128</v>
      </c>
      <c r="K51" t="s">
        <v>8</v>
      </c>
      <c r="L51" t="s">
        <v>18</v>
      </c>
      <c r="M51" t="s">
        <v>9</v>
      </c>
      <c r="N51" t="s">
        <v>14</v>
      </c>
      <c r="O51" s="2">
        <v>-2.92</v>
      </c>
      <c r="P51" s="3">
        <v>0</v>
      </c>
      <c r="Q51" s="1">
        <v>46033</v>
      </c>
      <c r="R51" s="1">
        <v>45992</v>
      </c>
      <c r="S51" s="1">
        <v>46022</v>
      </c>
      <c r="V51" s="8">
        <v>1</v>
      </c>
      <c r="W51" t="s">
        <v>24</v>
      </c>
      <c r="X51" t="s">
        <v>129</v>
      </c>
      <c r="Y51" t="s">
        <v>31</v>
      </c>
      <c r="Z51" t="s">
        <v>11</v>
      </c>
      <c r="AA51">
        <v>62371</v>
      </c>
      <c r="AB51">
        <v>17464045</v>
      </c>
      <c r="AC51">
        <v>1</v>
      </c>
      <c r="AD51" s="8"/>
    </row>
    <row r="52" spans="1:30" x14ac:dyDescent="0.3">
      <c r="A52" t="s">
        <v>1627</v>
      </c>
      <c r="B52">
        <v>1405495</v>
      </c>
      <c r="D52" t="s">
        <v>7</v>
      </c>
      <c r="E52">
        <v>946264</v>
      </c>
      <c r="F52">
        <v>9015884123</v>
      </c>
      <c r="G52">
        <v>307</v>
      </c>
      <c r="H52" t="s">
        <v>130</v>
      </c>
      <c r="I52">
        <v>0</v>
      </c>
      <c r="J52" t="s">
        <v>131</v>
      </c>
      <c r="K52" t="s">
        <v>8</v>
      </c>
      <c r="L52" t="s">
        <v>18</v>
      </c>
      <c r="M52" t="s">
        <v>9</v>
      </c>
      <c r="N52" t="s">
        <v>14</v>
      </c>
      <c r="O52" s="2">
        <v>-4.4400000000000004</v>
      </c>
      <c r="P52" s="3">
        <v>0</v>
      </c>
      <c r="Q52" s="1">
        <v>46033</v>
      </c>
      <c r="R52" s="1">
        <v>45992</v>
      </c>
      <c r="S52" s="1">
        <v>46022</v>
      </c>
      <c r="V52" s="8">
        <v>1</v>
      </c>
      <c r="W52" t="s">
        <v>24</v>
      </c>
      <c r="X52" t="s">
        <v>132</v>
      </c>
      <c r="Y52" t="s">
        <v>31</v>
      </c>
      <c r="Z52" t="s">
        <v>11</v>
      </c>
      <c r="AA52">
        <v>62371</v>
      </c>
      <c r="AB52">
        <v>21396617</v>
      </c>
      <c r="AC52">
        <v>1</v>
      </c>
      <c r="AD52" s="8"/>
    </row>
    <row r="53" spans="1:30" x14ac:dyDescent="0.3">
      <c r="A53" t="s">
        <v>1627</v>
      </c>
      <c r="B53">
        <v>1403693</v>
      </c>
      <c r="D53" t="s">
        <v>7</v>
      </c>
      <c r="E53">
        <v>946166</v>
      </c>
      <c r="F53">
        <v>9015884123</v>
      </c>
      <c r="G53">
        <v>273</v>
      </c>
      <c r="H53" t="s">
        <v>133</v>
      </c>
      <c r="I53">
        <v>0</v>
      </c>
      <c r="J53" t="s">
        <v>134</v>
      </c>
      <c r="K53" t="s">
        <v>8</v>
      </c>
      <c r="L53" t="s">
        <v>15</v>
      </c>
      <c r="M53" t="s">
        <v>9</v>
      </c>
      <c r="N53" t="s">
        <v>14</v>
      </c>
      <c r="O53" s="2">
        <v>0</v>
      </c>
      <c r="P53" s="3">
        <v>888.43799999999999</v>
      </c>
      <c r="Q53" s="1">
        <v>46033</v>
      </c>
      <c r="R53" s="1">
        <v>45992</v>
      </c>
      <c r="S53" s="1">
        <v>46022</v>
      </c>
      <c r="V53" s="8">
        <v>1</v>
      </c>
      <c r="W53" t="s">
        <v>24</v>
      </c>
      <c r="X53" t="s">
        <v>135</v>
      </c>
      <c r="Y53" t="s">
        <v>31</v>
      </c>
      <c r="Z53" t="s">
        <v>11</v>
      </c>
      <c r="AA53">
        <v>62371</v>
      </c>
      <c r="AB53">
        <v>18461620</v>
      </c>
      <c r="AC53">
        <v>1</v>
      </c>
      <c r="AD53" s="8"/>
    </row>
    <row r="54" spans="1:30" x14ac:dyDescent="0.3">
      <c r="A54" t="s">
        <v>1627</v>
      </c>
      <c r="B54">
        <v>1411977</v>
      </c>
      <c r="D54" t="s">
        <v>7</v>
      </c>
      <c r="E54">
        <v>946375</v>
      </c>
      <c r="F54">
        <v>9015884123</v>
      </c>
      <c r="G54">
        <v>361</v>
      </c>
      <c r="H54" t="s">
        <v>136</v>
      </c>
      <c r="I54">
        <v>0</v>
      </c>
      <c r="J54" t="s">
        <v>137</v>
      </c>
      <c r="K54" t="s">
        <v>8</v>
      </c>
      <c r="L54" t="s">
        <v>18</v>
      </c>
      <c r="M54" t="s">
        <v>9</v>
      </c>
      <c r="N54" t="s">
        <v>14</v>
      </c>
      <c r="O54" s="2">
        <v>4.78</v>
      </c>
      <c r="P54" s="3">
        <v>0</v>
      </c>
      <c r="Q54" s="1">
        <v>46033</v>
      </c>
      <c r="R54" s="1">
        <v>45992</v>
      </c>
      <c r="S54" s="1">
        <v>46022</v>
      </c>
      <c r="V54" s="8">
        <v>1</v>
      </c>
      <c r="W54" t="s">
        <v>24</v>
      </c>
      <c r="X54" t="s">
        <v>138</v>
      </c>
      <c r="Y54" t="s">
        <v>34</v>
      </c>
      <c r="Z54" t="s">
        <v>11</v>
      </c>
      <c r="AA54">
        <v>62371</v>
      </c>
      <c r="AB54">
        <v>17902002</v>
      </c>
      <c r="AC54">
        <v>0</v>
      </c>
      <c r="AD54" s="8"/>
    </row>
    <row r="55" spans="1:30" x14ac:dyDescent="0.3">
      <c r="A55" t="s">
        <v>1627</v>
      </c>
      <c r="B55">
        <v>1359844</v>
      </c>
      <c r="D55" t="s">
        <v>7</v>
      </c>
      <c r="E55">
        <v>945489</v>
      </c>
      <c r="F55">
        <v>9015884123</v>
      </c>
      <c r="G55">
        <v>142</v>
      </c>
      <c r="H55" t="s">
        <v>139</v>
      </c>
      <c r="I55">
        <v>0</v>
      </c>
      <c r="J55" t="s">
        <v>140</v>
      </c>
      <c r="K55" t="s">
        <v>8</v>
      </c>
      <c r="L55" t="s">
        <v>19</v>
      </c>
      <c r="M55" t="s">
        <v>9</v>
      </c>
      <c r="N55" t="s">
        <v>14</v>
      </c>
      <c r="O55" s="2">
        <v>202.31</v>
      </c>
      <c r="P55" s="3">
        <v>1.24</v>
      </c>
      <c r="Q55" s="1">
        <v>46033</v>
      </c>
      <c r="R55" s="1">
        <v>45992</v>
      </c>
      <c r="S55" s="1">
        <v>46022</v>
      </c>
      <c r="V55" s="8">
        <v>1</v>
      </c>
      <c r="W55" t="s">
        <v>24</v>
      </c>
      <c r="X55" t="s">
        <v>141</v>
      </c>
      <c r="Y55" t="s">
        <v>31</v>
      </c>
      <c r="Z55" t="s">
        <v>11</v>
      </c>
      <c r="AA55">
        <v>62371</v>
      </c>
      <c r="AB55">
        <v>21392095</v>
      </c>
      <c r="AC55">
        <v>1</v>
      </c>
      <c r="AD55" s="8"/>
    </row>
    <row r="56" spans="1:30" x14ac:dyDescent="0.3">
      <c r="A56" t="s">
        <v>1627</v>
      </c>
      <c r="B56">
        <v>1359843</v>
      </c>
      <c r="D56" t="s">
        <v>7</v>
      </c>
      <c r="E56">
        <v>945487</v>
      </c>
      <c r="F56">
        <v>9015884123</v>
      </c>
      <c r="G56">
        <v>141</v>
      </c>
      <c r="H56" t="s">
        <v>142</v>
      </c>
      <c r="I56">
        <v>0</v>
      </c>
      <c r="J56" t="s">
        <v>143</v>
      </c>
      <c r="K56" t="s">
        <v>8</v>
      </c>
      <c r="L56" t="s">
        <v>67</v>
      </c>
      <c r="M56" t="s">
        <v>9</v>
      </c>
      <c r="N56" t="s">
        <v>14</v>
      </c>
      <c r="O56" s="2">
        <v>464112.71</v>
      </c>
      <c r="P56" s="3">
        <v>4297.509</v>
      </c>
      <c r="Q56" s="1">
        <v>46033</v>
      </c>
      <c r="R56" s="1">
        <v>45992</v>
      </c>
      <c r="S56" s="1">
        <v>46022</v>
      </c>
      <c r="V56" s="8">
        <v>1</v>
      </c>
      <c r="W56" t="s">
        <v>24</v>
      </c>
      <c r="X56" t="s">
        <v>144</v>
      </c>
      <c r="Y56" t="s">
        <v>31</v>
      </c>
      <c r="Z56" t="s">
        <v>11</v>
      </c>
      <c r="AA56">
        <v>62371</v>
      </c>
      <c r="AB56">
        <v>21358812</v>
      </c>
      <c r="AC56">
        <v>1</v>
      </c>
      <c r="AD56" s="8"/>
    </row>
    <row r="57" spans="1:30" x14ac:dyDescent="0.3">
      <c r="A57" t="s">
        <v>1627</v>
      </c>
      <c r="B57">
        <v>1342232</v>
      </c>
      <c r="D57" t="s">
        <v>7</v>
      </c>
      <c r="E57">
        <v>945253</v>
      </c>
      <c r="F57">
        <v>9015884123</v>
      </c>
      <c r="G57">
        <v>68</v>
      </c>
      <c r="H57" t="s">
        <v>145</v>
      </c>
      <c r="I57">
        <v>0</v>
      </c>
      <c r="J57" t="s">
        <v>146</v>
      </c>
      <c r="K57" t="s">
        <v>8</v>
      </c>
      <c r="L57" t="s">
        <v>19</v>
      </c>
      <c r="M57" t="s">
        <v>9</v>
      </c>
      <c r="N57" t="s">
        <v>14</v>
      </c>
      <c r="O57" s="2">
        <v>12483.56</v>
      </c>
      <c r="P57" s="3">
        <v>76.513000000000005</v>
      </c>
      <c r="Q57" s="1">
        <v>46033</v>
      </c>
      <c r="R57" s="1">
        <v>45992</v>
      </c>
      <c r="S57" s="1">
        <v>46022</v>
      </c>
      <c r="V57" s="8">
        <v>1</v>
      </c>
      <c r="W57" t="s">
        <v>24</v>
      </c>
      <c r="X57" t="s">
        <v>147</v>
      </c>
      <c r="Y57" t="s">
        <v>31</v>
      </c>
      <c r="Z57" t="s">
        <v>11</v>
      </c>
      <c r="AA57">
        <v>62371</v>
      </c>
      <c r="AB57">
        <v>21366482</v>
      </c>
      <c r="AC57">
        <v>1</v>
      </c>
      <c r="AD57" s="8"/>
    </row>
    <row r="58" spans="1:30" x14ac:dyDescent="0.3">
      <c r="A58" t="s">
        <v>1627</v>
      </c>
      <c r="B58">
        <v>1406227</v>
      </c>
      <c r="D58" t="s">
        <v>7</v>
      </c>
      <c r="E58">
        <v>946295</v>
      </c>
      <c r="F58">
        <v>9015884123</v>
      </c>
      <c r="G58">
        <v>320</v>
      </c>
      <c r="H58" t="s">
        <v>148</v>
      </c>
      <c r="I58">
        <v>0</v>
      </c>
      <c r="J58" t="s">
        <v>149</v>
      </c>
      <c r="K58" t="s">
        <v>8</v>
      </c>
      <c r="L58" t="s">
        <v>18</v>
      </c>
      <c r="M58" t="s">
        <v>9</v>
      </c>
      <c r="N58" t="s">
        <v>14</v>
      </c>
      <c r="O58" s="2">
        <v>-2.13</v>
      </c>
      <c r="P58" s="3">
        <v>0</v>
      </c>
      <c r="Q58" s="1">
        <v>46033</v>
      </c>
      <c r="R58" s="1">
        <v>45992</v>
      </c>
      <c r="S58" s="1">
        <v>46022</v>
      </c>
      <c r="V58" s="8">
        <v>1</v>
      </c>
      <c r="W58" t="s">
        <v>24</v>
      </c>
      <c r="X58" t="s">
        <v>150</v>
      </c>
      <c r="Y58" t="s">
        <v>34</v>
      </c>
      <c r="Z58" t="s">
        <v>11</v>
      </c>
      <c r="AA58">
        <v>62371</v>
      </c>
      <c r="AB58">
        <v>21249992</v>
      </c>
      <c r="AC58">
        <v>1</v>
      </c>
      <c r="AD58" s="8"/>
    </row>
    <row r="59" spans="1:30" x14ac:dyDescent="0.3">
      <c r="A59" t="s">
        <v>1627</v>
      </c>
      <c r="B59">
        <v>1384358</v>
      </c>
      <c r="D59" t="s">
        <v>7</v>
      </c>
      <c r="E59">
        <v>946028</v>
      </c>
      <c r="F59">
        <v>9015884123</v>
      </c>
      <c r="G59">
        <v>230</v>
      </c>
      <c r="H59" t="s">
        <v>151</v>
      </c>
      <c r="I59">
        <v>0</v>
      </c>
      <c r="J59" t="s">
        <v>152</v>
      </c>
      <c r="K59" t="s">
        <v>8</v>
      </c>
      <c r="L59" t="s">
        <v>15</v>
      </c>
      <c r="M59" t="s">
        <v>9</v>
      </c>
      <c r="N59" t="s">
        <v>14</v>
      </c>
      <c r="O59" s="2">
        <v>0</v>
      </c>
      <c r="P59" s="3">
        <v>1248.173</v>
      </c>
      <c r="Q59" s="1">
        <v>46033</v>
      </c>
      <c r="R59" s="1">
        <v>45992</v>
      </c>
      <c r="S59" s="1">
        <v>46022</v>
      </c>
      <c r="V59" s="8">
        <v>1</v>
      </c>
      <c r="W59" t="s">
        <v>24</v>
      </c>
      <c r="X59" t="s">
        <v>153</v>
      </c>
      <c r="Y59" t="s">
        <v>34</v>
      </c>
      <c r="Z59" t="s">
        <v>11</v>
      </c>
      <c r="AA59">
        <v>62371</v>
      </c>
      <c r="AB59">
        <v>21249963</v>
      </c>
      <c r="AC59">
        <v>1</v>
      </c>
      <c r="AD59" s="8"/>
    </row>
    <row r="60" spans="1:30" x14ac:dyDescent="0.3">
      <c r="A60" t="s">
        <v>1627</v>
      </c>
      <c r="B60">
        <v>1403708</v>
      </c>
      <c r="D60" t="s">
        <v>7</v>
      </c>
      <c r="E60">
        <v>946246</v>
      </c>
      <c r="F60">
        <v>9015884123</v>
      </c>
      <c r="G60">
        <v>300</v>
      </c>
      <c r="H60" t="s">
        <v>154</v>
      </c>
      <c r="I60">
        <v>0</v>
      </c>
      <c r="J60" t="s">
        <v>155</v>
      </c>
      <c r="K60" t="s">
        <v>8</v>
      </c>
      <c r="L60" t="s">
        <v>15</v>
      </c>
      <c r="M60" t="s">
        <v>9</v>
      </c>
      <c r="N60" t="s">
        <v>14</v>
      </c>
      <c r="O60" s="2">
        <v>0</v>
      </c>
      <c r="P60" s="3">
        <v>2459.9540000000002</v>
      </c>
      <c r="Q60" s="1">
        <v>46033</v>
      </c>
      <c r="R60" s="1">
        <v>45992</v>
      </c>
      <c r="S60" s="1">
        <v>46022</v>
      </c>
      <c r="V60" s="8">
        <v>1</v>
      </c>
      <c r="W60" t="s">
        <v>24</v>
      </c>
      <c r="X60" t="s">
        <v>156</v>
      </c>
      <c r="Y60" t="s">
        <v>31</v>
      </c>
      <c r="Z60" t="s">
        <v>11</v>
      </c>
      <c r="AA60">
        <v>62371</v>
      </c>
      <c r="AB60">
        <v>18971739</v>
      </c>
      <c r="AC60">
        <v>0</v>
      </c>
      <c r="AD60" s="8"/>
    </row>
    <row r="61" spans="1:30" x14ac:dyDescent="0.3">
      <c r="A61" t="s">
        <v>1627</v>
      </c>
      <c r="B61">
        <v>1363362</v>
      </c>
      <c r="D61" t="s">
        <v>7</v>
      </c>
      <c r="E61">
        <v>945911</v>
      </c>
      <c r="F61">
        <v>9015884123</v>
      </c>
      <c r="G61">
        <v>160</v>
      </c>
      <c r="H61" t="s">
        <v>157</v>
      </c>
      <c r="I61">
        <v>0</v>
      </c>
      <c r="J61" t="s">
        <v>158</v>
      </c>
      <c r="K61" t="s">
        <v>8</v>
      </c>
      <c r="L61" t="s">
        <v>19</v>
      </c>
      <c r="M61" t="s">
        <v>9</v>
      </c>
      <c r="N61" t="s">
        <v>14</v>
      </c>
      <c r="O61" s="2">
        <v>93.81</v>
      </c>
      <c r="P61" s="3">
        <v>0.57499999999999996</v>
      </c>
      <c r="Q61" s="1">
        <v>46033</v>
      </c>
      <c r="R61" s="1">
        <v>45992</v>
      </c>
      <c r="S61" s="1">
        <v>46022</v>
      </c>
      <c r="V61" s="8">
        <v>1</v>
      </c>
      <c r="W61" t="s">
        <v>24</v>
      </c>
      <c r="X61" t="s">
        <v>159</v>
      </c>
      <c r="Y61" t="s">
        <v>34</v>
      </c>
      <c r="Z61" t="s">
        <v>11</v>
      </c>
      <c r="AA61">
        <v>62371</v>
      </c>
      <c r="AB61">
        <v>21249744</v>
      </c>
      <c r="AC61">
        <v>1</v>
      </c>
      <c r="AD61" s="8"/>
    </row>
    <row r="62" spans="1:30" x14ac:dyDescent="0.3">
      <c r="A62" t="s">
        <v>1627</v>
      </c>
      <c r="B62">
        <v>1383133</v>
      </c>
      <c r="D62" t="s">
        <v>7</v>
      </c>
      <c r="E62">
        <v>946025</v>
      </c>
      <c r="F62">
        <v>9015884123</v>
      </c>
      <c r="G62">
        <v>229</v>
      </c>
      <c r="H62" t="s">
        <v>160</v>
      </c>
      <c r="I62">
        <v>0</v>
      </c>
      <c r="J62" t="s">
        <v>161</v>
      </c>
      <c r="K62" t="s">
        <v>8</v>
      </c>
      <c r="L62" t="s">
        <v>15</v>
      </c>
      <c r="M62" t="s">
        <v>9</v>
      </c>
      <c r="N62" t="s">
        <v>14</v>
      </c>
      <c r="O62" s="2">
        <v>0</v>
      </c>
      <c r="P62" s="3">
        <v>1444.482</v>
      </c>
      <c r="Q62" s="1">
        <v>46033</v>
      </c>
      <c r="R62" s="1">
        <v>45992</v>
      </c>
      <c r="S62" s="1">
        <v>46022</v>
      </c>
      <c r="V62" s="8">
        <v>1</v>
      </c>
      <c r="W62" t="s">
        <v>24</v>
      </c>
      <c r="X62" t="s">
        <v>162</v>
      </c>
      <c r="Y62" t="s">
        <v>31</v>
      </c>
      <c r="Z62" t="s">
        <v>11</v>
      </c>
      <c r="AA62">
        <v>62371</v>
      </c>
      <c r="AB62">
        <v>18862233</v>
      </c>
      <c r="AC62">
        <v>1</v>
      </c>
      <c r="AD62" s="8"/>
    </row>
    <row r="63" spans="1:30" x14ac:dyDescent="0.3">
      <c r="A63" t="s">
        <v>1627</v>
      </c>
      <c r="B63">
        <v>1383090</v>
      </c>
      <c r="D63" t="s">
        <v>7</v>
      </c>
      <c r="E63">
        <v>946015</v>
      </c>
      <c r="F63">
        <v>9015884123</v>
      </c>
      <c r="G63">
        <v>225</v>
      </c>
      <c r="H63" t="s">
        <v>163</v>
      </c>
      <c r="I63">
        <v>0</v>
      </c>
      <c r="J63" t="s">
        <v>164</v>
      </c>
      <c r="K63" t="s">
        <v>8</v>
      </c>
      <c r="L63" t="s">
        <v>18</v>
      </c>
      <c r="M63" t="s">
        <v>9</v>
      </c>
      <c r="N63" t="s">
        <v>14</v>
      </c>
      <c r="O63" s="2">
        <v>-0.36</v>
      </c>
      <c r="P63" s="3">
        <v>0</v>
      </c>
      <c r="Q63" s="1">
        <v>46033</v>
      </c>
      <c r="R63" s="1">
        <v>45992</v>
      </c>
      <c r="S63" s="1">
        <v>46022</v>
      </c>
      <c r="V63" s="8">
        <v>1</v>
      </c>
      <c r="W63" t="s">
        <v>24</v>
      </c>
      <c r="X63" t="s">
        <v>165</v>
      </c>
      <c r="Y63" t="s">
        <v>31</v>
      </c>
      <c r="Z63" t="s">
        <v>11</v>
      </c>
      <c r="AA63">
        <v>62371</v>
      </c>
      <c r="AB63">
        <v>21392094</v>
      </c>
      <c r="AC63">
        <v>1</v>
      </c>
      <c r="AD63" s="8"/>
    </row>
    <row r="64" spans="1:30" x14ac:dyDescent="0.3">
      <c r="A64" t="s">
        <v>1627</v>
      </c>
      <c r="B64">
        <v>1377792</v>
      </c>
      <c r="D64" t="s">
        <v>7</v>
      </c>
      <c r="E64">
        <v>945959</v>
      </c>
      <c r="F64">
        <v>9015884123</v>
      </c>
      <c r="G64">
        <v>197</v>
      </c>
      <c r="H64" t="s">
        <v>166</v>
      </c>
      <c r="I64">
        <v>0</v>
      </c>
      <c r="J64" t="s">
        <v>167</v>
      </c>
      <c r="K64" t="s">
        <v>8</v>
      </c>
      <c r="L64" t="s">
        <v>67</v>
      </c>
      <c r="M64" t="s">
        <v>9</v>
      </c>
      <c r="N64" t="s">
        <v>14</v>
      </c>
      <c r="O64" s="2">
        <v>1767827.79</v>
      </c>
      <c r="P64" s="3">
        <v>16369.42</v>
      </c>
      <c r="Q64" s="1">
        <v>46033</v>
      </c>
      <c r="R64" s="1">
        <v>45992</v>
      </c>
      <c r="S64" s="1">
        <v>46022</v>
      </c>
      <c r="V64" s="8">
        <v>1</v>
      </c>
      <c r="W64" t="s">
        <v>24</v>
      </c>
      <c r="X64" t="s">
        <v>168</v>
      </c>
      <c r="Y64" t="s">
        <v>31</v>
      </c>
      <c r="Z64" t="s">
        <v>11</v>
      </c>
      <c r="AA64">
        <v>62371</v>
      </c>
      <c r="AB64">
        <v>19282562</v>
      </c>
      <c r="AC64">
        <v>1</v>
      </c>
      <c r="AD64" s="8"/>
    </row>
    <row r="65" spans="1:30" x14ac:dyDescent="0.3">
      <c r="A65" t="s">
        <v>1627</v>
      </c>
      <c r="B65">
        <v>1356203</v>
      </c>
      <c r="D65" t="s">
        <v>7</v>
      </c>
      <c r="E65">
        <v>945404</v>
      </c>
      <c r="F65">
        <v>9015884123</v>
      </c>
      <c r="G65">
        <v>113</v>
      </c>
      <c r="H65" t="s">
        <v>169</v>
      </c>
      <c r="I65">
        <v>0</v>
      </c>
      <c r="J65" t="s">
        <v>170</v>
      </c>
      <c r="K65" t="s">
        <v>8</v>
      </c>
      <c r="L65" t="s">
        <v>18</v>
      </c>
      <c r="M65" t="s">
        <v>9</v>
      </c>
      <c r="N65" t="s">
        <v>14</v>
      </c>
      <c r="O65" s="2">
        <v>-0.28000000000000003</v>
      </c>
      <c r="P65" s="3">
        <v>0</v>
      </c>
      <c r="Q65" s="1">
        <v>46033</v>
      </c>
      <c r="R65" s="1">
        <v>45992</v>
      </c>
      <c r="S65" s="1">
        <v>46022</v>
      </c>
      <c r="V65" s="8">
        <v>1</v>
      </c>
      <c r="W65" t="s">
        <v>24</v>
      </c>
      <c r="X65" t="s">
        <v>171</v>
      </c>
      <c r="Y65" t="s">
        <v>31</v>
      </c>
      <c r="Z65" t="s">
        <v>11</v>
      </c>
      <c r="AA65">
        <v>62371</v>
      </c>
      <c r="AB65">
        <v>17426447</v>
      </c>
      <c r="AC65">
        <v>0</v>
      </c>
      <c r="AD65" s="8"/>
    </row>
    <row r="66" spans="1:30" x14ac:dyDescent="0.3">
      <c r="A66" t="s">
        <v>1627</v>
      </c>
      <c r="B66">
        <v>1363134</v>
      </c>
      <c r="D66" t="s">
        <v>7</v>
      </c>
      <c r="E66">
        <v>945907</v>
      </c>
      <c r="F66">
        <v>9015884123</v>
      </c>
      <c r="G66">
        <v>156</v>
      </c>
      <c r="H66" t="s">
        <v>173</v>
      </c>
      <c r="I66">
        <v>0</v>
      </c>
      <c r="J66" t="s">
        <v>174</v>
      </c>
      <c r="K66" t="s">
        <v>8</v>
      </c>
      <c r="L66" t="s">
        <v>15</v>
      </c>
      <c r="M66" t="s">
        <v>9</v>
      </c>
      <c r="N66" t="s">
        <v>14</v>
      </c>
      <c r="O66" s="2">
        <v>0</v>
      </c>
      <c r="P66" s="3">
        <v>2362.4549999999999</v>
      </c>
      <c r="Q66" s="1">
        <v>46033</v>
      </c>
      <c r="R66" s="1">
        <v>45992</v>
      </c>
      <c r="S66" s="1">
        <v>46022</v>
      </c>
      <c r="V66" s="8">
        <v>1</v>
      </c>
      <c r="W66" t="s">
        <v>24</v>
      </c>
      <c r="X66" t="s">
        <v>175</v>
      </c>
      <c r="Y66" t="s">
        <v>34</v>
      </c>
      <c r="Z66" t="s">
        <v>11</v>
      </c>
      <c r="AA66">
        <v>62371</v>
      </c>
      <c r="AB66">
        <v>21249790</v>
      </c>
      <c r="AC66">
        <v>1</v>
      </c>
      <c r="AD66" s="8"/>
    </row>
    <row r="67" spans="1:30" x14ac:dyDescent="0.3">
      <c r="A67" t="s">
        <v>1627</v>
      </c>
      <c r="B67">
        <v>1353810</v>
      </c>
      <c r="D67" t="s">
        <v>7</v>
      </c>
      <c r="E67">
        <v>945317</v>
      </c>
      <c r="F67">
        <v>9015884123</v>
      </c>
      <c r="G67">
        <v>87</v>
      </c>
      <c r="H67" t="s">
        <v>176</v>
      </c>
      <c r="I67">
        <v>0</v>
      </c>
      <c r="J67" t="s">
        <v>177</v>
      </c>
      <c r="K67" t="s">
        <v>8</v>
      </c>
      <c r="L67" t="s">
        <v>18</v>
      </c>
      <c r="M67" t="s">
        <v>9</v>
      </c>
      <c r="N67" t="s">
        <v>14</v>
      </c>
      <c r="O67" s="2">
        <v>-4.09</v>
      </c>
      <c r="P67" s="3">
        <v>0</v>
      </c>
      <c r="Q67" s="1">
        <v>46033</v>
      </c>
      <c r="R67" s="1">
        <v>45992</v>
      </c>
      <c r="S67" s="1">
        <v>46022</v>
      </c>
      <c r="V67" s="8">
        <v>1</v>
      </c>
      <c r="W67" t="s">
        <v>24</v>
      </c>
      <c r="X67" t="s">
        <v>178</v>
      </c>
      <c r="Y67" t="s">
        <v>34</v>
      </c>
      <c r="Z67" t="s">
        <v>11</v>
      </c>
      <c r="AA67">
        <v>62371</v>
      </c>
      <c r="AB67">
        <v>18550359</v>
      </c>
      <c r="AC67">
        <v>0</v>
      </c>
      <c r="AD67" s="8"/>
    </row>
    <row r="68" spans="1:30" x14ac:dyDescent="0.3">
      <c r="A68" t="s">
        <v>1627</v>
      </c>
      <c r="B68">
        <v>1408938</v>
      </c>
      <c r="D68" t="s">
        <v>7</v>
      </c>
      <c r="E68">
        <v>946338</v>
      </c>
      <c r="F68">
        <v>9015884123</v>
      </c>
      <c r="G68">
        <v>343</v>
      </c>
      <c r="H68" t="s">
        <v>179</v>
      </c>
      <c r="I68">
        <v>0</v>
      </c>
      <c r="J68" t="s">
        <v>180</v>
      </c>
      <c r="K68" t="s">
        <v>8</v>
      </c>
      <c r="L68" t="s">
        <v>67</v>
      </c>
      <c r="M68" t="s">
        <v>9</v>
      </c>
      <c r="N68" t="s">
        <v>14</v>
      </c>
      <c r="O68" s="2">
        <v>219893.95</v>
      </c>
      <c r="P68" s="3">
        <v>1543.8579999999999</v>
      </c>
      <c r="Q68" s="1">
        <v>46033</v>
      </c>
      <c r="R68" s="1">
        <v>45992</v>
      </c>
      <c r="S68" s="1">
        <v>46022</v>
      </c>
      <c r="V68" s="8">
        <v>1</v>
      </c>
      <c r="W68" t="s">
        <v>24</v>
      </c>
      <c r="X68" t="s">
        <v>181</v>
      </c>
      <c r="Y68" t="s">
        <v>172</v>
      </c>
      <c r="Z68" t="s">
        <v>11</v>
      </c>
      <c r="AA68">
        <v>62371</v>
      </c>
      <c r="AB68">
        <v>18836292</v>
      </c>
      <c r="AC68">
        <v>0</v>
      </c>
      <c r="AD68" s="8"/>
    </row>
    <row r="69" spans="1:30" x14ac:dyDescent="0.3">
      <c r="A69" t="s">
        <v>1627</v>
      </c>
      <c r="B69">
        <v>1342257</v>
      </c>
      <c r="D69" t="s">
        <v>7</v>
      </c>
      <c r="E69">
        <v>945272</v>
      </c>
      <c r="F69">
        <v>9015884123</v>
      </c>
      <c r="G69">
        <v>73</v>
      </c>
      <c r="H69" t="s">
        <v>183</v>
      </c>
      <c r="I69">
        <v>0</v>
      </c>
      <c r="J69" t="s">
        <v>184</v>
      </c>
      <c r="K69" t="s">
        <v>8</v>
      </c>
      <c r="L69" t="s">
        <v>19</v>
      </c>
      <c r="M69" t="s">
        <v>9</v>
      </c>
      <c r="N69" t="s">
        <v>14</v>
      </c>
      <c r="O69" s="2">
        <v>103.34</v>
      </c>
      <c r="P69" s="3">
        <v>0.52300000000000002</v>
      </c>
      <c r="Q69" s="1">
        <v>46033</v>
      </c>
      <c r="R69" s="1">
        <v>45992</v>
      </c>
      <c r="S69" s="1">
        <v>46022</v>
      </c>
      <c r="V69" s="8">
        <v>1</v>
      </c>
      <c r="W69" t="s">
        <v>24</v>
      </c>
      <c r="X69" t="s">
        <v>185</v>
      </c>
      <c r="Y69" t="s">
        <v>10</v>
      </c>
      <c r="Z69" t="s">
        <v>11</v>
      </c>
      <c r="AA69">
        <v>62371</v>
      </c>
      <c r="AB69">
        <v>19400471</v>
      </c>
      <c r="AC69">
        <v>0</v>
      </c>
      <c r="AD69" s="8"/>
    </row>
    <row r="70" spans="1:30" x14ac:dyDescent="0.3">
      <c r="A70" t="s">
        <v>1627</v>
      </c>
      <c r="B70">
        <v>1354726</v>
      </c>
      <c r="D70" t="s">
        <v>7</v>
      </c>
      <c r="E70">
        <v>945301</v>
      </c>
      <c r="F70">
        <v>9015884123</v>
      </c>
      <c r="G70">
        <v>82</v>
      </c>
      <c r="H70" t="s">
        <v>186</v>
      </c>
      <c r="I70">
        <v>0</v>
      </c>
      <c r="J70" t="s">
        <v>187</v>
      </c>
      <c r="K70" t="s">
        <v>8</v>
      </c>
      <c r="L70" t="s">
        <v>67</v>
      </c>
      <c r="M70" t="s">
        <v>9</v>
      </c>
      <c r="N70" t="s">
        <v>14</v>
      </c>
      <c r="O70" s="2">
        <v>493026.64</v>
      </c>
      <c r="P70" s="3">
        <v>3461.5010000000002</v>
      </c>
      <c r="Q70" s="1">
        <v>46033</v>
      </c>
      <c r="R70" s="1">
        <v>45992</v>
      </c>
      <c r="S70" s="1">
        <v>46022</v>
      </c>
      <c r="V70" s="8">
        <v>1</v>
      </c>
      <c r="W70" t="s">
        <v>24</v>
      </c>
      <c r="X70" t="s">
        <v>188</v>
      </c>
      <c r="Y70" t="s">
        <v>189</v>
      </c>
      <c r="Z70" t="s">
        <v>11</v>
      </c>
      <c r="AA70">
        <v>62371</v>
      </c>
      <c r="AB70">
        <v>18484284</v>
      </c>
      <c r="AC70">
        <v>0</v>
      </c>
      <c r="AD70" s="8"/>
    </row>
    <row r="71" spans="1:30" x14ac:dyDescent="0.3">
      <c r="A71" t="s">
        <v>1627</v>
      </c>
      <c r="B71">
        <v>1345472</v>
      </c>
      <c r="D71" t="s">
        <v>7</v>
      </c>
      <c r="E71">
        <v>945279</v>
      </c>
      <c r="F71">
        <v>9015884123</v>
      </c>
      <c r="G71">
        <v>75</v>
      </c>
      <c r="H71" t="s">
        <v>190</v>
      </c>
      <c r="I71">
        <v>0</v>
      </c>
      <c r="J71" t="s">
        <v>191</v>
      </c>
      <c r="K71" t="s">
        <v>8</v>
      </c>
      <c r="L71" t="s">
        <v>67</v>
      </c>
      <c r="M71" t="s">
        <v>9</v>
      </c>
      <c r="N71" t="s">
        <v>14</v>
      </c>
      <c r="O71" s="2">
        <v>232442.06</v>
      </c>
      <c r="P71" s="3">
        <v>2152.326</v>
      </c>
      <c r="Q71" s="1">
        <v>46033</v>
      </c>
      <c r="R71" s="1">
        <v>45992</v>
      </c>
      <c r="S71" s="1">
        <v>46022</v>
      </c>
      <c r="V71" s="8">
        <v>1</v>
      </c>
      <c r="W71" t="s">
        <v>24</v>
      </c>
      <c r="X71" t="s">
        <v>192</v>
      </c>
      <c r="Y71" t="s">
        <v>10</v>
      </c>
      <c r="Z71" t="s">
        <v>11</v>
      </c>
      <c r="AA71">
        <v>62371</v>
      </c>
      <c r="AB71">
        <v>18158556</v>
      </c>
      <c r="AC71">
        <v>1</v>
      </c>
      <c r="AD71" s="8"/>
    </row>
    <row r="72" spans="1:30" x14ac:dyDescent="0.3">
      <c r="A72" t="s">
        <v>1627</v>
      </c>
      <c r="B72">
        <v>1342257</v>
      </c>
      <c r="D72" t="s">
        <v>7</v>
      </c>
      <c r="E72">
        <v>945272</v>
      </c>
      <c r="F72">
        <v>9015884123</v>
      </c>
      <c r="G72">
        <v>73</v>
      </c>
      <c r="H72" t="s">
        <v>183</v>
      </c>
      <c r="I72">
        <v>0</v>
      </c>
      <c r="J72" t="s">
        <v>184</v>
      </c>
      <c r="K72" t="s">
        <v>8</v>
      </c>
      <c r="L72" t="s">
        <v>67</v>
      </c>
      <c r="M72" t="s">
        <v>9</v>
      </c>
      <c r="N72" t="s">
        <v>14</v>
      </c>
      <c r="O72" s="2">
        <v>283896.24</v>
      </c>
      <c r="P72" s="3">
        <v>1993.213</v>
      </c>
      <c r="Q72" s="1">
        <v>46033</v>
      </c>
      <c r="R72" s="1">
        <v>45992</v>
      </c>
      <c r="S72" s="1">
        <v>46022</v>
      </c>
      <c r="V72" s="8">
        <v>1</v>
      </c>
      <c r="W72" t="s">
        <v>24</v>
      </c>
      <c r="X72" t="s">
        <v>185</v>
      </c>
      <c r="Y72" t="s">
        <v>10</v>
      </c>
      <c r="Z72" t="s">
        <v>11</v>
      </c>
      <c r="AA72">
        <v>62371</v>
      </c>
      <c r="AB72">
        <v>19400471</v>
      </c>
      <c r="AC72">
        <v>0</v>
      </c>
      <c r="AD72" s="8"/>
    </row>
    <row r="73" spans="1:30" x14ac:dyDescent="0.3">
      <c r="A73" t="s">
        <v>1627</v>
      </c>
      <c r="B73">
        <v>1354736</v>
      </c>
      <c r="D73" t="s">
        <v>7</v>
      </c>
      <c r="E73">
        <v>945356</v>
      </c>
      <c r="F73">
        <v>9015884123</v>
      </c>
      <c r="G73">
        <v>98</v>
      </c>
      <c r="H73" t="s">
        <v>193</v>
      </c>
      <c r="I73">
        <v>0</v>
      </c>
      <c r="J73" t="s">
        <v>194</v>
      </c>
      <c r="K73" t="s">
        <v>8</v>
      </c>
      <c r="L73" t="s">
        <v>19</v>
      </c>
      <c r="M73" t="s">
        <v>9</v>
      </c>
      <c r="N73" t="s">
        <v>14</v>
      </c>
      <c r="O73" s="2">
        <v>9545.1200000000008</v>
      </c>
      <c r="P73" s="3">
        <v>58.503</v>
      </c>
      <c r="Q73" s="1">
        <v>46033</v>
      </c>
      <c r="R73" s="1">
        <v>45992</v>
      </c>
      <c r="S73" s="1">
        <v>46022</v>
      </c>
      <c r="V73" s="8">
        <v>1</v>
      </c>
      <c r="W73" t="s">
        <v>24</v>
      </c>
      <c r="X73" t="s">
        <v>195</v>
      </c>
      <c r="Y73" t="s">
        <v>10</v>
      </c>
      <c r="Z73" t="s">
        <v>11</v>
      </c>
      <c r="AA73">
        <v>62371</v>
      </c>
      <c r="AB73">
        <v>18534189</v>
      </c>
      <c r="AC73">
        <v>1</v>
      </c>
      <c r="AD73" s="8"/>
    </row>
    <row r="74" spans="1:30" x14ac:dyDescent="0.3">
      <c r="A74" t="s">
        <v>1627</v>
      </c>
      <c r="B74">
        <v>1354732</v>
      </c>
      <c r="D74" t="s">
        <v>7</v>
      </c>
      <c r="E74">
        <v>945330</v>
      </c>
      <c r="F74">
        <v>9015884123</v>
      </c>
      <c r="G74">
        <v>90</v>
      </c>
      <c r="H74" t="s">
        <v>196</v>
      </c>
      <c r="I74">
        <v>0</v>
      </c>
      <c r="J74" t="s">
        <v>197</v>
      </c>
      <c r="K74" t="s">
        <v>8</v>
      </c>
      <c r="L74" t="s">
        <v>15</v>
      </c>
      <c r="M74" t="s">
        <v>9</v>
      </c>
      <c r="N74" t="s">
        <v>14</v>
      </c>
      <c r="O74" s="2">
        <v>0</v>
      </c>
      <c r="P74" s="3">
        <v>4114.2569999999996</v>
      </c>
      <c r="Q74" s="1">
        <v>46033</v>
      </c>
      <c r="R74" s="1">
        <v>45992</v>
      </c>
      <c r="S74" s="1">
        <v>46022</v>
      </c>
      <c r="V74" s="8">
        <v>1</v>
      </c>
      <c r="W74" t="s">
        <v>24</v>
      </c>
      <c r="X74" t="s">
        <v>198</v>
      </c>
      <c r="Y74" t="s">
        <v>10</v>
      </c>
      <c r="Z74" t="s">
        <v>11</v>
      </c>
      <c r="AA74">
        <v>62371</v>
      </c>
      <c r="AB74">
        <v>18404523</v>
      </c>
      <c r="AC74">
        <v>1</v>
      </c>
      <c r="AD74" s="8"/>
    </row>
    <row r="75" spans="1:30" x14ac:dyDescent="0.3">
      <c r="A75" t="s">
        <v>1627</v>
      </c>
      <c r="B75">
        <v>1354732</v>
      </c>
      <c r="D75" t="s">
        <v>7</v>
      </c>
      <c r="E75">
        <v>945330</v>
      </c>
      <c r="F75">
        <v>9015884123</v>
      </c>
      <c r="G75">
        <v>90</v>
      </c>
      <c r="H75" t="s">
        <v>196</v>
      </c>
      <c r="I75">
        <v>0</v>
      </c>
      <c r="J75" t="s">
        <v>197</v>
      </c>
      <c r="K75" t="s">
        <v>8</v>
      </c>
      <c r="L75" t="s">
        <v>19</v>
      </c>
      <c r="M75" t="s">
        <v>9</v>
      </c>
      <c r="N75" t="s">
        <v>14</v>
      </c>
      <c r="O75" s="2">
        <v>9222.23</v>
      </c>
      <c r="P75" s="3">
        <v>56.524000000000001</v>
      </c>
      <c r="Q75" s="1">
        <v>46033</v>
      </c>
      <c r="R75" s="1">
        <v>45992</v>
      </c>
      <c r="S75" s="1">
        <v>46022</v>
      </c>
      <c r="V75" s="8">
        <v>1</v>
      </c>
      <c r="W75" t="s">
        <v>24</v>
      </c>
      <c r="X75" t="s">
        <v>198</v>
      </c>
      <c r="Y75" t="s">
        <v>10</v>
      </c>
      <c r="Z75" t="s">
        <v>11</v>
      </c>
      <c r="AA75">
        <v>62371</v>
      </c>
      <c r="AB75">
        <v>18404523</v>
      </c>
      <c r="AC75">
        <v>1</v>
      </c>
      <c r="AD75" s="8"/>
    </row>
    <row r="76" spans="1:30" x14ac:dyDescent="0.3">
      <c r="A76" t="s">
        <v>1627</v>
      </c>
      <c r="B76">
        <v>1354729</v>
      </c>
      <c r="D76" t="s">
        <v>7</v>
      </c>
      <c r="E76">
        <v>945311</v>
      </c>
      <c r="F76">
        <v>9015884123</v>
      </c>
      <c r="G76">
        <v>85</v>
      </c>
      <c r="H76" t="s">
        <v>199</v>
      </c>
      <c r="I76">
        <v>0</v>
      </c>
      <c r="J76" t="s">
        <v>200</v>
      </c>
      <c r="K76" t="s">
        <v>8</v>
      </c>
      <c r="L76" t="s">
        <v>67</v>
      </c>
      <c r="M76" t="s">
        <v>9</v>
      </c>
      <c r="N76" t="s">
        <v>14</v>
      </c>
      <c r="O76" s="2">
        <v>617078.18000000005</v>
      </c>
      <c r="P76" s="3">
        <v>4332.4570000000003</v>
      </c>
      <c r="Q76" s="1">
        <v>46033</v>
      </c>
      <c r="R76" s="1">
        <v>45992</v>
      </c>
      <c r="S76" s="1">
        <v>46022</v>
      </c>
      <c r="V76" s="8">
        <v>1</v>
      </c>
      <c r="W76" t="s">
        <v>24</v>
      </c>
      <c r="X76" t="s">
        <v>201</v>
      </c>
      <c r="Y76" t="s">
        <v>10</v>
      </c>
      <c r="Z76" t="s">
        <v>11</v>
      </c>
      <c r="AA76">
        <v>62371</v>
      </c>
      <c r="AB76">
        <v>17169186</v>
      </c>
      <c r="AC76">
        <v>0</v>
      </c>
      <c r="AD76" s="8"/>
    </row>
    <row r="77" spans="1:30" x14ac:dyDescent="0.3">
      <c r="A77" t="s">
        <v>1627</v>
      </c>
      <c r="B77">
        <v>1354729</v>
      </c>
      <c r="D77" t="s">
        <v>7</v>
      </c>
      <c r="E77">
        <v>945311</v>
      </c>
      <c r="F77">
        <v>9015884123</v>
      </c>
      <c r="G77">
        <v>85</v>
      </c>
      <c r="H77" t="s">
        <v>199</v>
      </c>
      <c r="I77">
        <v>0</v>
      </c>
      <c r="J77" t="s">
        <v>200</v>
      </c>
      <c r="K77" t="s">
        <v>8</v>
      </c>
      <c r="L77" t="s">
        <v>18</v>
      </c>
      <c r="M77" t="s">
        <v>9</v>
      </c>
      <c r="N77" t="s">
        <v>14</v>
      </c>
      <c r="O77" s="2">
        <v>-4.3</v>
      </c>
      <c r="P77" s="3">
        <v>0</v>
      </c>
      <c r="Q77" s="1">
        <v>46033</v>
      </c>
      <c r="R77" s="1">
        <v>45992</v>
      </c>
      <c r="S77" s="1">
        <v>46022</v>
      </c>
      <c r="V77" s="8">
        <v>1</v>
      </c>
      <c r="W77" t="s">
        <v>24</v>
      </c>
      <c r="X77" t="s">
        <v>201</v>
      </c>
      <c r="Y77" t="s">
        <v>10</v>
      </c>
      <c r="Z77" t="s">
        <v>11</v>
      </c>
      <c r="AA77">
        <v>62371</v>
      </c>
      <c r="AB77">
        <v>17169186</v>
      </c>
      <c r="AC77">
        <v>0</v>
      </c>
      <c r="AD77" s="8"/>
    </row>
    <row r="78" spans="1:30" x14ac:dyDescent="0.3">
      <c r="A78" t="s">
        <v>1627</v>
      </c>
      <c r="B78">
        <v>1359030</v>
      </c>
      <c r="D78" t="s">
        <v>7</v>
      </c>
      <c r="E78">
        <v>945898</v>
      </c>
      <c r="F78">
        <v>9015884123</v>
      </c>
      <c r="G78">
        <v>147</v>
      </c>
      <c r="H78" t="s">
        <v>202</v>
      </c>
      <c r="I78">
        <v>0</v>
      </c>
      <c r="J78" t="s">
        <v>203</v>
      </c>
      <c r="K78" t="s">
        <v>8</v>
      </c>
      <c r="L78" t="s">
        <v>19</v>
      </c>
      <c r="M78" t="s">
        <v>9</v>
      </c>
      <c r="N78" t="s">
        <v>14</v>
      </c>
      <c r="O78" s="2">
        <v>0.16</v>
      </c>
      <c r="P78" s="3">
        <v>1E-3</v>
      </c>
      <c r="Q78" s="1">
        <v>46033</v>
      </c>
      <c r="R78" s="1">
        <v>45992</v>
      </c>
      <c r="S78" s="1">
        <v>46022</v>
      </c>
      <c r="V78" s="8">
        <v>1</v>
      </c>
      <c r="W78" t="s">
        <v>24</v>
      </c>
      <c r="X78" t="s">
        <v>204</v>
      </c>
      <c r="Y78" t="s">
        <v>17</v>
      </c>
      <c r="Z78" t="s">
        <v>11</v>
      </c>
      <c r="AA78">
        <v>62371</v>
      </c>
      <c r="AB78">
        <v>18549020</v>
      </c>
      <c r="AC78">
        <v>1</v>
      </c>
      <c r="AD78" s="8"/>
    </row>
    <row r="79" spans="1:30" x14ac:dyDescent="0.3">
      <c r="A79" t="s">
        <v>1627</v>
      </c>
      <c r="B79">
        <v>1363377</v>
      </c>
      <c r="D79" t="s">
        <v>7</v>
      </c>
      <c r="E79">
        <v>945910</v>
      </c>
      <c r="F79">
        <v>9015884123</v>
      </c>
      <c r="G79">
        <v>159</v>
      </c>
      <c r="H79" t="s">
        <v>205</v>
      </c>
      <c r="I79">
        <v>0</v>
      </c>
      <c r="J79" t="s">
        <v>206</v>
      </c>
      <c r="K79" t="s">
        <v>8</v>
      </c>
      <c r="L79" t="s">
        <v>15</v>
      </c>
      <c r="M79" t="s">
        <v>9</v>
      </c>
      <c r="N79" t="s">
        <v>14</v>
      </c>
      <c r="O79" s="2">
        <v>0</v>
      </c>
      <c r="P79" s="3">
        <v>2111.373</v>
      </c>
      <c r="Q79" s="1">
        <v>46033</v>
      </c>
      <c r="R79" s="1">
        <v>45992</v>
      </c>
      <c r="S79" s="1">
        <v>46022</v>
      </c>
      <c r="V79" s="8">
        <v>1</v>
      </c>
      <c r="W79" t="s">
        <v>24</v>
      </c>
      <c r="X79" t="s">
        <v>207</v>
      </c>
      <c r="Y79" t="s">
        <v>17</v>
      </c>
      <c r="Z79" t="s">
        <v>11</v>
      </c>
      <c r="AA79">
        <v>62371</v>
      </c>
      <c r="AB79">
        <v>19861998</v>
      </c>
      <c r="AC79">
        <v>1</v>
      </c>
      <c r="AD79" s="8"/>
    </row>
    <row r="80" spans="1:30" x14ac:dyDescent="0.3">
      <c r="A80" t="s">
        <v>1627</v>
      </c>
      <c r="B80">
        <v>1380542</v>
      </c>
      <c r="D80" t="s">
        <v>7</v>
      </c>
      <c r="E80">
        <v>945982</v>
      </c>
      <c r="F80">
        <v>9015884123</v>
      </c>
      <c r="G80">
        <v>210</v>
      </c>
      <c r="H80" t="s">
        <v>208</v>
      </c>
      <c r="I80">
        <v>0</v>
      </c>
      <c r="J80" t="s">
        <v>209</v>
      </c>
      <c r="K80" t="s">
        <v>8</v>
      </c>
      <c r="L80" t="s">
        <v>19</v>
      </c>
      <c r="M80" t="s">
        <v>9</v>
      </c>
      <c r="N80" t="s">
        <v>14</v>
      </c>
      <c r="O80" s="2">
        <v>19619.080000000002</v>
      </c>
      <c r="P80" s="3">
        <v>99.290999999999997</v>
      </c>
      <c r="Q80" s="1">
        <v>46033</v>
      </c>
      <c r="R80" s="1">
        <v>45992</v>
      </c>
      <c r="S80" s="1">
        <v>46022</v>
      </c>
      <c r="V80" s="8">
        <v>1</v>
      </c>
      <c r="W80" t="s">
        <v>24</v>
      </c>
      <c r="X80" t="s">
        <v>210</v>
      </c>
      <c r="Y80" t="s">
        <v>17</v>
      </c>
      <c r="Z80" t="s">
        <v>11</v>
      </c>
      <c r="AA80">
        <v>62371</v>
      </c>
      <c r="AB80">
        <v>18186253</v>
      </c>
      <c r="AC80">
        <v>0</v>
      </c>
      <c r="AD80" s="8"/>
    </row>
    <row r="81" spans="1:30" x14ac:dyDescent="0.3">
      <c r="A81" t="s">
        <v>1627</v>
      </c>
      <c r="B81">
        <v>1380522</v>
      </c>
      <c r="D81" t="s">
        <v>7</v>
      </c>
      <c r="E81">
        <v>945976</v>
      </c>
      <c r="F81">
        <v>9015884123</v>
      </c>
      <c r="G81">
        <v>206</v>
      </c>
      <c r="H81" t="s">
        <v>211</v>
      </c>
      <c r="I81">
        <v>0</v>
      </c>
      <c r="J81" t="s">
        <v>212</v>
      </c>
      <c r="K81" t="s">
        <v>8</v>
      </c>
      <c r="L81" t="s">
        <v>18</v>
      </c>
      <c r="M81" t="s">
        <v>9</v>
      </c>
      <c r="N81" t="s">
        <v>14</v>
      </c>
      <c r="O81" s="2">
        <v>0.24</v>
      </c>
      <c r="P81" s="3">
        <v>0</v>
      </c>
      <c r="Q81" s="1">
        <v>46033</v>
      </c>
      <c r="R81" s="1">
        <v>45992</v>
      </c>
      <c r="S81" s="1">
        <v>46022</v>
      </c>
      <c r="V81" s="8">
        <v>2</v>
      </c>
      <c r="W81" t="s">
        <v>24</v>
      </c>
      <c r="X81" t="s">
        <v>213</v>
      </c>
      <c r="Y81" t="s">
        <v>17</v>
      </c>
      <c r="Z81" t="s">
        <v>11</v>
      </c>
      <c r="AA81">
        <v>62371</v>
      </c>
      <c r="AB81">
        <v>18024706</v>
      </c>
      <c r="AC81">
        <v>1</v>
      </c>
      <c r="AD81" s="8"/>
    </row>
    <row r="82" spans="1:30" x14ac:dyDescent="0.3">
      <c r="A82" t="s">
        <v>1627</v>
      </c>
      <c r="B82">
        <v>1356168</v>
      </c>
      <c r="D82" t="s">
        <v>7</v>
      </c>
      <c r="E82">
        <v>945398</v>
      </c>
      <c r="F82">
        <v>9015884123</v>
      </c>
      <c r="G82">
        <v>111</v>
      </c>
      <c r="H82" t="s">
        <v>214</v>
      </c>
      <c r="I82">
        <v>0</v>
      </c>
      <c r="J82" t="s">
        <v>215</v>
      </c>
      <c r="K82" t="s">
        <v>8</v>
      </c>
      <c r="L82" t="s">
        <v>67</v>
      </c>
      <c r="M82" t="s">
        <v>9</v>
      </c>
      <c r="N82" t="s">
        <v>14</v>
      </c>
      <c r="O82" s="2">
        <v>394906.44</v>
      </c>
      <c r="P82" s="3">
        <v>3656.6849999999999</v>
      </c>
      <c r="Q82" s="1">
        <v>46033</v>
      </c>
      <c r="R82" s="1">
        <v>45992</v>
      </c>
      <c r="S82" s="1">
        <v>46022</v>
      </c>
      <c r="V82" s="8">
        <v>1</v>
      </c>
      <c r="W82" t="s">
        <v>24</v>
      </c>
      <c r="X82" t="s">
        <v>216</v>
      </c>
      <c r="Y82" t="s">
        <v>10</v>
      </c>
      <c r="Z82" t="s">
        <v>11</v>
      </c>
      <c r="AA82">
        <v>62371</v>
      </c>
      <c r="AB82">
        <v>21107577</v>
      </c>
      <c r="AC82">
        <v>1</v>
      </c>
      <c r="AD82" s="8"/>
    </row>
    <row r="83" spans="1:30" x14ac:dyDescent="0.3">
      <c r="A83" t="s">
        <v>1627</v>
      </c>
      <c r="B83">
        <v>1356297</v>
      </c>
      <c r="D83" t="s">
        <v>7</v>
      </c>
      <c r="E83">
        <v>945435</v>
      </c>
      <c r="F83">
        <v>9015884123</v>
      </c>
      <c r="G83">
        <v>123</v>
      </c>
      <c r="H83" t="s">
        <v>217</v>
      </c>
      <c r="I83">
        <v>0</v>
      </c>
      <c r="J83" t="s">
        <v>218</v>
      </c>
      <c r="K83" t="s">
        <v>8</v>
      </c>
      <c r="L83" t="s">
        <v>15</v>
      </c>
      <c r="M83" t="s">
        <v>9</v>
      </c>
      <c r="N83" t="s">
        <v>14</v>
      </c>
      <c r="O83" s="2">
        <v>0</v>
      </c>
      <c r="P83" s="3">
        <v>893.31700000000001</v>
      </c>
      <c r="Q83" s="1">
        <v>46033</v>
      </c>
      <c r="R83" s="1">
        <v>45992</v>
      </c>
      <c r="S83" s="1">
        <v>46022</v>
      </c>
      <c r="V83" s="8">
        <v>1</v>
      </c>
      <c r="W83" t="s">
        <v>24</v>
      </c>
      <c r="X83" t="s">
        <v>219</v>
      </c>
      <c r="Y83" t="s">
        <v>10</v>
      </c>
      <c r="Z83" t="s">
        <v>11</v>
      </c>
      <c r="AA83">
        <v>62371</v>
      </c>
      <c r="AB83">
        <v>17041720</v>
      </c>
      <c r="AC83">
        <v>0</v>
      </c>
      <c r="AD83" s="8"/>
    </row>
    <row r="84" spans="1:30" x14ac:dyDescent="0.3">
      <c r="A84" t="s">
        <v>1627</v>
      </c>
      <c r="B84">
        <v>1359839</v>
      </c>
      <c r="D84" t="s">
        <v>7</v>
      </c>
      <c r="E84">
        <v>945481</v>
      </c>
      <c r="F84">
        <v>9015884123</v>
      </c>
      <c r="G84">
        <v>139</v>
      </c>
      <c r="H84" t="s">
        <v>220</v>
      </c>
      <c r="I84">
        <v>0</v>
      </c>
      <c r="J84" t="s">
        <v>221</v>
      </c>
      <c r="K84" t="s">
        <v>8</v>
      </c>
      <c r="L84" t="s">
        <v>18</v>
      </c>
      <c r="M84" t="s">
        <v>9</v>
      </c>
      <c r="N84" t="s">
        <v>14</v>
      </c>
      <c r="O84" s="2">
        <v>2.4</v>
      </c>
      <c r="P84" s="3">
        <v>0</v>
      </c>
      <c r="Q84" s="1">
        <v>46033</v>
      </c>
      <c r="R84" s="1">
        <v>45992</v>
      </c>
      <c r="S84" s="1">
        <v>46022</v>
      </c>
      <c r="V84" s="8">
        <v>1</v>
      </c>
      <c r="W84" t="s">
        <v>24</v>
      </c>
      <c r="X84" t="s">
        <v>222</v>
      </c>
      <c r="Y84" t="s">
        <v>10</v>
      </c>
      <c r="Z84" t="s">
        <v>11</v>
      </c>
      <c r="AA84">
        <v>62371</v>
      </c>
      <c r="AB84">
        <v>17173001</v>
      </c>
      <c r="AC84">
        <v>0</v>
      </c>
      <c r="AD84" s="8"/>
    </row>
    <row r="85" spans="1:30" x14ac:dyDescent="0.3">
      <c r="A85" t="s">
        <v>1627</v>
      </c>
      <c r="B85">
        <v>1356216</v>
      </c>
      <c r="D85" t="s">
        <v>7</v>
      </c>
      <c r="E85">
        <v>945413</v>
      </c>
      <c r="F85">
        <v>9015884123</v>
      </c>
      <c r="G85">
        <v>116</v>
      </c>
      <c r="H85" t="s">
        <v>223</v>
      </c>
      <c r="I85">
        <v>0</v>
      </c>
      <c r="J85" t="s">
        <v>224</v>
      </c>
      <c r="K85" t="s">
        <v>8</v>
      </c>
      <c r="L85" t="s">
        <v>67</v>
      </c>
      <c r="M85" t="s">
        <v>9</v>
      </c>
      <c r="N85" t="s">
        <v>14</v>
      </c>
      <c r="O85" s="2">
        <v>656933.06000000006</v>
      </c>
      <c r="P85" s="3">
        <v>4612.2749999999996</v>
      </c>
      <c r="Q85" s="1">
        <v>46033</v>
      </c>
      <c r="R85" s="1">
        <v>45992</v>
      </c>
      <c r="S85" s="1">
        <v>46022</v>
      </c>
      <c r="V85" s="8">
        <v>1</v>
      </c>
      <c r="W85" t="s">
        <v>24</v>
      </c>
      <c r="X85" t="s">
        <v>225</v>
      </c>
      <c r="Y85" t="s">
        <v>10</v>
      </c>
      <c r="Z85" t="s">
        <v>11</v>
      </c>
      <c r="AA85">
        <v>62371</v>
      </c>
      <c r="AB85">
        <v>17160281</v>
      </c>
      <c r="AC85">
        <v>0</v>
      </c>
      <c r="AD85" s="8"/>
    </row>
    <row r="86" spans="1:30" x14ac:dyDescent="0.3">
      <c r="A86" t="s">
        <v>1627</v>
      </c>
      <c r="B86">
        <v>1403977</v>
      </c>
      <c r="D86" t="s">
        <v>7</v>
      </c>
      <c r="E86">
        <v>946150</v>
      </c>
      <c r="F86">
        <v>9015884123</v>
      </c>
      <c r="G86">
        <v>269</v>
      </c>
      <c r="H86" t="s">
        <v>226</v>
      </c>
      <c r="I86">
        <v>0</v>
      </c>
      <c r="J86" t="s">
        <v>227</v>
      </c>
      <c r="K86" t="s">
        <v>8</v>
      </c>
      <c r="L86" t="s">
        <v>15</v>
      </c>
      <c r="M86" t="s">
        <v>9</v>
      </c>
      <c r="N86" t="s">
        <v>14</v>
      </c>
      <c r="O86" s="2">
        <v>0</v>
      </c>
      <c r="P86" s="3">
        <v>2609.4450000000002</v>
      </c>
      <c r="Q86" s="1">
        <v>46033</v>
      </c>
      <c r="R86" s="1">
        <v>45992</v>
      </c>
      <c r="S86" s="1">
        <v>46022</v>
      </c>
      <c r="V86" s="8">
        <v>1</v>
      </c>
      <c r="W86" t="s">
        <v>24</v>
      </c>
      <c r="X86" t="s">
        <v>228</v>
      </c>
      <c r="Y86" t="s">
        <v>17</v>
      </c>
      <c r="Z86" t="s">
        <v>11</v>
      </c>
      <c r="AA86">
        <v>62371</v>
      </c>
      <c r="AB86">
        <v>21139542</v>
      </c>
      <c r="AC86">
        <v>1</v>
      </c>
      <c r="AD86" s="8"/>
    </row>
    <row r="87" spans="1:30" x14ac:dyDescent="0.3">
      <c r="A87" t="s">
        <v>1627</v>
      </c>
      <c r="B87">
        <v>1359846</v>
      </c>
      <c r="D87" t="s">
        <v>7</v>
      </c>
      <c r="E87">
        <v>945903</v>
      </c>
      <c r="F87">
        <v>9015884123</v>
      </c>
      <c r="G87">
        <v>152</v>
      </c>
      <c r="H87" t="s">
        <v>229</v>
      </c>
      <c r="I87">
        <v>0</v>
      </c>
      <c r="J87" t="s">
        <v>230</v>
      </c>
      <c r="K87" t="s">
        <v>8</v>
      </c>
      <c r="L87" t="s">
        <v>67</v>
      </c>
      <c r="M87" t="s">
        <v>9</v>
      </c>
      <c r="N87" t="s">
        <v>14</v>
      </c>
      <c r="O87" s="2">
        <v>592800.44999999995</v>
      </c>
      <c r="P87" s="3">
        <v>4162.0050000000001</v>
      </c>
      <c r="Q87" s="1">
        <v>46033</v>
      </c>
      <c r="R87" s="1">
        <v>45992</v>
      </c>
      <c r="S87" s="1">
        <v>46022</v>
      </c>
      <c r="V87" s="8">
        <v>1</v>
      </c>
      <c r="W87" t="s">
        <v>24</v>
      </c>
      <c r="X87" t="s">
        <v>231</v>
      </c>
      <c r="Y87" t="s">
        <v>10</v>
      </c>
      <c r="Z87" t="s">
        <v>11</v>
      </c>
      <c r="AA87">
        <v>62371</v>
      </c>
      <c r="AB87">
        <v>19378174</v>
      </c>
      <c r="AC87">
        <v>0</v>
      </c>
      <c r="AD87" s="8"/>
    </row>
    <row r="88" spans="1:30" x14ac:dyDescent="0.3">
      <c r="A88" t="s">
        <v>1627</v>
      </c>
      <c r="B88">
        <v>1359833</v>
      </c>
      <c r="D88" t="s">
        <v>7</v>
      </c>
      <c r="E88">
        <v>945475</v>
      </c>
      <c r="F88">
        <v>9015884123</v>
      </c>
      <c r="G88">
        <v>137</v>
      </c>
      <c r="H88" t="s">
        <v>232</v>
      </c>
      <c r="I88">
        <v>0</v>
      </c>
      <c r="J88" t="s">
        <v>233</v>
      </c>
      <c r="K88" t="s">
        <v>8</v>
      </c>
      <c r="L88" t="s">
        <v>18</v>
      </c>
      <c r="M88" t="s">
        <v>9</v>
      </c>
      <c r="N88" t="s">
        <v>14</v>
      </c>
      <c r="O88" s="2">
        <v>1.22</v>
      </c>
      <c r="P88" s="3">
        <v>0</v>
      </c>
      <c r="Q88" s="1">
        <v>46033</v>
      </c>
      <c r="R88" s="1">
        <v>45992</v>
      </c>
      <c r="S88" s="1">
        <v>46022</v>
      </c>
      <c r="V88" s="8">
        <v>1</v>
      </c>
      <c r="W88" t="s">
        <v>24</v>
      </c>
      <c r="X88" t="s">
        <v>234</v>
      </c>
      <c r="Y88" t="s">
        <v>10</v>
      </c>
      <c r="Z88" t="s">
        <v>11</v>
      </c>
      <c r="AA88">
        <v>62371</v>
      </c>
      <c r="AB88">
        <v>21334311</v>
      </c>
      <c r="AC88">
        <v>1</v>
      </c>
      <c r="AD88" s="8"/>
    </row>
    <row r="89" spans="1:30" x14ac:dyDescent="0.3">
      <c r="A89" t="s">
        <v>1627</v>
      </c>
      <c r="B89">
        <v>1408946</v>
      </c>
      <c r="D89" t="s">
        <v>7</v>
      </c>
      <c r="E89">
        <v>946352</v>
      </c>
      <c r="F89">
        <v>9015884123</v>
      </c>
      <c r="G89">
        <v>349</v>
      </c>
      <c r="H89" t="s">
        <v>235</v>
      </c>
      <c r="I89">
        <v>0</v>
      </c>
      <c r="J89" t="s">
        <v>236</v>
      </c>
      <c r="K89" t="s">
        <v>8</v>
      </c>
      <c r="L89" t="s">
        <v>67</v>
      </c>
      <c r="M89" t="s">
        <v>9</v>
      </c>
      <c r="N89" t="s">
        <v>14</v>
      </c>
      <c r="O89" s="2">
        <v>400915</v>
      </c>
      <c r="P89" s="3">
        <v>3712.3220000000001</v>
      </c>
      <c r="Q89" s="1">
        <v>46033</v>
      </c>
      <c r="R89" s="1">
        <v>45992</v>
      </c>
      <c r="S89" s="1">
        <v>46022</v>
      </c>
      <c r="V89" s="8">
        <v>1</v>
      </c>
      <c r="W89" t="s">
        <v>24</v>
      </c>
      <c r="X89" t="s">
        <v>237</v>
      </c>
      <c r="Y89" t="s">
        <v>17</v>
      </c>
      <c r="Z89" t="s">
        <v>11</v>
      </c>
      <c r="AA89">
        <v>62371</v>
      </c>
      <c r="AB89">
        <v>19966705</v>
      </c>
      <c r="AC89">
        <v>1</v>
      </c>
      <c r="AD89" s="8"/>
    </row>
    <row r="90" spans="1:30" x14ac:dyDescent="0.3">
      <c r="A90" t="s">
        <v>1627</v>
      </c>
      <c r="B90">
        <v>1408948</v>
      </c>
      <c r="D90" t="s">
        <v>7</v>
      </c>
      <c r="E90">
        <v>946355</v>
      </c>
      <c r="F90">
        <v>9015884123</v>
      </c>
      <c r="G90">
        <v>350</v>
      </c>
      <c r="H90" t="s">
        <v>238</v>
      </c>
      <c r="I90">
        <v>0</v>
      </c>
      <c r="J90" t="s">
        <v>239</v>
      </c>
      <c r="K90" t="s">
        <v>8</v>
      </c>
      <c r="L90" t="s">
        <v>19</v>
      </c>
      <c r="M90" t="s">
        <v>9</v>
      </c>
      <c r="N90" t="s">
        <v>14</v>
      </c>
      <c r="O90" s="2">
        <v>15948.67</v>
      </c>
      <c r="P90" s="3">
        <v>97.751000000000005</v>
      </c>
      <c r="Q90" s="1">
        <v>46033</v>
      </c>
      <c r="R90" s="1">
        <v>45992</v>
      </c>
      <c r="S90" s="1">
        <v>46022</v>
      </c>
      <c r="V90" s="8">
        <v>1</v>
      </c>
      <c r="W90" t="s">
        <v>24</v>
      </c>
      <c r="X90" t="s">
        <v>240</v>
      </c>
      <c r="Y90" t="s">
        <v>17</v>
      </c>
      <c r="Z90" t="s">
        <v>11</v>
      </c>
      <c r="AA90">
        <v>62371</v>
      </c>
      <c r="AB90">
        <v>19966389</v>
      </c>
      <c r="AC90">
        <v>1</v>
      </c>
      <c r="AD90" s="8"/>
    </row>
    <row r="91" spans="1:30" x14ac:dyDescent="0.3">
      <c r="A91" t="s">
        <v>1627</v>
      </c>
      <c r="B91">
        <v>1408950</v>
      </c>
      <c r="D91" t="s">
        <v>7</v>
      </c>
      <c r="E91">
        <v>946365</v>
      </c>
      <c r="F91">
        <v>9015884123</v>
      </c>
      <c r="G91">
        <v>355</v>
      </c>
      <c r="H91" t="s">
        <v>241</v>
      </c>
      <c r="I91">
        <v>0</v>
      </c>
      <c r="J91" t="s">
        <v>242</v>
      </c>
      <c r="K91" t="s">
        <v>8</v>
      </c>
      <c r="L91" t="s">
        <v>18</v>
      </c>
      <c r="M91" t="s">
        <v>9</v>
      </c>
      <c r="N91" t="s">
        <v>14</v>
      </c>
      <c r="O91" s="2">
        <v>2.58</v>
      </c>
      <c r="P91" s="3">
        <v>0</v>
      </c>
      <c r="Q91" s="1">
        <v>46033</v>
      </c>
      <c r="R91" s="1">
        <v>45992</v>
      </c>
      <c r="S91" s="1">
        <v>46022</v>
      </c>
      <c r="V91" s="8">
        <v>1</v>
      </c>
      <c r="W91" t="s">
        <v>24</v>
      </c>
      <c r="X91" t="s">
        <v>243</v>
      </c>
      <c r="Y91" t="s">
        <v>17</v>
      </c>
      <c r="Z91" t="s">
        <v>11</v>
      </c>
      <c r="AA91">
        <v>62371</v>
      </c>
      <c r="AB91">
        <v>18414344</v>
      </c>
      <c r="AC91">
        <v>0</v>
      </c>
      <c r="AD91" s="8"/>
    </row>
    <row r="92" spans="1:30" x14ac:dyDescent="0.3">
      <c r="A92" t="s">
        <v>1627</v>
      </c>
      <c r="B92">
        <v>1411964</v>
      </c>
      <c r="D92" t="s">
        <v>7</v>
      </c>
      <c r="E92">
        <v>946380</v>
      </c>
      <c r="F92">
        <v>9015884123</v>
      </c>
      <c r="G92">
        <v>364</v>
      </c>
      <c r="H92" t="s">
        <v>244</v>
      </c>
      <c r="I92">
        <v>0</v>
      </c>
      <c r="J92" t="s">
        <v>245</v>
      </c>
      <c r="K92" t="s">
        <v>8</v>
      </c>
      <c r="L92" t="s">
        <v>15</v>
      </c>
      <c r="M92" t="s">
        <v>9</v>
      </c>
      <c r="N92" t="s">
        <v>14</v>
      </c>
      <c r="O92" s="2">
        <v>0</v>
      </c>
      <c r="P92" s="3">
        <v>2135.5500000000002</v>
      </c>
      <c r="Q92" s="1">
        <v>46033</v>
      </c>
      <c r="R92" s="1">
        <v>45992</v>
      </c>
      <c r="S92" s="1">
        <v>46022</v>
      </c>
      <c r="V92" s="8">
        <v>1</v>
      </c>
      <c r="W92" t="s">
        <v>24</v>
      </c>
      <c r="X92" t="s">
        <v>246</v>
      </c>
      <c r="Y92" t="s">
        <v>17</v>
      </c>
      <c r="Z92" t="s">
        <v>11</v>
      </c>
      <c r="AA92">
        <v>62371</v>
      </c>
      <c r="AB92">
        <v>19862171</v>
      </c>
      <c r="AC92">
        <v>1</v>
      </c>
      <c r="AD92" s="8"/>
    </row>
    <row r="93" spans="1:30" x14ac:dyDescent="0.3">
      <c r="A93" t="s">
        <v>1627</v>
      </c>
      <c r="B93">
        <v>1415117</v>
      </c>
      <c r="D93" t="s">
        <v>7</v>
      </c>
      <c r="E93">
        <v>946496</v>
      </c>
      <c r="F93">
        <v>9015884123</v>
      </c>
      <c r="G93">
        <v>403</v>
      </c>
      <c r="H93" t="s">
        <v>247</v>
      </c>
      <c r="I93">
        <v>0</v>
      </c>
      <c r="J93" t="s">
        <v>248</v>
      </c>
      <c r="K93" t="s">
        <v>8</v>
      </c>
      <c r="L93" t="s">
        <v>18</v>
      </c>
      <c r="M93" t="s">
        <v>9</v>
      </c>
      <c r="N93" t="s">
        <v>14</v>
      </c>
      <c r="O93" s="2">
        <v>0.62</v>
      </c>
      <c r="P93" s="3">
        <v>0</v>
      </c>
      <c r="Q93" s="1">
        <v>46033</v>
      </c>
      <c r="R93" s="1">
        <v>45992</v>
      </c>
      <c r="S93" s="1">
        <v>46022</v>
      </c>
      <c r="V93" s="8">
        <v>1</v>
      </c>
      <c r="W93" t="s">
        <v>24</v>
      </c>
      <c r="X93" t="s">
        <v>249</v>
      </c>
      <c r="Y93" t="s">
        <v>20</v>
      </c>
      <c r="Z93" t="s">
        <v>11</v>
      </c>
      <c r="AA93">
        <v>62371</v>
      </c>
      <c r="AB93">
        <v>17929206</v>
      </c>
      <c r="AC93">
        <v>0</v>
      </c>
      <c r="AD93" s="8"/>
    </row>
    <row r="94" spans="1:30" x14ac:dyDescent="0.3">
      <c r="A94" t="s">
        <v>1627</v>
      </c>
      <c r="B94">
        <v>1407563</v>
      </c>
      <c r="D94" t="s">
        <v>7</v>
      </c>
      <c r="E94">
        <v>946309</v>
      </c>
      <c r="F94">
        <v>9015884123</v>
      </c>
      <c r="G94">
        <v>326</v>
      </c>
      <c r="H94" t="s">
        <v>250</v>
      </c>
      <c r="I94">
        <v>0</v>
      </c>
      <c r="J94" t="s">
        <v>251</v>
      </c>
      <c r="K94" t="s">
        <v>8</v>
      </c>
      <c r="L94" t="s">
        <v>15</v>
      </c>
      <c r="M94" t="s">
        <v>9</v>
      </c>
      <c r="N94" t="s">
        <v>14</v>
      </c>
      <c r="O94" s="2">
        <v>0</v>
      </c>
      <c r="P94" s="3">
        <v>1646.7840000000001</v>
      </c>
      <c r="Q94" s="1">
        <v>46033</v>
      </c>
      <c r="R94" s="1">
        <v>45992</v>
      </c>
      <c r="S94" s="1">
        <v>46022</v>
      </c>
      <c r="V94" s="8">
        <v>1</v>
      </c>
      <c r="W94" t="s">
        <v>24</v>
      </c>
      <c r="X94" t="s">
        <v>252</v>
      </c>
      <c r="Y94" t="s">
        <v>17</v>
      </c>
      <c r="Z94" t="s">
        <v>11</v>
      </c>
      <c r="AA94">
        <v>62371</v>
      </c>
      <c r="AB94">
        <v>19447166</v>
      </c>
      <c r="AC94">
        <v>0</v>
      </c>
      <c r="AD94" s="8"/>
    </row>
    <row r="95" spans="1:30" x14ac:dyDescent="0.3">
      <c r="A95" t="s">
        <v>1627</v>
      </c>
      <c r="B95">
        <v>1415367</v>
      </c>
      <c r="D95" t="s">
        <v>7</v>
      </c>
      <c r="E95">
        <v>946532</v>
      </c>
      <c r="F95">
        <v>9015884123</v>
      </c>
      <c r="G95">
        <v>415</v>
      </c>
      <c r="H95" t="s">
        <v>253</v>
      </c>
      <c r="I95">
        <v>0</v>
      </c>
      <c r="J95" t="s">
        <v>254</v>
      </c>
      <c r="K95" t="s">
        <v>8</v>
      </c>
      <c r="L95" t="s">
        <v>67</v>
      </c>
      <c r="M95" t="s">
        <v>9</v>
      </c>
      <c r="N95" t="s">
        <v>14</v>
      </c>
      <c r="O95" s="2">
        <v>83035.34</v>
      </c>
      <c r="P95" s="3">
        <v>768.87599999999998</v>
      </c>
      <c r="Q95" s="1">
        <v>46033</v>
      </c>
      <c r="R95" s="1">
        <v>45992</v>
      </c>
      <c r="S95" s="1">
        <v>46022</v>
      </c>
      <c r="V95" s="8">
        <v>1</v>
      </c>
      <c r="W95" t="s">
        <v>24</v>
      </c>
      <c r="X95" t="s">
        <v>255</v>
      </c>
      <c r="Y95" t="s">
        <v>17</v>
      </c>
      <c r="Z95" t="s">
        <v>11</v>
      </c>
      <c r="AA95">
        <v>62371</v>
      </c>
      <c r="AB95">
        <v>18360148</v>
      </c>
      <c r="AC95">
        <v>1</v>
      </c>
      <c r="AD95" s="8"/>
    </row>
    <row r="96" spans="1:30" x14ac:dyDescent="0.3">
      <c r="A96" t="s">
        <v>1627</v>
      </c>
      <c r="B96">
        <v>1415362</v>
      </c>
      <c r="D96" t="s">
        <v>7</v>
      </c>
      <c r="E96">
        <v>946563</v>
      </c>
      <c r="F96">
        <v>9015884123</v>
      </c>
      <c r="G96">
        <v>424</v>
      </c>
      <c r="H96" t="s">
        <v>256</v>
      </c>
      <c r="I96">
        <v>0</v>
      </c>
      <c r="J96" t="s">
        <v>257</v>
      </c>
      <c r="K96" t="s">
        <v>8</v>
      </c>
      <c r="L96" t="s">
        <v>15</v>
      </c>
      <c r="M96" t="s">
        <v>9</v>
      </c>
      <c r="N96" t="s">
        <v>14</v>
      </c>
      <c r="O96" s="2">
        <v>0</v>
      </c>
      <c r="P96" s="3">
        <v>8878.2099999999991</v>
      </c>
      <c r="Q96" s="1">
        <v>46033</v>
      </c>
      <c r="R96" s="1">
        <v>45992</v>
      </c>
      <c r="S96" s="1">
        <v>46022</v>
      </c>
      <c r="V96" s="8">
        <v>1</v>
      </c>
      <c r="W96" t="s">
        <v>24</v>
      </c>
      <c r="X96" t="s">
        <v>258</v>
      </c>
      <c r="Y96" t="s">
        <v>17</v>
      </c>
      <c r="Z96" t="s">
        <v>11</v>
      </c>
      <c r="AA96">
        <v>62371</v>
      </c>
      <c r="AB96">
        <v>21108959</v>
      </c>
      <c r="AC96">
        <v>1</v>
      </c>
      <c r="AD96" s="8"/>
    </row>
    <row r="97" spans="1:30" x14ac:dyDescent="0.3">
      <c r="A97" t="s">
        <v>1627</v>
      </c>
      <c r="B97">
        <v>1415362</v>
      </c>
      <c r="D97" t="s">
        <v>7</v>
      </c>
      <c r="E97">
        <v>946563</v>
      </c>
      <c r="F97">
        <v>9015884123</v>
      </c>
      <c r="G97">
        <v>424</v>
      </c>
      <c r="H97" t="s">
        <v>256</v>
      </c>
      <c r="I97">
        <v>0</v>
      </c>
      <c r="J97" t="s">
        <v>257</v>
      </c>
      <c r="K97" t="s">
        <v>8</v>
      </c>
      <c r="L97" t="s">
        <v>67</v>
      </c>
      <c r="M97" t="s">
        <v>9</v>
      </c>
      <c r="N97" t="s">
        <v>14</v>
      </c>
      <c r="O97" s="2">
        <v>958808.95</v>
      </c>
      <c r="P97" s="3">
        <v>8878.2099999999991</v>
      </c>
      <c r="Q97" s="1">
        <v>46033</v>
      </c>
      <c r="R97" s="1">
        <v>45992</v>
      </c>
      <c r="S97" s="1">
        <v>46022</v>
      </c>
      <c r="V97" s="8">
        <v>1</v>
      </c>
      <c r="W97" t="s">
        <v>24</v>
      </c>
      <c r="X97" t="s">
        <v>258</v>
      </c>
      <c r="Y97" t="s">
        <v>17</v>
      </c>
      <c r="Z97" t="s">
        <v>11</v>
      </c>
      <c r="AA97">
        <v>62371</v>
      </c>
      <c r="AB97">
        <v>21108959</v>
      </c>
      <c r="AC97">
        <v>1</v>
      </c>
      <c r="AD97" s="8"/>
    </row>
    <row r="98" spans="1:30" x14ac:dyDescent="0.3">
      <c r="A98" t="s">
        <v>1627</v>
      </c>
      <c r="B98">
        <v>1408946</v>
      </c>
      <c r="D98" t="s">
        <v>7</v>
      </c>
      <c r="E98">
        <v>946352</v>
      </c>
      <c r="F98">
        <v>9015884123</v>
      </c>
      <c r="G98">
        <v>349</v>
      </c>
      <c r="H98" t="s">
        <v>235</v>
      </c>
      <c r="I98">
        <v>0</v>
      </c>
      <c r="J98" t="s">
        <v>236</v>
      </c>
      <c r="K98" t="s">
        <v>8</v>
      </c>
      <c r="L98" t="s">
        <v>18</v>
      </c>
      <c r="M98" t="s">
        <v>9</v>
      </c>
      <c r="N98" t="s">
        <v>14</v>
      </c>
      <c r="O98" s="2">
        <v>2.46</v>
      </c>
      <c r="P98" s="3">
        <v>0</v>
      </c>
      <c r="Q98" s="1">
        <v>46033</v>
      </c>
      <c r="R98" s="1">
        <v>45992</v>
      </c>
      <c r="S98" s="1">
        <v>46022</v>
      </c>
      <c r="V98" s="8">
        <v>1</v>
      </c>
      <c r="W98" t="s">
        <v>24</v>
      </c>
      <c r="X98" t="s">
        <v>237</v>
      </c>
      <c r="Y98" t="s">
        <v>17</v>
      </c>
      <c r="Z98" t="s">
        <v>11</v>
      </c>
      <c r="AA98">
        <v>62371</v>
      </c>
      <c r="AB98">
        <v>19966705</v>
      </c>
      <c r="AC98">
        <v>1</v>
      </c>
      <c r="AD98" s="8"/>
    </row>
    <row r="99" spans="1:30" x14ac:dyDescent="0.3">
      <c r="A99" t="s">
        <v>1627</v>
      </c>
      <c r="B99">
        <v>1418407</v>
      </c>
      <c r="D99" t="s">
        <v>7</v>
      </c>
      <c r="E99">
        <v>946621</v>
      </c>
      <c r="F99">
        <v>9015884123</v>
      </c>
      <c r="G99">
        <v>442</v>
      </c>
      <c r="H99" t="s">
        <v>259</v>
      </c>
      <c r="I99">
        <v>0</v>
      </c>
      <c r="J99" t="s">
        <v>260</v>
      </c>
      <c r="K99" t="s">
        <v>8</v>
      </c>
      <c r="L99" t="s">
        <v>18</v>
      </c>
      <c r="M99" t="s">
        <v>9</v>
      </c>
      <c r="N99" t="s">
        <v>14</v>
      </c>
      <c r="O99" s="2">
        <v>4.0199999999999996</v>
      </c>
      <c r="P99" s="3">
        <v>0</v>
      </c>
      <c r="Q99" s="1">
        <v>46033</v>
      </c>
      <c r="R99" s="1">
        <v>45992</v>
      </c>
      <c r="S99" s="1">
        <v>46022</v>
      </c>
      <c r="V99" s="8">
        <v>1</v>
      </c>
      <c r="W99" t="s">
        <v>24</v>
      </c>
      <c r="X99" t="s">
        <v>261</v>
      </c>
      <c r="Y99" t="s">
        <v>17</v>
      </c>
      <c r="Z99" t="s">
        <v>11</v>
      </c>
      <c r="AA99">
        <v>62371</v>
      </c>
      <c r="AB99">
        <v>18544699</v>
      </c>
      <c r="AC99">
        <v>0</v>
      </c>
      <c r="AD99" s="8"/>
    </row>
    <row r="100" spans="1:30" x14ac:dyDescent="0.3">
      <c r="A100" t="s">
        <v>1627</v>
      </c>
      <c r="B100">
        <v>1408951</v>
      </c>
      <c r="D100" t="s">
        <v>7</v>
      </c>
      <c r="E100">
        <v>946367</v>
      </c>
      <c r="F100">
        <v>9015884123</v>
      </c>
      <c r="G100">
        <v>356</v>
      </c>
      <c r="H100" t="s">
        <v>262</v>
      </c>
      <c r="I100">
        <v>0</v>
      </c>
      <c r="J100" t="s">
        <v>263</v>
      </c>
      <c r="K100" t="s">
        <v>8</v>
      </c>
      <c r="L100" t="s">
        <v>19</v>
      </c>
      <c r="M100" t="s">
        <v>9</v>
      </c>
      <c r="N100" t="s">
        <v>14</v>
      </c>
      <c r="O100" s="2">
        <v>3192.29</v>
      </c>
      <c r="P100" s="3">
        <v>16.155999999999999</v>
      </c>
      <c r="Q100" s="1">
        <v>46033</v>
      </c>
      <c r="R100" s="1">
        <v>45992</v>
      </c>
      <c r="S100" s="1">
        <v>46022</v>
      </c>
      <c r="V100" s="8">
        <v>1</v>
      </c>
      <c r="W100" t="s">
        <v>24</v>
      </c>
      <c r="X100" t="s">
        <v>264</v>
      </c>
      <c r="Y100" t="s">
        <v>17</v>
      </c>
      <c r="Z100" t="s">
        <v>11</v>
      </c>
      <c r="AA100">
        <v>62371</v>
      </c>
      <c r="AB100">
        <v>17736438</v>
      </c>
      <c r="AC100">
        <v>0</v>
      </c>
      <c r="AD100" s="8"/>
    </row>
    <row r="101" spans="1:30" x14ac:dyDescent="0.3">
      <c r="A101" t="s">
        <v>1627</v>
      </c>
      <c r="B101">
        <v>1412841</v>
      </c>
      <c r="D101" t="s">
        <v>7</v>
      </c>
      <c r="E101">
        <v>946418</v>
      </c>
      <c r="F101">
        <v>9015884123</v>
      </c>
      <c r="G101">
        <v>379</v>
      </c>
      <c r="H101" t="s">
        <v>265</v>
      </c>
      <c r="I101">
        <v>0</v>
      </c>
      <c r="J101" t="s">
        <v>266</v>
      </c>
      <c r="K101" t="s">
        <v>8</v>
      </c>
      <c r="L101" t="s">
        <v>15</v>
      </c>
      <c r="M101" t="s">
        <v>9</v>
      </c>
      <c r="N101" t="s">
        <v>14</v>
      </c>
      <c r="O101" s="2">
        <v>0</v>
      </c>
      <c r="P101" s="3">
        <v>3131.4749999999999</v>
      </c>
      <c r="Q101" s="1">
        <v>46033</v>
      </c>
      <c r="R101" s="1">
        <v>45992</v>
      </c>
      <c r="S101" s="1">
        <v>46022</v>
      </c>
      <c r="V101" s="8">
        <v>1</v>
      </c>
      <c r="W101" t="s">
        <v>24</v>
      </c>
      <c r="X101" t="s">
        <v>267</v>
      </c>
      <c r="Y101" t="s">
        <v>17</v>
      </c>
      <c r="Z101" t="s">
        <v>11</v>
      </c>
      <c r="AA101">
        <v>62371</v>
      </c>
      <c r="AB101">
        <v>19748260</v>
      </c>
      <c r="AC101">
        <v>1</v>
      </c>
      <c r="AD101" s="8"/>
    </row>
    <row r="102" spans="1:30" x14ac:dyDescent="0.3">
      <c r="A102" t="s">
        <v>1627</v>
      </c>
      <c r="B102">
        <v>1415365</v>
      </c>
      <c r="D102" t="s">
        <v>7</v>
      </c>
      <c r="E102">
        <v>946449</v>
      </c>
      <c r="F102">
        <v>9015884123</v>
      </c>
      <c r="G102">
        <v>389</v>
      </c>
      <c r="H102" t="s">
        <v>268</v>
      </c>
      <c r="I102">
        <v>0</v>
      </c>
      <c r="J102" t="s">
        <v>269</v>
      </c>
      <c r="K102" t="s">
        <v>8</v>
      </c>
      <c r="L102" t="s">
        <v>18</v>
      </c>
      <c r="M102" t="s">
        <v>9</v>
      </c>
      <c r="N102" t="s">
        <v>14</v>
      </c>
      <c r="O102" s="2">
        <v>4.47</v>
      </c>
      <c r="P102" s="3">
        <v>0</v>
      </c>
      <c r="Q102" s="1">
        <v>46033</v>
      </c>
      <c r="R102" s="1">
        <v>45992</v>
      </c>
      <c r="S102" s="1">
        <v>46022</v>
      </c>
      <c r="V102" s="8">
        <v>1</v>
      </c>
      <c r="W102" t="s">
        <v>24</v>
      </c>
      <c r="X102" t="s">
        <v>270</v>
      </c>
      <c r="Y102" t="s">
        <v>17</v>
      </c>
      <c r="Z102" t="s">
        <v>11</v>
      </c>
      <c r="AA102">
        <v>62371</v>
      </c>
      <c r="AB102">
        <v>19821473</v>
      </c>
      <c r="AC102">
        <v>1</v>
      </c>
      <c r="AD102" s="8"/>
    </row>
    <row r="103" spans="1:30" x14ac:dyDescent="0.3">
      <c r="A103" t="s">
        <v>1627</v>
      </c>
      <c r="B103">
        <v>1418388</v>
      </c>
      <c r="D103" t="s">
        <v>7</v>
      </c>
      <c r="E103">
        <v>946615</v>
      </c>
      <c r="F103">
        <v>9015884123</v>
      </c>
      <c r="G103">
        <v>440</v>
      </c>
      <c r="H103" t="s">
        <v>271</v>
      </c>
      <c r="I103">
        <v>0</v>
      </c>
      <c r="J103" t="s">
        <v>272</v>
      </c>
      <c r="K103" t="s">
        <v>8</v>
      </c>
      <c r="L103" t="s">
        <v>15</v>
      </c>
      <c r="M103" t="s">
        <v>9</v>
      </c>
      <c r="N103" t="s">
        <v>14</v>
      </c>
      <c r="O103" s="2">
        <v>0</v>
      </c>
      <c r="P103" s="3">
        <v>2132.5</v>
      </c>
      <c r="Q103" s="1">
        <v>46033</v>
      </c>
      <c r="R103" s="1">
        <v>45992</v>
      </c>
      <c r="S103" s="1">
        <v>46022</v>
      </c>
      <c r="V103" s="8">
        <v>1</v>
      </c>
      <c r="W103" t="s">
        <v>24</v>
      </c>
      <c r="X103" t="s">
        <v>273</v>
      </c>
      <c r="Y103" t="s">
        <v>17</v>
      </c>
      <c r="Z103" t="s">
        <v>11</v>
      </c>
      <c r="AA103">
        <v>62371</v>
      </c>
      <c r="AB103">
        <v>19558432</v>
      </c>
      <c r="AC103">
        <v>0</v>
      </c>
      <c r="AD103" s="8"/>
    </row>
    <row r="104" spans="1:30" x14ac:dyDescent="0.3">
      <c r="A104" t="s">
        <v>1627</v>
      </c>
      <c r="B104">
        <v>1415362</v>
      </c>
      <c r="D104" t="s">
        <v>7</v>
      </c>
      <c r="E104">
        <v>946563</v>
      </c>
      <c r="F104">
        <v>9015884123</v>
      </c>
      <c r="G104">
        <v>424</v>
      </c>
      <c r="H104" t="s">
        <v>256</v>
      </c>
      <c r="I104">
        <v>0</v>
      </c>
      <c r="J104" t="s">
        <v>257</v>
      </c>
      <c r="K104" t="s">
        <v>8</v>
      </c>
      <c r="L104" t="s">
        <v>19</v>
      </c>
      <c r="M104" t="s">
        <v>9</v>
      </c>
      <c r="N104" t="s">
        <v>14</v>
      </c>
      <c r="O104" s="2">
        <v>22602.01</v>
      </c>
      <c r="P104" s="3">
        <v>138.53</v>
      </c>
      <c r="Q104" s="1">
        <v>46033</v>
      </c>
      <c r="R104" s="1">
        <v>45992</v>
      </c>
      <c r="S104" s="1">
        <v>46022</v>
      </c>
      <c r="V104" s="8">
        <v>1</v>
      </c>
      <c r="W104" t="s">
        <v>24</v>
      </c>
      <c r="X104" t="s">
        <v>258</v>
      </c>
      <c r="Y104" t="s">
        <v>17</v>
      </c>
      <c r="Z104" t="s">
        <v>11</v>
      </c>
      <c r="AA104">
        <v>62371</v>
      </c>
      <c r="AB104">
        <v>21108959</v>
      </c>
      <c r="AC104">
        <v>1</v>
      </c>
      <c r="AD104" s="8"/>
    </row>
    <row r="105" spans="1:30" x14ac:dyDescent="0.3">
      <c r="A105" t="s">
        <v>1627</v>
      </c>
      <c r="B105">
        <v>1417662</v>
      </c>
      <c r="D105" t="s">
        <v>7</v>
      </c>
      <c r="E105">
        <v>946597</v>
      </c>
      <c r="F105">
        <v>9015884123</v>
      </c>
      <c r="G105">
        <v>434</v>
      </c>
      <c r="H105" t="s">
        <v>274</v>
      </c>
      <c r="I105">
        <v>0</v>
      </c>
      <c r="J105" t="s">
        <v>275</v>
      </c>
      <c r="K105" t="s">
        <v>8</v>
      </c>
      <c r="L105" t="s">
        <v>67</v>
      </c>
      <c r="M105" t="s">
        <v>9</v>
      </c>
      <c r="N105" t="s">
        <v>14</v>
      </c>
      <c r="O105" s="2">
        <v>306795.94</v>
      </c>
      <c r="P105" s="3">
        <v>2153.9899999999998</v>
      </c>
      <c r="Q105" s="1">
        <v>46033</v>
      </c>
      <c r="R105" s="1">
        <v>45992</v>
      </c>
      <c r="S105" s="1">
        <v>46022</v>
      </c>
      <c r="V105" s="8">
        <v>1</v>
      </c>
      <c r="W105" t="s">
        <v>24</v>
      </c>
      <c r="X105" t="s">
        <v>276</v>
      </c>
      <c r="Y105" t="s">
        <v>17</v>
      </c>
      <c r="Z105" t="s">
        <v>11</v>
      </c>
      <c r="AA105">
        <v>62371</v>
      </c>
      <c r="AB105">
        <v>17751495</v>
      </c>
      <c r="AC105">
        <v>0</v>
      </c>
      <c r="AD105" s="8"/>
    </row>
    <row r="106" spans="1:30" x14ac:dyDescent="0.3">
      <c r="A106" t="s">
        <v>1627</v>
      </c>
      <c r="B106">
        <v>1417722</v>
      </c>
      <c r="D106" t="s">
        <v>7</v>
      </c>
      <c r="E106">
        <v>946606</v>
      </c>
      <c r="F106">
        <v>9015884123</v>
      </c>
      <c r="G106">
        <v>437</v>
      </c>
      <c r="H106" t="s">
        <v>277</v>
      </c>
      <c r="I106">
        <v>0</v>
      </c>
      <c r="J106" t="s">
        <v>278</v>
      </c>
      <c r="K106" t="s">
        <v>8</v>
      </c>
      <c r="L106" t="s">
        <v>15</v>
      </c>
      <c r="M106" t="s">
        <v>9</v>
      </c>
      <c r="N106" t="s">
        <v>14</v>
      </c>
      <c r="O106" s="2">
        <v>0</v>
      </c>
      <c r="P106" s="3">
        <v>2105.402</v>
      </c>
      <c r="Q106" s="1">
        <v>46033</v>
      </c>
      <c r="R106" s="1">
        <v>45992</v>
      </c>
      <c r="S106" s="1">
        <v>46022</v>
      </c>
      <c r="V106" s="8">
        <v>1</v>
      </c>
      <c r="W106" t="s">
        <v>24</v>
      </c>
      <c r="X106" t="s">
        <v>279</v>
      </c>
      <c r="Y106" t="s">
        <v>17</v>
      </c>
      <c r="Z106" t="s">
        <v>11</v>
      </c>
      <c r="AA106">
        <v>62371</v>
      </c>
      <c r="AB106">
        <v>17755319</v>
      </c>
      <c r="AC106">
        <v>0</v>
      </c>
      <c r="AD106" s="8"/>
    </row>
    <row r="107" spans="1:30" x14ac:dyDescent="0.3">
      <c r="A107" t="s">
        <v>1627</v>
      </c>
      <c r="B107">
        <v>1282806</v>
      </c>
      <c r="D107" t="s">
        <v>7</v>
      </c>
      <c r="E107">
        <v>945224</v>
      </c>
      <c r="F107">
        <v>9015884123</v>
      </c>
      <c r="G107">
        <v>6</v>
      </c>
      <c r="H107" t="s">
        <v>280</v>
      </c>
      <c r="I107">
        <v>0</v>
      </c>
      <c r="J107" t="s">
        <v>281</v>
      </c>
      <c r="K107" t="s">
        <v>8</v>
      </c>
      <c r="L107" t="s">
        <v>18</v>
      </c>
      <c r="M107" t="s">
        <v>9</v>
      </c>
      <c r="N107" t="s">
        <v>14</v>
      </c>
      <c r="O107" s="2">
        <v>2.4300000000000002</v>
      </c>
      <c r="P107" s="3">
        <v>0</v>
      </c>
      <c r="Q107" s="1">
        <v>46033</v>
      </c>
      <c r="R107" s="1">
        <v>45992</v>
      </c>
      <c r="S107" s="1">
        <v>46022</v>
      </c>
      <c r="V107" s="8">
        <v>1</v>
      </c>
      <c r="W107" t="s">
        <v>24</v>
      </c>
      <c r="X107" t="s">
        <v>282</v>
      </c>
      <c r="Y107" t="s">
        <v>17</v>
      </c>
      <c r="Z107" t="s">
        <v>11</v>
      </c>
      <c r="AA107">
        <v>62371</v>
      </c>
      <c r="AB107">
        <v>18920220</v>
      </c>
      <c r="AC107">
        <v>0</v>
      </c>
      <c r="AD107" s="8"/>
    </row>
    <row r="108" spans="1:30" x14ac:dyDescent="0.3">
      <c r="A108" t="s">
        <v>1627</v>
      </c>
      <c r="B108">
        <v>1282807</v>
      </c>
      <c r="D108" t="s">
        <v>7</v>
      </c>
      <c r="E108">
        <v>945259</v>
      </c>
      <c r="F108">
        <v>9015884123</v>
      </c>
      <c r="G108">
        <v>7</v>
      </c>
      <c r="H108" t="s">
        <v>283</v>
      </c>
      <c r="I108">
        <v>0</v>
      </c>
      <c r="J108" t="s">
        <v>284</v>
      </c>
      <c r="K108" t="s">
        <v>8</v>
      </c>
      <c r="L108" t="s">
        <v>67</v>
      </c>
      <c r="M108" t="s">
        <v>9</v>
      </c>
      <c r="N108" t="s">
        <v>14</v>
      </c>
      <c r="O108" s="2">
        <v>808812.57</v>
      </c>
      <c r="P108" s="3">
        <v>5678.6090000000004</v>
      </c>
      <c r="Q108" s="1">
        <v>46033</v>
      </c>
      <c r="R108" s="1">
        <v>45992</v>
      </c>
      <c r="S108" s="1">
        <v>46022</v>
      </c>
      <c r="V108" s="8">
        <v>1</v>
      </c>
      <c r="W108" t="s">
        <v>24</v>
      </c>
      <c r="X108" t="s">
        <v>285</v>
      </c>
      <c r="Y108" t="s">
        <v>17</v>
      </c>
      <c r="Z108" t="s">
        <v>11</v>
      </c>
      <c r="AA108">
        <v>62371</v>
      </c>
      <c r="AB108">
        <v>18915434</v>
      </c>
      <c r="AC108">
        <v>0</v>
      </c>
      <c r="AD108" s="8"/>
    </row>
    <row r="109" spans="1:30" x14ac:dyDescent="0.3">
      <c r="A109" t="s">
        <v>1627</v>
      </c>
      <c r="B109">
        <v>1282807</v>
      </c>
      <c r="D109" t="s">
        <v>7</v>
      </c>
      <c r="E109">
        <v>945259</v>
      </c>
      <c r="F109">
        <v>9015884123</v>
      </c>
      <c r="G109">
        <v>7</v>
      </c>
      <c r="H109" t="s">
        <v>283</v>
      </c>
      <c r="I109">
        <v>0</v>
      </c>
      <c r="J109" t="s">
        <v>284</v>
      </c>
      <c r="K109" t="s">
        <v>8</v>
      </c>
      <c r="L109" t="s">
        <v>19</v>
      </c>
      <c r="M109" t="s">
        <v>9</v>
      </c>
      <c r="N109" t="s">
        <v>14</v>
      </c>
      <c r="O109" s="2">
        <v>1344.22</v>
      </c>
      <c r="P109" s="3">
        <v>6.8029999999999999</v>
      </c>
      <c r="Q109" s="1">
        <v>46033</v>
      </c>
      <c r="R109" s="1">
        <v>45992</v>
      </c>
      <c r="S109" s="1">
        <v>46022</v>
      </c>
      <c r="V109" s="8">
        <v>1</v>
      </c>
      <c r="W109" t="s">
        <v>24</v>
      </c>
      <c r="X109" t="s">
        <v>285</v>
      </c>
      <c r="Y109" t="s">
        <v>17</v>
      </c>
      <c r="Z109" t="s">
        <v>11</v>
      </c>
      <c r="AA109">
        <v>62371</v>
      </c>
      <c r="AB109">
        <v>18915434</v>
      </c>
      <c r="AC109">
        <v>0</v>
      </c>
      <c r="AD109" s="8"/>
    </row>
    <row r="110" spans="1:30" x14ac:dyDescent="0.3">
      <c r="A110" t="s">
        <v>1627</v>
      </c>
      <c r="B110">
        <v>1303907</v>
      </c>
      <c r="D110" t="s">
        <v>7</v>
      </c>
      <c r="E110">
        <v>945160</v>
      </c>
      <c r="F110">
        <v>9015884123</v>
      </c>
      <c r="G110">
        <v>32</v>
      </c>
      <c r="H110" t="s">
        <v>286</v>
      </c>
      <c r="I110">
        <v>0</v>
      </c>
      <c r="J110" t="s">
        <v>287</v>
      </c>
      <c r="K110" t="s">
        <v>8</v>
      </c>
      <c r="L110" t="s">
        <v>19</v>
      </c>
      <c r="M110" t="s">
        <v>9</v>
      </c>
      <c r="N110" t="s">
        <v>14</v>
      </c>
      <c r="O110" s="2">
        <v>13748.83</v>
      </c>
      <c r="P110" s="3">
        <v>84.268000000000001</v>
      </c>
      <c r="Q110" s="1">
        <v>46033</v>
      </c>
      <c r="R110" s="1">
        <v>45992</v>
      </c>
      <c r="S110" s="1">
        <v>46022</v>
      </c>
      <c r="V110" s="8">
        <v>1</v>
      </c>
      <c r="W110" t="s">
        <v>24</v>
      </c>
      <c r="X110" t="s">
        <v>288</v>
      </c>
      <c r="Y110" t="s">
        <v>17</v>
      </c>
      <c r="Z110" t="s">
        <v>11</v>
      </c>
      <c r="AA110">
        <v>62371</v>
      </c>
      <c r="AB110">
        <v>19971596</v>
      </c>
      <c r="AC110">
        <v>1</v>
      </c>
      <c r="AD110" s="8"/>
    </row>
    <row r="111" spans="1:30" x14ac:dyDescent="0.3">
      <c r="A111" t="s">
        <v>1627</v>
      </c>
      <c r="B111">
        <v>1420087</v>
      </c>
      <c r="D111" t="s">
        <v>7</v>
      </c>
      <c r="E111">
        <v>946677</v>
      </c>
      <c r="F111">
        <v>9015884123</v>
      </c>
      <c r="G111">
        <v>461</v>
      </c>
      <c r="H111" t="s">
        <v>290</v>
      </c>
      <c r="I111">
        <v>0</v>
      </c>
      <c r="J111" t="s">
        <v>291</v>
      </c>
      <c r="K111" t="s">
        <v>8</v>
      </c>
      <c r="L111" t="s">
        <v>67</v>
      </c>
      <c r="M111" t="s">
        <v>9</v>
      </c>
      <c r="N111" t="s">
        <v>14</v>
      </c>
      <c r="O111" s="2">
        <v>136785.04999999999</v>
      </c>
      <c r="P111" s="3">
        <v>960.35699999999997</v>
      </c>
      <c r="Q111" s="1">
        <v>46033</v>
      </c>
      <c r="R111" s="1">
        <v>45992</v>
      </c>
      <c r="S111" s="1">
        <v>46022</v>
      </c>
      <c r="V111" s="8">
        <v>1</v>
      </c>
      <c r="W111" t="s">
        <v>24</v>
      </c>
      <c r="X111" t="s">
        <v>292</v>
      </c>
      <c r="Y111" t="s">
        <v>289</v>
      </c>
      <c r="Z111" t="s">
        <v>11</v>
      </c>
      <c r="AA111">
        <v>62371</v>
      </c>
      <c r="AB111">
        <v>18195166</v>
      </c>
      <c r="AC111">
        <v>0</v>
      </c>
      <c r="AD111" s="8"/>
    </row>
    <row r="112" spans="1:30" x14ac:dyDescent="0.3">
      <c r="A112" t="s">
        <v>1627</v>
      </c>
      <c r="B112">
        <v>1363527</v>
      </c>
      <c r="D112" t="s">
        <v>7</v>
      </c>
      <c r="E112">
        <v>945914</v>
      </c>
      <c r="F112">
        <v>9015884123</v>
      </c>
      <c r="G112">
        <v>165</v>
      </c>
      <c r="H112" t="s">
        <v>294</v>
      </c>
      <c r="I112">
        <v>0</v>
      </c>
      <c r="J112" t="s">
        <v>295</v>
      </c>
      <c r="K112" t="s">
        <v>8</v>
      </c>
      <c r="L112" t="s">
        <v>18</v>
      </c>
      <c r="M112" t="s">
        <v>9</v>
      </c>
      <c r="N112" t="s">
        <v>14</v>
      </c>
      <c r="O112" s="2">
        <v>-2.74</v>
      </c>
      <c r="P112" s="3">
        <v>0</v>
      </c>
      <c r="Q112" s="1">
        <v>46033</v>
      </c>
      <c r="R112" s="1">
        <v>45992</v>
      </c>
      <c r="S112" s="1">
        <v>46022</v>
      </c>
      <c r="V112" s="8">
        <v>1</v>
      </c>
      <c r="W112" t="s">
        <v>24</v>
      </c>
      <c r="X112" t="s">
        <v>296</v>
      </c>
      <c r="Y112" t="s">
        <v>10</v>
      </c>
      <c r="Z112" t="s">
        <v>11</v>
      </c>
      <c r="AA112">
        <v>62371</v>
      </c>
      <c r="AB112">
        <v>17523451</v>
      </c>
      <c r="AC112">
        <v>0</v>
      </c>
      <c r="AD112" s="8"/>
    </row>
    <row r="113" spans="1:30" x14ac:dyDescent="0.3">
      <c r="A113" t="s">
        <v>1627</v>
      </c>
      <c r="B113">
        <v>1363529</v>
      </c>
      <c r="D113" t="s">
        <v>7</v>
      </c>
      <c r="E113">
        <v>945916</v>
      </c>
      <c r="F113">
        <v>9015884123</v>
      </c>
      <c r="G113">
        <v>167</v>
      </c>
      <c r="H113" t="s">
        <v>297</v>
      </c>
      <c r="I113">
        <v>0</v>
      </c>
      <c r="J113" t="s">
        <v>298</v>
      </c>
      <c r="K113" t="s">
        <v>8</v>
      </c>
      <c r="L113" t="s">
        <v>15</v>
      </c>
      <c r="M113" t="s">
        <v>9</v>
      </c>
      <c r="N113" t="s">
        <v>14</v>
      </c>
      <c r="O113" s="2">
        <v>0</v>
      </c>
      <c r="P113" s="3">
        <v>7133.8280000000004</v>
      </c>
      <c r="Q113" s="1">
        <v>46033</v>
      </c>
      <c r="R113" s="1">
        <v>45992</v>
      </c>
      <c r="S113" s="1">
        <v>46022</v>
      </c>
      <c r="V113" s="8">
        <v>1</v>
      </c>
      <c r="W113" t="s">
        <v>24</v>
      </c>
      <c r="X113" t="s">
        <v>299</v>
      </c>
      <c r="Y113" t="s">
        <v>10</v>
      </c>
      <c r="Z113" t="s">
        <v>11</v>
      </c>
      <c r="AA113">
        <v>62371</v>
      </c>
      <c r="AB113">
        <v>18644325</v>
      </c>
      <c r="AC113">
        <v>0</v>
      </c>
      <c r="AD113" s="8"/>
    </row>
    <row r="114" spans="1:30" x14ac:dyDescent="0.3">
      <c r="A114" t="s">
        <v>1627</v>
      </c>
      <c r="B114">
        <v>1363529</v>
      </c>
      <c r="D114" t="s">
        <v>7</v>
      </c>
      <c r="E114">
        <v>945916</v>
      </c>
      <c r="F114">
        <v>9015884123</v>
      </c>
      <c r="G114">
        <v>167</v>
      </c>
      <c r="H114" t="s">
        <v>297</v>
      </c>
      <c r="I114">
        <v>0</v>
      </c>
      <c r="J114" t="s">
        <v>298</v>
      </c>
      <c r="K114" t="s">
        <v>8</v>
      </c>
      <c r="L114" t="s">
        <v>18</v>
      </c>
      <c r="M114" t="s">
        <v>9</v>
      </c>
      <c r="N114" t="s">
        <v>14</v>
      </c>
      <c r="O114" s="2">
        <v>3.94</v>
      </c>
      <c r="P114" s="3">
        <v>0</v>
      </c>
      <c r="Q114" s="1">
        <v>46033</v>
      </c>
      <c r="R114" s="1">
        <v>45992</v>
      </c>
      <c r="S114" s="1">
        <v>46022</v>
      </c>
      <c r="V114" s="8">
        <v>1</v>
      </c>
      <c r="W114" t="s">
        <v>24</v>
      </c>
      <c r="X114" t="s">
        <v>299</v>
      </c>
      <c r="Y114" t="s">
        <v>10</v>
      </c>
      <c r="Z114" t="s">
        <v>11</v>
      </c>
      <c r="AA114">
        <v>62371</v>
      </c>
      <c r="AB114">
        <v>18644325</v>
      </c>
      <c r="AC114">
        <v>0</v>
      </c>
      <c r="AD114" s="8"/>
    </row>
    <row r="115" spans="1:30" x14ac:dyDescent="0.3">
      <c r="A115" t="s">
        <v>1627</v>
      </c>
      <c r="B115">
        <v>1418637</v>
      </c>
      <c r="D115" t="s">
        <v>7</v>
      </c>
      <c r="E115">
        <v>946648</v>
      </c>
      <c r="F115">
        <v>9015884123</v>
      </c>
      <c r="G115">
        <v>451</v>
      </c>
      <c r="H115" t="s">
        <v>301</v>
      </c>
      <c r="I115">
        <v>0</v>
      </c>
      <c r="J115" t="s">
        <v>302</v>
      </c>
      <c r="K115" t="s">
        <v>8</v>
      </c>
      <c r="L115" t="s">
        <v>15</v>
      </c>
      <c r="M115" t="s">
        <v>9</v>
      </c>
      <c r="N115" t="s">
        <v>14</v>
      </c>
      <c r="O115" s="2">
        <v>0</v>
      </c>
      <c r="P115" s="3">
        <v>1278.7860000000001</v>
      </c>
      <c r="Q115" s="1">
        <v>46033</v>
      </c>
      <c r="R115" s="1">
        <v>45992</v>
      </c>
      <c r="S115" s="1">
        <v>46022</v>
      </c>
      <c r="V115" s="8">
        <v>1</v>
      </c>
      <c r="W115" t="s">
        <v>24</v>
      </c>
      <c r="X115" t="s">
        <v>303</v>
      </c>
      <c r="Y115" t="s">
        <v>300</v>
      </c>
      <c r="Z115" t="s">
        <v>11</v>
      </c>
      <c r="AA115">
        <v>62371</v>
      </c>
      <c r="AB115">
        <v>17955985</v>
      </c>
      <c r="AC115">
        <v>0</v>
      </c>
      <c r="AD115" s="8"/>
    </row>
    <row r="116" spans="1:30" x14ac:dyDescent="0.3">
      <c r="A116" t="s">
        <v>1627</v>
      </c>
      <c r="B116">
        <v>1408311</v>
      </c>
      <c r="D116" t="s">
        <v>7</v>
      </c>
      <c r="E116">
        <v>946329</v>
      </c>
      <c r="F116">
        <v>9015884123</v>
      </c>
      <c r="G116">
        <v>337</v>
      </c>
      <c r="H116" t="s">
        <v>304</v>
      </c>
      <c r="I116">
        <v>0</v>
      </c>
      <c r="J116" t="s">
        <v>305</v>
      </c>
      <c r="K116" t="s">
        <v>8</v>
      </c>
      <c r="L116" t="s">
        <v>19</v>
      </c>
      <c r="M116" t="s">
        <v>9</v>
      </c>
      <c r="N116" t="s">
        <v>14</v>
      </c>
      <c r="O116" s="2">
        <v>3569.69</v>
      </c>
      <c r="P116" s="3">
        <v>18.065999999999999</v>
      </c>
      <c r="Q116" s="1">
        <v>46033</v>
      </c>
      <c r="R116" s="1">
        <v>45992</v>
      </c>
      <c r="S116" s="1">
        <v>46022</v>
      </c>
      <c r="V116" s="8">
        <v>1</v>
      </c>
      <c r="W116" t="s">
        <v>24</v>
      </c>
      <c r="X116" t="s">
        <v>306</v>
      </c>
      <c r="Y116" t="s">
        <v>39</v>
      </c>
      <c r="Z116" t="s">
        <v>11</v>
      </c>
      <c r="AA116">
        <v>62371</v>
      </c>
      <c r="AB116">
        <v>17901029</v>
      </c>
      <c r="AC116">
        <v>0</v>
      </c>
      <c r="AD116" s="8"/>
    </row>
    <row r="117" spans="1:30" x14ac:dyDescent="0.3">
      <c r="A117" t="s">
        <v>1627</v>
      </c>
      <c r="B117">
        <v>1408949</v>
      </c>
      <c r="D117" t="s">
        <v>7</v>
      </c>
      <c r="E117">
        <v>946361</v>
      </c>
      <c r="F117">
        <v>9015884123</v>
      </c>
      <c r="G117">
        <v>353</v>
      </c>
      <c r="H117" t="s">
        <v>307</v>
      </c>
      <c r="I117">
        <v>0</v>
      </c>
      <c r="J117" t="s">
        <v>308</v>
      </c>
      <c r="K117" t="s">
        <v>8</v>
      </c>
      <c r="L117" t="s">
        <v>67</v>
      </c>
      <c r="M117" t="s">
        <v>9</v>
      </c>
      <c r="N117" t="s">
        <v>14</v>
      </c>
      <c r="O117" s="2">
        <v>7459.71</v>
      </c>
      <c r="P117" s="3">
        <v>52.374000000000002</v>
      </c>
      <c r="Q117" s="1">
        <v>46033</v>
      </c>
      <c r="R117" s="1">
        <v>45992</v>
      </c>
      <c r="S117" s="1">
        <v>46022</v>
      </c>
      <c r="V117" s="8">
        <v>1</v>
      </c>
      <c r="W117" t="s">
        <v>24</v>
      </c>
      <c r="X117" t="s">
        <v>309</v>
      </c>
      <c r="Y117" t="s">
        <v>310</v>
      </c>
      <c r="Z117" t="s">
        <v>11</v>
      </c>
      <c r="AA117">
        <v>62371</v>
      </c>
      <c r="AB117">
        <v>17797455</v>
      </c>
      <c r="AC117">
        <v>0</v>
      </c>
      <c r="AD117" s="8"/>
    </row>
    <row r="118" spans="1:30" x14ac:dyDescent="0.3">
      <c r="A118" t="s">
        <v>1627</v>
      </c>
      <c r="B118">
        <v>1415120</v>
      </c>
      <c r="D118" t="s">
        <v>7</v>
      </c>
      <c r="E118">
        <v>946499</v>
      </c>
      <c r="F118">
        <v>9015884123</v>
      </c>
      <c r="G118">
        <v>404</v>
      </c>
      <c r="H118" t="s">
        <v>311</v>
      </c>
      <c r="I118">
        <v>0</v>
      </c>
      <c r="J118" t="s">
        <v>312</v>
      </c>
      <c r="K118" t="s">
        <v>8</v>
      </c>
      <c r="L118" t="s">
        <v>19</v>
      </c>
      <c r="M118" t="s">
        <v>9</v>
      </c>
      <c r="N118" t="s">
        <v>14</v>
      </c>
      <c r="O118" s="2">
        <v>12575.53</v>
      </c>
      <c r="P118" s="3">
        <v>63.643999999999998</v>
      </c>
      <c r="Q118" s="1">
        <v>46033</v>
      </c>
      <c r="R118" s="1">
        <v>45992</v>
      </c>
      <c r="S118" s="1">
        <v>46022</v>
      </c>
      <c r="V118" s="8">
        <v>1</v>
      </c>
      <c r="W118" t="s">
        <v>24</v>
      </c>
      <c r="X118" t="s">
        <v>313</v>
      </c>
      <c r="Y118" t="s">
        <v>39</v>
      </c>
      <c r="Z118" t="s">
        <v>11</v>
      </c>
      <c r="AA118">
        <v>62371</v>
      </c>
      <c r="AB118">
        <v>17910517</v>
      </c>
      <c r="AC118">
        <v>0</v>
      </c>
      <c r="AD118" s="8"/>
    </row>
    <row r="119" spans="1:30" x14ac:dyDescent="0.3">
      <c r="A119" t="s">
        <v>1627</v>
      </c>
      <c r="B119">
        <v>1364799</v>
      </c>
      <c r="D119" t="s">
        <v>7</v>
      </c>
      <c r="E119">
        <v>945932</v>
      </c>
      <c r="F119">
        <v>9015884123</v>
      </c>
      <c r="G119">
        <v>183</v>
      </c>
      <c r="H119" t="s">
        <v>314</v>
      </c>
      <c r="I119">
        <v>0</v>
      </c>
      <c r="J119" t="s">
        <v>315</v>
      </c>
      <c r="K119" t="s">
        <v>8</v>
      </c>
      <c r="L119" t="s">
        <v>15</v>
      </c>
      <c r="M119" t="s">
        <v>9</v>
      </c>
      <c r="N119" t="s">
        <v>14</v>
      </c>
      <c r="O119" s="2">
        <v>0</v>
      </c>
      <c r="P119" s="3">
        <v>2602.4090000000001</v>
      </c>
      <c r="Q119" s="1">
        <v>46033</v>
      </c>
      <c r="R119" s="1">
        <v>45992</v>
      </c>
      <c r="S119" s="1">
        <v>46022</v>
      </c>
      <c r="V119" s="8">
        <v>1</v>
      </c>
      <c r="W119" t="s">
        <v>24</v>
      </c>
      <c r="X119" t="s">
        <v>316</v>
      </c>
      <c r="Y119" t="s">
        <v>10</v>
      </c>
      <c r="Z119" t="s">
        <v>11</v>
      </c>
      <c r="AA119">
        <v>62371</v>
      </c>
      <c r="AB119">
        <v>19756562</v>
      </c>
      <c r="AC119">
        <v>1</v>
      </c>
      <c r="AD119" s="8"/>
    </row>
    <row r="120" spans="1:30" x14ac:dyDescent="0.3">
      <c r="A120" t="s">
        <v>1627</v>
      </c>
      <c r="B120">
        <v>1364859</v>
      </c>
      <c r="D120" t="s">
        <v>7</v>
      </c>
      <c r="E120">
        <v>945933</v>
      </c>
      <c r="F120">
        <v>9015884123</v>
      </c>
      <c r="G120">
        <v>184</v>
      </c>
      <c r="H120" t="s">
        <v>317</v>
      </c>
      <c r="I120">
        <v>0</v>
      </c>
      <c r="J120" t="s">
        <v>318</v>
      </c>
      <c r="K120" t="s">
        <v>8</v>
      </c>
      <c r="L120" t="s">
        <v>67</v>
      </c>
      <c r="M120" t="s">
        <v>9</v>
      </c>
      <c r="N120" t="s">
        <v>14</v>
      </c>
      <c r="O120" s="2">
        <v>389341.53</v>
      </c>
      <c r="P120" s="3">
        <v>3605.1559999999999</v>
      </c>
      <c r="Q120" s="1">
        <v>46033</v>
      </c>
      <c r="R120" s="1">
        <v>45992</v>
      </c>
      <c r="S120" s="1">
        <v>46022</v>
      </c>
      <c r="V120" s="8">
        <v>1</v>
      </c>
      <c r="W120" t="s">
        <v>24</v>
      </c>
      <c r="X120" t="s">
        <v>319</v>
      </c>
      <c r="Y120" t="s">
        <v>10</v>
      </c>
      <c r="Z120" t="s">
        <v>11</v>
      </c>
      <c r="AA120">
        <v>62371</v>
      </c>
      <c r="AB120">
        <v>19649447</v>
      </c>
      <c r="AC120">
        <v>1</v>
      </c>
      <c r="AD120" s="8"/>
    </row>
    <row r="121" spans="1:30" x14ac:dyDescent="0.3">
      <c r="A121" t="s">
        <v>1627</v>
      </c>
      <c r="B121">
        <v>1375853</v>
      </c>
      <c r="D121" t="s">
        <v>7</v>
      </c>
      <c r="E121">
        <v>945946</v>
      </c>
      <c r="F121">
        <v>9015884123</v>
      </c>
      <c r="G121">
        <v>191</v>
      </c>
      <c r="H121" t="s">
        <v>320</v>
      </c>
      <c r="I121">
        <v>0</v>
      </c>
      <c r="J121" t="s">
        <v>321</v>
      </c>
      <c r="K121" t="s">
        <v>8</v>
      </c>
      <c r="L121" t="s">
        <v>18</v>
      </c>
      <c r="M121" t="s">
        <v>9</v>
      </c>
      <c r="N121" t="s">
        <v>14</v>
      </c>
      <c r="O121" s="2">
        <v>-3.19</v>
      </c>
      <c r="P121" s="3">
        <v>0</v>
      </c>
      <c r="Q121" s="1">
        <v>46033</v>
      </c>
      <c r="R121" s="1">
        <v>45992</v>
      </c>
      <c r="S121" s="1">
        <v>46022</v>
      </c>
      <c r="V121" s="8">
        <v>1</v>
      </c>
      <c r="W121" t="s">
        <v>24</v>
      </c>
      <c r="X121" t="s">
        <v>322</v>
      </c>
      <c r="Y121" t="s">
        <v>10</v>
      </c>
      <c r="Z121" t="s">
        <v>11</v>
      </c>
      <c r="AA121">
        <v>62371</v>
      </c>
      <c r="AB121">
        <v>19278487</v>
      </c>
      <c r="AC121">
        <v>0</v>
      </c>
      <c r="AD121" s="8"/>
    </row>
    <row r="122" spans="1:30" x14ac:dyDescent="0.3">
      <c r="A122" t="s">
        <v>1627</v>
      </c>
      <c r="B122">
        <v>1377793</v>
      </c>
      <c r="D122" t="s">
        <v>7</v>
      </c>
      <c r="E122">
        <v>945963</v>
      </c>
      <c r="F122">
        <v>9015884123</v>
      </c>
      <c r="G122">
        <v>199</v>
      </c>
      <c r="H122" t="s">
        <v>323</v>
      </c>
      <c r="I122">
        <v>0</v>
      </c>
      <c r="J122" t="s">
        <v>324</v>
      </c>
      <c r="K122" t="s">
        <v>8</v>
      </c>
      <c r="L122" t="s">
        <v>19</v>
      </c>
      <c r="M122" t="s">
        <v>9</v>
      </c>
      <c r="N122" t="s">
        <v>14</v>
      </c>
      <c r="O122" s="2">
        <v>658.15</v>
      </c>
      <c r="P122" s="3">
        <v>5.1710000000000003</v>
      </c>
      <c r="Q122" s="1">
        <v>46033</v>
      </c>
      <c r="R122" s="1">
        <v>45992</v>
      </c>
      <c r="S122" s="1">
        <v>46022</v>
      </c>
      <c r="V122" s="8">
        <v>2</v>
      </c>
      <c r="W122" t="s">
        <v>24</v>
      </c>
      <c r="X122" t="s">
        <v>325</v>
      </c>
      <c r="Y122" t="s">
        <v>10</v>
      </c>
      <c r="Z122" t="s">
        <v>11</v>
      </c>
      <c r="AA122">
        <v>62371</v>
      </c>
      <c r="AB122">
        <v>19373024</v>
      </c>
      <c r="AC122">
        <v>1</v>
      </c>
      <c r="AD122" s="8"/>
    </row>
    <row r="123" spans="1:30" x14ac:dyDescent="0.3">
      <c r="A123" t="s">
        <v>1627</v>
      </c>
      <c r="B123">
        <v>1364859</v>
      </c>
      <c r="D123" t="s">
        <v>7</v>
      </c>
      <c r="E123">
        <v>945933</v>
      </c>
      <c r="F123">
        <v>9015884123</v>
      </c>
      <c r="G123">
        <v>184</v>
      </c>
      <c r="H123" t="s">
        <v>317</v>
      </c>
      <c r="I123">
        <v>0</v>
      </c>
      <c r="J123" t="s">
        <v>318</v>
      </c>
      <c r="K123" t="s">
        <v>8</v>
      </c>
      <c r="L123" t="s">
        <v>18</v>
      </c>
      <c r="M123" t="s">
        <v>9</v>
      </c>
      <c r="N123" t="s">
        <v>14</v>
      </c>
      <c r="O123" s="2">
        <v>-2.61</v>
      </c>
      <c r="P123" s="3">
        <v>0</v>
      </c>
      <c r="Q123" s="1">
        <v>46033</v>
      </c>
      <c r="R123" s="1">
        <v>45992</v>
      </c>
      <c r="S123" s="1">
        <v>46022</v>
      </c>
      <c r="V123" s="8">
        <v>1</v>
      </c>
      <c r="W123" t="s">
        <v>24</v>
      </c>
      <c r="X123" t="s">
        <v>319</v>
      </c>
      <c r="Y123" t="s">
        <v>10</v>
      </c>
      <c r="Z123" t="s">
        <v>11</v>
      </c>
      <c r="AA123">
        <v>62371</v>
      </c>
      <c r="AB123">
        <v>19649447</v>
      </c>
      <c r="AC123">
        <v>1</v>
      </c>
      <c r="AD123" s="8"/>
    </row>
    <row r="124" spans="1:30" x14ac:dyDescent="0.3">
      <c r="A124" t="s">
        <v>1627</v>
      </c>
      <c r="B124">
        <v>1364865</v>
      </c>
      <c r="D124" t="s">
        <v>7</v>
      </c>
      <c r="E124">
        <v>945934</v>
      </c>
      <c r="F124">
        <v>9015884123</v>
      </c>
      <c r="G124">
        <v>185</v>
      </c>
      <c r="H124" t="s">
        <v>327</v>
      </c>
      <c r="I124">
        <v>0</v>
      </c>
      <c r="J124" t="s">
        <v>328</v>
      </c>
      <c r="K124" t="s">
        <v>8</v>
      </c>
      <c r="L124" t="s">
        <v>15</v>
      </c>
      <c r="M124" t="s">
        <v>9</v>
      </c>
      <c r="N124" t="s">
        <v>14</v>
      </c>
      <c r="O124" s="2">
        <v>0</v>
      </c>
      <c r="P124" s="3">
        <v>115.917</v>
      </c>
      <c r="Q124" s="1">
        <v>46033</v>
      </c>
      <c r="R124" s="1">
        <v>45992</v>
      </c>
      <c r="S124" s="1">
        <v>46022</v>
      </c>
      <c r="V124" s="8">
        <v>1</v>
      </c>
      <c r="W124" t="s">
        <v>24</v>
      </c>
      <c r="X124" t="s">
        <v>329</v>
      </c>
      <c r="Y124" t="s">
        <v>10</v>
      </c>
      <c r="Z124" t="s">
        <v>11</v>
      </c>
      <c r="AA124">
        <v>62371</v>
      </c>
      <c r="AB124">
        <v>17031126</v>
      </c>
      <c r="AC124">
        <v>0</v>
      </c>
      <c r="AD124" s="8"/>
    </row>
    <row r="125" spans="1:30" x14ac:dyDescent="0.3">
      <c r="A125" t="s">
        <v>1627</v>
      </c>
      <c r="B125">
        <v>1377801</v>
      </c>
      <c r="D125" t="s">
        <v>7</v>
      </c>
      <c r="E125">
        <v>945965</v>
      </c>
      <c r="F125">
        <v>9015884123</v>
      </c>
      <c r="G125">
        <v>200</v>
      </c>
      <c r="H125" t="s">
        <v>330</v>
      </c>
      <c r="I125">
        <v>0</v>
      </c>
      <c r="J125" t="s">
        <v>331</v>
      </c>
      <c r="K125" t="s">
        <v>8</v>
      </c>
      <c r="L125" t="s">
        <v>18</v>
      </c>
      <c r="M125" t="s">
        <v>9</v>
      </c>
      <c r="N125" t="s">
        <v>14</v>
      </c>
      <c r="O125" s="2">
        <v>-1.57</v>
      </c>
      <c r="P125" s="3">
        <v>0</v>
      </c>
      <c r="Q125" s="1">
        <v>46033</v>
      </c>
      <c r="R125" s="1">
        <v>45992</v>
      </c>
      <c r="S125" s="1">
        <v>46022</v>
      </c>
      <c r="V125" s="8">
        <v>1</v>
      </c>
      <c r="W125" t="s">
        <v>24</v>
      </c>
      <c r="X125" t="s">
        <v>332</v>
      </c>
      <c r="Y125" t="s">
        <v>10</v>
      </c>
      <c r="Z125" t="s">
        <v>11</v>
      </c>
      <c r="AA125">
        <v>62371</v>
      </c>
      <c r="AB125">
        <v>17058663</v>
      </c>
      <c r="AC125">
        <v>1</v>
      </c>
      <c r="AD125" s="8"/>
    </row>
    <row r="126" spans="1:30" x14ac:dyDescent="0.3">
      <c r="A126" t="s">
        <v>1627</v>
      </c>
      <c r="B126">
        <v>1415114</v>
      </c>
      <c r="D126" t="s">
        <v>7</v>
      </c>
      <c r="E126">
        <v>946493</v>
      </c>
      <c r="F126">
        <v>9015884123</v>
      </c>
      <c r="G126">
        <v>402</v>
      </c>
      <c r="H126" t="s">
        <v>333</v>
      </c>
      <c r="I126">
        <v>0</v>
      </c>
      <c r="J126" t="s">
        <v>334</v>
      </c>
      <c r="K126" t="s">
        <v>8</v>
      </c>
      <c r="L126" t="s">
        <v>67</v>
      </c>
      <c r="M126" t="s">
        <v>9</v>
      </c>
      <c r="N126" t="s">
        <v>14</v>
      </c>
      <c r="O126" s="2">
        <v>136569.84</v>
      </c>
      <c r="P126" s="3">
        <v>958.846</v>
      </c>
      <c r="Q126" s="1">
        <v>46033</v>
      </c>
      <c r="R126" s="1">
        <v>45992</v>
      </c>
      <c r="S126" s="1">
        <v>46022</v>
      </c>
      <c r="V126" s="8">
        <v>1</v>
      </c>
      <c r="W126" t="s">
        <v>24</v>
      </c>
      <c r="X126" t="s">
        <v>335</v>
      </c>
      <c r="Y126" t="s">
        <v>336</v>
      </c>
      <c r="Z126" t="s">
        <v>11</v>
      </c>
      <c r="AA126">
        <v>62371</v>
      </c>
      <c r="AB126">
        <v>19445714</v>
      </c>
      <c r="AC126">
        <v>0</v>
      </c>
      <c r="AD126" s="8"/>
    </row>
    <row r="127" spans="1:30" x14ac:dyDescent="0.3">
      <c r="A127" t="s">
        <v>1627</v>
      </c>
      <c r="B127">
        <v>1375853</v>
      </c>
      <c r="D127" t="s">
        <v>7</v>
      </c>
      <c r="E127">
        <v>945946</v>
      </c>
      <c r="F127">
        <v>9015884123</v>
      </c>
      <c r="G127">
        <v>191</v>
      </c>
      <c r="H127" t="s">
        <v>320</v>
      </c>
      <c r="I127">
        <v>0</v>
      </c>
      <c r="J127" t="s">
        <v>321</v>
      </c>
      <c r="K127" t="s">
        <v>8</v>
      </c>
      <c r="L127" t="s">
        <v>67</v>
      </c>
      <c r="M127" t="s">
        <v>9</v>
      </c>
      <c r="N127" t="s">
        <v>14</v>
      </c>
      <c r="O127" s="2">
        <v>354893.19</v>
      </c>
      <c r="P127" s="3">
        <v>2491.6770000000001</v>
      </c>
      <c r="Q127" s="1">
        <v>46033</v>
      </c>
      <c r="R127" s="1">
        <v>45992</v>
      </c>
      <c r="S127" s="1">
        <v>46022</v>
      </c>
      <c r="V127" s="8">
        <v>1</v>
      </c>
      <c r="W127" t="s">
        <v>24</v>
      </c>
      <c r="X127" t="s">
        <v>322</v>
      </c>
      <c r="Y127" t="s">
        <v>10</v>
      </c>
      <c r="Z127" t="s">
        <v>11</v>
      </c>
      <c r="AA127">
        <v>62371</v>
      </c>
      <c r="AB127">
        <v>19278487</v>
      </c>
      <c r="AC127">
        <v>0</v>
      </c>
      <c r="AD127" s="8"/>
    </row>
    <row r="128" spans="1:30" x14ac:dyDescent="0.3">
      <c r="A128" t="s">
        <v>1627</v>
      </c>
      <c r="B128">
        <v>1377620</v>
      </c>
      <c r="D128" t="s">
        <v>7</v>
      </c>
      <c r="E128">
        <v>945948</v>
      </c>
      <c r="F128">
        <v>9015884123</v>
      </c>
      <c r="G128">
        <v>192</v>
      </c>
      <c r="H128" t="s">
        <v>337</v>
      </c>
      <c r="I128">
        <v>0</v>
      </c>
      <c r="J128" t="s">
        <v>338</v>
      </c>
      <c r="K128" t="s">
        <v>8</v>
      </c>
      <c r="L128" t="s">
        <v>15</v>
      </c>
      <c r="M128" t="s">
        <v>9</v>
      </c>
      <c r="N128" t="s">
        <v>14</v>
      </c>
      <c r="O128" s="2">
        <v>0</v>
      </c>
      <c r="P128" s="3">
        <v>11112.773999999999</v>
      </c>
      <c r="Q128" s="1">
        <v>46033</v>
      </c>
      <c r="R128" s="1">
        <v>45992</v>
      </c>
      <c r="S128" s="1">
        <v>46022</v>
      </c>
      <c r="V128" s="8">
        <v>1</v>
      </c>
      <c r="W128" t="s">
        <v>24</v>
      </c>
      <c r="X128" t="s">
        <v>339</v>
      </c>
      <c r="Y128" t="s">
        <v>10</v>
      </c>
      <c r="Z128" t="s">
        <v>11</v>
      </c>
      <c r="AA128">
        <v>62371</v>
      </c>
      <c r="AB128">
        <v>18884431</v>
      </c>
      <c r="AC128">
        <v>0</v>
      </c>
      <c r="AD128" s="8"/>
    </row>
    <row r="129" spans="1:30" x14ac:dyDescent="0.3">
      <c r="A129" t="s">
        <v>1627</v>
      </c>
      <c r="B129">
        <v>1377620</v>
      </c>
      <c r="D129" t="s">
        <v>7</v>
      </c>
      <c r="E129">
        <v>945948</v>
      </c>
      <c r="F129">
        <v>9015884123</v>
      </c>
      <c r="G129">
        <v>192</v>
      </c>
      <c r="H129" t="s">
        <v>337</v>
      </c>
      <c r="I129">
        <v>0</v>
      </c>
      <c r="J129" t="s">
        <v>338</v>
      </c>
      <c r="K129" t="s">
        <v>8</v>
      </c>
      <c r="L129" t="s">
        <v>67</v>
      </c>
      <c r="M129" t="s">
        <v>9</v>
      </c>
      <c r="N129" t="s">
        <v>14</v>
      </c>
      <c r="O129" s="2">
        <v>1582808.63</v>
      </c>
      <c r="P129" s="3">
        <v>11112.773999999999</v>
      </c>
      <c r="Q129" s="1">
        <v>46033</v>
      </c>
      <c r="R129" s="1">
        <v>45992</v>
      </c>
      <c r="S129" s="1">
        <v>46022</v>
      </c>
      <c r="V129" s="8">
        <v>1</v>
      </c>
      <c r="W129" t="s">
        <v>24</v>
      </c>
      <c r="X129" t="s">
        <v>339</v>
      </c>
      <c r="Y129" t="s">
        <v>10</v>
      </c>
      <c r="Z129" t="s">
        <v>11</v>
      </c>
      <c r="AA129">
        <v>62371</v>
      </c>
      <c r="AB129">
        <v>18884431</v>
      </c>
      <c r="AC129">
        <v>0</v>
      </c>
      <c r="AD129" s="8"/>
    </row>
    <row r="130" spans="1:30" x14ac:dyDescent="0.3">
      <c r="A130" t="s">
        <v>1627</v>
      </c>
      <c r="B130">
        <v>1360642</v>
      </c>
      <c r="D130" t="s">
        <v>7</v>
      </c>
      <c r="E130">
        <v>945492</v>
      </c>
      <c r="F130">
        <v>9015884123</v>
      </c>
      <c r="G130">
        <v>144</v>
      </c>
      <c r="H130" t="s">
        <v>340</v>
      </c>
      <c r="I130">
        <v>0</v>
      </c>
      <c r="J130" t="s">
        <v>341</v>
      </c>
      <c r="K130" t="s">
        <v>8</v>
      </c>
      <c r="L130" t="s">
        <v>67</v>
      </c>
      <c r="M130" t="s">
        <v>9</v>
      </c>
      <c r="N130" t="s">
        <v>14</v>
      </c>
      <c r="O130" s="2">
        <v>625667.51</v>
      </c>
      <c r="P130" s="3">
        <v>4392.7619999999997</v>
      </c>
      <c r="Q130" s="1">
        <v>46033</v>
      </c>
      <c r="R130" s="1">
        <v>45992</v>
      </c>
      <c r="S130" s="1">
        <v>46022</v>
      </c>
      <c r="V130" s="8">
        <v>1</v>
      </c>
      <c r="W130" t="s">
        <v>24</v>
      </c>
      <c r="X130" t="s">
        <v>342</v>
      </c>
      <c r="Y130" t="s">
        <v>45</v>
      </c>
      <c r="Z130" t="s">
        <v>11</v>
      </c>
      <c r="AA130">
        <v>62371</v>
      </c>
      <c r="AB130">
        <v>18375411</v>
      </c>
      <c r="AC130">
        <v>0</v>
      </c>
      <c r="AD130" s="8"/>
    </row>
    <row r="131" spans="1:30" x14ac:dyDescent="0.3">
      <c r="A131" t="s">
        <v>1627</v>
      </c>
      <c r="B131">
        <v>1420049</v>
      </c>
      <c r="D131" t="s">
        <v>7</v>
      </c>
      <c r="E131">
        <v>946668</v>
      </c>
      <c r="F131">
        <v>9015884123</v>
      </c>
      <c r="G131">
        <v>458</v>
      </c>
      <c r="H131" t="s">
        <v>343</v>
      </c>
      <c r="I131">
        <v>0</v>
      </c>
      <c r="J131" t="s">
        <v>344</v>
      </c>
      <c r="K131" t="s">
        <v>8</v>
      </c>
      <c r="L131" t="s">
        <v>67</v>
      </c>
      <c r="M131" t="s">
        <v>9</v>
      </c>
      <c r="N131" t="s">
        <v>14</v>
      </c>
      <c r="O131" s="2">
        <v>199809.26</v>
      </c>
      <c r="P131" s="3">
        <v>1402.845</v>
      </c>
      <c r="Q131" s="1">
        <v>46033</v>
      </c>
      <c r="R131" s="1">
        <v>45992</v>
      </c>
      <c r="S131" s="1">
        <v>46022</v>
      </c>
      <c r="V131" s="8">
        <v>1</v>
      </c>
      <c r="W131" t="s">
        <v>24</v>
      </c>
      <c r="X131" t="s">
        <v>345</v>
      </c>
      <c r="Y131" t="s">
        <v>41</v>
      </c>
      <c r="Z131" t="s">
        <v>11</v>
      </c>
      <c r="AA131">
        <v>62371</v>
      </c>
      <c r="AB131">
        <v>17723762</v>
      </c>
      <c r="AC131">
        <v>0</v>
      </c>
      <c r="AD131" s="8"/>
    </row>
    <row r="132" spans="1:30" x14ac:dyDescent="0.3">
      <c r="A132" t="s">
        <v>1627</v>
      </c>
      <c r="B132">
        <v>1413690</v>
      </c>
      <c r="D132" t="s">
        <v>7</v>
      </c>
      <c r="E132">
        <v>946432</v>
      </c>
      <c r="F132">
        <v>9015884123</v>
      </c>
      <c r="G132">
        <v>384</v>
      </c>
      <c r="H132" t="s">
        <v>346</v>
      </c>
      <c r="I132">
        <v>0</v>
      </c>
      <c r="J132" t="s">
        <v>347</v>
      </c>
      <c r="K132" t="s">
        <v>8</v>
      </c>
      <c r="L132" t="s">
        <v>67</v>
      </c>
      <c r="M132" t="s">
        <v>9</v>
      </c>
      <c r="N132" t="s">
        <v>14</v>
      </c>
      <c r="O132" s="2">
        <v>174104.51</v>
      </c>
      <c r="P132" s="3">
        <v>1222.374</v>
      </c>
      <c r="Q132" s="1">
        <v>46033</v>
      </c>
      <c r="R132" s="1">
        <v>45992</v>
      </c>
      <c r="S132" s="1">
        <v>46022</v>
      </c>
      <c r="V132" s="8">
        <v>1</v>
      </c>
      <c r="W132" t="s">
        <v>24</v>
      </c>
      <c r="X132" t="s">
        <v>348</v>
      </c>
      <c r="Y132" t="s">
        <v>349</v>
      </c>
      <c r="Z132" t="s">
        <v>11</v>
      </c>
      <c r="AA132">
        <v>62371</v>
      </c>
      <c r="AB132">
        <v>17613052</v>
      </c>
      <c r="AC132">
        <v>0</v>
      </c>
      <c r="AD132" s="8"/>
    </row>
    <row r="133" spans="1:30" x14ac:dyDescent="0.3">
      <c r="A133" t="s">
        <v>1627</v>
      </c>
      <c r="B133">
        <v>1383088</v>
      </c>
      <c r="D133" t="s">
        <v>7</v>
      </c>
      <c r="E133">
        <v>946012</v>
      </c>
      <c r="F133">
        <v>9015884123</v>
      </c>
      <c r="G133">
        <v>223</v>
      </c>
      <c r="H133" t="s">
        <v>350</v>
      </c>
      <c r="I133">
        <v>0</v>
      </c>
      <c r="J133" t="s">
        <v>351</v>
      </c>
      <c r="K133" t="s">
        <v>8</v>
      </c>
      <c r="L133" t="s">
        <v>67</v>
      </c>
      <c r="M133" t="s">
        <v>9</v>
      </c>
      <c r="N133" t="s">
        <v>14</v>
      </c>
      <c r="O133" s="2">
        <v>463356.74</v>
      </c>
      <c r="P133" s="3">
        <v>3253.1909999999998</v>
      </c>
      <c r="Q133" s="1">
        <v>46033</v>
      </c>
      <c r="R133" s="1">
        <v>45992</v>
      </c>
      <c r="S133" s="1">
        <v>46022</v>
      </c>
      <c r="V133" s="8">
        <v>1</v>
      </c>
      <c r="W133" t="s">
        <v>24</v>
      </c>
      <c r="X133" t="s">
        <v>352</v>
      </c>
      <c r="Y133" t="s">
        <v>10</v>
      </c>
      <c r="Z133" t="s">
        <v>11</v>
      </c>
      <c r="AA133">
        <v>62371</v>
      </c>
      <c r="AB133">
        <v>19664227</v>
      </c>
      <c r="AC133">
        <v>0</v>
      </c>
      <c r="AD133" s="8"/>
    </row>
    <row r="134" spans="1:30" x14ac:dyDescent="0.3">
      <c r="A134" t="s">
        <v>1627</v>
      </c>
      <c r="B134">
        <v>1379412</v>
      </c>
      <c r="D134" t="s">
        <v>7</v>
      </c>
      <c r="E134">
        <v>945980</v>
      </c>
      <c r="F134">
        <v>9015884123</v>
      </c>
      <c r="G134">
        <v>209</v>
      </c>
      <c r="H134" t="s">
        <v>354</v>
      </c>
      <c r="I134">
        <v>0</v>
      </c>
      <c r="J134" t="s">
        <v>355</v>
      </c>
      <c r="K134" t="s">
        <v>8</v>
      </c>
      <c r="L134" t="s">
        <v>15</v>
      </c>
      <c r="M134" t="s">
        <v>9</v>
      </c>
      <c r="N134" t="s">
        <v>14</v>
      </c>
      <c r="O134" s="2">
        <v>0</v>
      </c>
      <c r="P134" s="3">
        <v>1786.0039999999999</v>
      </c>
      <c r="Q134" s="1">
        <v>46033</v>
      </c>
      <c r="R134" s="1">
        <v>45992</v>
      </c>
      <c r="S134" s="1">
        <v>46022</v>
      </c>
      <c r="V134" s="8">
        <v>1</v>
      </c>
      <c r="W134" t="s">
        <v>24</v>
      </c>
      <c r="X134" t="s">
        <v>356</v>
      </c>
      <c r="Y134" t="s">
        <v>10</v>
      </c>
      <c r="Z134" t="s">
        <v>11</v>
      </c>
      <c r="AA134">
        <v>62371</v>
      </c>
      <c r="AB134">
        <v>21376636</v>
      </c>
      <c r="AC134">
        <v>1</v>
      </c>
      <c r="AD134" s="8"/>
    </row>
    <row r="135" spans="1:30" x14ac:dyDescent="0.3">
      <c r="A135" t="s">
        <v>1627</v>
      </c>
      <c r="B135">
        <v>1364682</v>
      </c>
      <c r="D135" t="s">
        <v>7</v>
      </c>
      <c r="E135">
        <v>945928</v>
      </c>
      <c r="F135">
        <v>9015884123</v>
      </c>
      <c r="G135">
        <v>179</v>
      </c>
      <c r="H135" t="s">
        <v>357</v>
      </c>
      <c r="I135">
        <v>0</v>
      </c>
      <c r="J135" t="s">
        <v>358</v>
      </c>
      <c r="K135" t="s">
        <v>8</v>
      </c>
      <c r="L135" t="s">
        <v>67</v>
      </c>
      <c r="M135" t="s">
        <v>9</v>
      </c>
      <c r="N135" t="s">
        <v>14</v>
      </c>
      <c r="O135" s="2">
        <v>80458.679999999993</v>
      </c>
      <c r="P135" s="3">
        <v>564.89400000000001</v>
      </c>
      <c r="Q135" s="1">
        <v>46033</v>
      </c>
      <c r="R135" s="1">
        <v>45992</v>
      </c>
      <c r="S135" s="1">
        <v>46022</v>
      </c>
      <c r="V135" s="8">
        <v>1</v>
      </c>
      <c r="W135" t="s">
        <v>24</v>
      </c>
      <c r="X135" t="s">
        <v>359</v>
      </c>
      <c r="Y135" t="s">
        <v>46</v>
      </c>
      <c r="Z135" t="s">
        <v>11</v>
      </c>
      <c r="AA135">
        <v>62371</v>
      </c>
      <c r="AB135">
        <v>18120873</v>
      </c>
      <c r="AC135">
        <v>0</v>
      </c>
      <c r="AD135" s="8"/>
    </row>
    <row r="136" spans="1:30" x14ac:dyDescent="0.3">
      <c r="A136" t="s">
        <v>1627</v>
      </c>
      <c r="B136">
        <v>1364682</v>
      </c>
      <c r="D136" t="s">
        <v>7</v>
      </c>
      <c r="E136">
        <v>945928</v>
      </c>
      <c r="F136">
        <v>9015884123</v>
      </c>
      <c r="G136">
        <v>179</v>
      </c>
      <c r="H136" t="s">
        <v>357</v>
      </c>
      <c r="I136">
        <v>0</v>
      </c>
      <c r="J136" t="s">
        <v>358</v>
      </c>
      <c r="K136" t="s">
        <v>8</v>
      </c>
      <c r="L136" t="s">
        <v>15</v>
      </c>
      <c r="M136" t="s">
        <v>9</v>
      </c>
      <c r="N136" t="s">
        <v>14</v>
      </c>
      <c r="O136" s="2">
        <v>0</v>
      </c>
      <c r="P136" s="3">
        <v>564.89400000000001</v>
      </c>
      <c r="Q136" s="1">
        <v>46033</v>
      </c>
      <c r="R136" s="1">
        <v>45992</v>
      </c>
      <c r="S136" s="1">
        <v>46022</v>
      </c>
      <c r="V136" s="8">
        <v>1</v>
      </c>
      <c r="W136" t="s">
        <v>24</v>
      </c>
      <c r="X136" t="s">
        <v>359</v>
      </c>
      <c r="Y136" t="s">
        <v>46</v>
      </c>
      <c r="Z136" t="s">
        <v>11</v>
      </c>
      <c r="AA136">
        <v>62371</v>
      </c>
      <c r="AB136">
        <v>18120873</v>
      </c>
      <c r="AC136">
        <v>0</v>
      </c>
      <c r="AD136" s="8"/>
    </row>
    <row r="137" spans="1:30" x14ac:dyDescent="0.3">
      <c r="A137" t="s">
        <v>1627</v>
      </c>
      <c r="B137">
        <v>1380609</v>
      </c>
      <c r="D137" t="s">
        <v>7</v>
      </c>
      <c r="E137">
        <v>945996</v>
      </c>
      <c r="F137">
        <v>9015884123</v>
      </c>
      <c r="G137">
        <v>216</v>
      </c>
      <c r="H137" t="s">
        <v>360</v>
      </c>
      <c r="I137">
        <v>0</v>
      </c>
      <c r="J137" t="s">
        <v>361</v>
      </c>
      <c r="K137" t="s">
        <v>8</v>
      </c>
      <c r="L137" t="s">
        <v>18</v>
      </c>
      <c r="M137" t="s">
        <v>9</v>
      </c>
      <c r="N137" t="s">
        <v>14</v>
      </c>
      <c r="O137" s="2">
        <v>1.99</v>
      </c>
      <c r="P137" s="3">
        <v>0</v>
      </c>
      <c r="Q137" s="1">
        <v>46033</v>
      </c>
      <c r="R137" s="1">
        <v>45992</v>
      </c>
      <c r="S137" s="1">
        <v>46022</v>
      </c>
      <c r="V137" s="8">
        <v>1</v>
      </c>
      <c r="W137" t="s">
        <v>24</v>
      </c>
      <c r="X137" t="s">
        <v>362</v>
      </c>
      <c r="Y137" t="s">
        <v>10</v>
      </c>
      <c r="Z137" t="s">
        <v>11</v>
      </c>
      <c r="AA137">
        <v>62371</v>
      </c>
      <c r="AB137">
        <v>19534549</v>
      </c>
      <c r="AC137">
        <v>0</v>
      </c>
      <c r="AD137" s="8"/>
    </row>
    <row r="138" spans="1:30" x14ac:dyDescent="0.3">
      <c r="A138" t="s">
        <v>1627</v>
      </c>
      <c r="B138">
        <v>1383080</v>
      </c>
      <c r="D138" t="s">
        <v>7</v>
      </c>
      <c r="E138">
        <v>946001</v>
      </c>
      <c r="F138">
        <v>9015884123</v>
      </c>
      <c r="G138">
        <v>218</v>
      </c>
      <c r="H138" t="s">
        <v>363</v>
      </c>
      <c r="I138">
        <v>0</v>
      </c>
      <c r="J138" t="s">
        <v>364</v>
      </c>
      <c r="K138" t="s">
        <v>8</v>
      </c>
      <c r="L138" t="s">
        <v>18</v>
      </c>
      <c r="M138" t="s">
        <v>9</v>
      </c>
      <c r="N138" t="s">
        <v>14</v>
      </c>
      <c r="O138" s="2">
        <v>-1.75</v>
      </c>
      <c r="P138" s="3">
        <v>0</v>
      </c>
      <c r="Q138" s="1">
        <v>46033</v>
      </c>
      <c r="R138" s="1">
        <v>45992</v>
      </c>
      <c r="S138" s="1">
        <v>46022</v>
      </c>
      <c r="V138" s="8">
        <v>1</v>
      </c>
      <c r="W138" t="s">
        <v>24</v>
      </c>
      <c r="X138" t="s">
        <v>365</v>
      </c>
      <c r="Y138" t="s">
        <v>10</v>
      </c>
      <c r="Z138" t="s">
        <v>11</v>
      </c>
      <c r="AA138">
        <v>62371</v>
      </c>
      <c r="AB138">
        <v>19605571</v>
      </c>
      <c r="AC138">
        <v>1</v>
      </c>
      <c r="AD138" s="8"/>
    </row>
    <row r="139" spans="1:30" x14ac:dyDescent="0.3">
      <c r="A139" t="s">
        <v>1627</v>
      </c>
      <c r="B139">
        <v>1383080</v>
      </c>
      <c r="D139" t="s">
        <v>7</v>
      </c>
      <c r="E139">
        <v>946001</v>
      </c>
      <c r="F139">
        <v>9015884123</v>
      </c>
      <c r="G139">
        <v>218</v>
      </c>
      <c r="H139" t="s">
        <v>363</v>
      </c>
      <c r="I139">
        <v>0</v>
      </c>
      <c r="J139" t="s">
        <v>364</v>
      </c>
      <c r="K139" t="s">
        <v>8</v>
      </c>
      <c r="L139" t="s">
        <v>67</v>
      </c>
      <c r="M139" t="s">
        <v>9</v>
      </c>
      <c r="N139" t="s">
        <v>14</v>
      </c>
      <c r="O139" s="2">
        <v>349004.9</v>
      </c>
      <c r="P139" s="3">
        <v>3231.654</v>
      </c>
      <c r="Q139" s="1">
        <v>46033</v>
      </c>
      <c r="R139" s="1">
        <v>45992</v>
      </c>
      <c r="S139" s="1">
        <v>46022</v>
      </c>
      <c r="V139" s="8">
        <v>1</v>
      </c>
      <c r="W139" t="s">
        <v>24</v>
      </c>
      <c r="X139" t="s">
        <v>365</v>
      </c>
      <c r="Y139" t="s">
        <v>10</v>
      </c>
      <c r="Z139" t="s">
        <v>11</v>
      </c>
      <c r="AA139">
        <v>62371</v>
      </c>
      <c r="AB139">
        <v>19605571</v>
      </c>
      <c r="AC139">
        <v>1</v>
      </c>
      <c r="AD139" s="8"/>
    </row>
    <row r="140" spans="1:30" x14ac:dyDescent="0.3">
      <c r="A140" t="s">
        <v>1627</v>
      </c>
      <c r="B140">
        <v>1384580</v>
      </c>
      <c r="D140" t="s">
        <v>7</v>
      </c>
      <c r="E140">
        <v>946041</v>
      </c>
      <c r="F140">
        <v>9015884123</v>
      </c>
      <c r="G140">
        <v>234</v>
      </c>
      <c r="H140" t="s">
        <v>366</v>
      </c>
      <c r="I140">
        <v>0</v>
      </c>
      <c r="J140" t="s">
        <v>367</v>
      </c>
      <c r="K140" t="s">
        <v>8</v>
      </c>
      <c r="L140" t="s">
        <v>67</v>
      </c>
      <c r="M140" t="s">
        <v>9</v>
      </c>
      <c r="N140" t="s">
        <v>14</v>
      </c>
      <c r="O140" s="2">
        <v>483669.32</v>
      </c>
      <c r="P140" s="3">
        <v>3395.8040000000001</v>
      </c>
      <c r="Q140" s="1">
        <v>46033</v>
      </c>
      <c r="R140" s="1">
        <v>45992</v>
      </c>
      <c r="S140" s="1">
        <v>46022</v>
      </c>
      <c r="V140" s="8">
        <v>1</v>
      </c>
      <c r="W140" t="s">
        <v>24</v>
      </c>
      <c r="X140" t="s">
        <v>368</v>
      </c>
      <c r="Y140" t="s">
        <v>10</v>
      </c>
      <c r="Z140" t="s">
        <v>11</v>
      </c>
      <c r="AA140">
        <v>62371</v>
      </c>
      <c r="AB140">
        <v>19392123</v>
      </c>
      <c r="AC140">
        <v>0</v>
      </c>
      <c r="AD140" s="8"/>
    </row>
    <row r="141" spans="1:30" x14ac:dyDescent="0.3">
      <c r="A141" t="s">
        <v>1627</v>
      </c>
      <c r="B141">
        <v>1395800</v>
      </c>
      <c r="D141" t="s">
        <v>7</v>
      </c>
      <c r="E141">
        <v>946082</v>
      </c>
      <c r="F141">
        <v>9015884123</v>
      </c>
      <c r="G141">
        <v>247</v>
      </c>
      <c r="H141" t="s">
        <v>370</v>
      </c>
      <c r="I141">
        <v>0</v>
      </c>
      <c r="J141" t="s">
        <v>371</v>
      </c>
      <c r="K141" t="s">
        <v>8</v>
      </c>
      <c r="L141" t="s">
        <v>18</v>
      </c>
      <c r="M141" t="s">
        <v>9</v>
      </c>
      <c r="N141" t="s">
        <v>14</v>
      </c>
      <c r="O141" s="2">
        <v>-3.67</v>
      </c>
      <c r="P141" s="3">
        <v>0</v>
      </c>
      <c r="Q141" s="1">
        <v>46033</v>
      </c>
      <c r="R141" s="1">
        <v>45992</v>
      </c>
      <c r="S141" s="1">
        <v>46022</v>
      </c>
      <c r="V141" s="8">
        <v>1</v>
      </c>
      <c r="W141" t="s">
        <v>24</v>
      </c>
      <c r="X141" t="s">
        <v>372</v>
      </c>
      <c r="Y141" t="s">
        <v>10</v>
      </c>
      <c r="Z141" t="s">
        <v>11</v>
      </c>
      <c r="AA141">
        <v>62371</v>
      </c>
      <c r="AB141">
        <v>18807823</v>
      </c>
      <c r="AC141">
        <v>0</v>
      </c>
      <c r="AD141" s="8"/>
    </row>
    <row r="142" spans="1:30" x14ac:dyDescent="0.3">
      <c r="A142" t="s">
        <v>1627</v>
      </c>
      <c r="B142">
        <v>1395783</v>
      </c>
      <c r="D142" t="s">
        <v>7</v>
      </c>
      <c r="E142">
        <v>946058</v>
      </c>
      <c r="F142">
        <v>9015884123</v>
      </c>
      <c r="G142">
        <v>240</v>
      </c>
      <c r="H142" t="s">
        <v>373</v>
      </c>
      <c r="I142">
        <v>0</v>
      </c>
      <c r="J142" t="s">
        <v>374</v>
      </c>
      <c r="K142" t="s">
        <v>8</v>
      </c>
      <c r="L142" t="s">
        <v>19</v>
      </c>
      <c r="M142" t="s">
        <v>9</v>
      </c>
      <c r="N142" t="s">
        <v>14</v>
      </c>
      <c r="O142" s="2">
        <v>552.12</v>
      </c>
      <c r="P142" s="3">
        <v>3.3839999999999999</v>
      </c>
      <c r="Q142" s="1">
        <v>46033</v>
      </c>
      <c r="R142" s="1">
        <v>45992</v>
      </c>
      <c r="S142" s="1">
        <v>46022</v>
      </c>
      <c r="V142" s="8">
        <v>1</v>
      </c>
      <c r="W142" t="s">
        <v>24</v>
      </c>
      <c r="X142" t="s">
        <v>375</v>
      </c>
      <c r="Y142" t="s">
        <v>10</v>
      </c>
      <c r="Z142" t="s">
        <v>11</v>
      </c>
      <c r="AA142">
        <v>62371</v>
      </c>
      <c r="AB142">
        <v>19374766</v>
      </c>
      <c r="AC142">
        <v>1</v>
      </c>
      <c r="AD142" s="8"/>
    </row>
    <row r="143" spans="1:30" x14ac:dyDescent="0.3">
      <c r="A143" t="s">
        <v>1627</v>
      </c>
      <c r="B143">
        <v>1395801</v>
      </c>
      <c r="D143" t="s">
        <v>7</v>
      </c>
      <c r="E143">
        <v>946086</v>
      </c>
      <c r="F143">
        <v>9015884123</v>
      </c>
      <c r="G143">
        <v>248</v>
      </c>
      <c r="H143" t="s">
        <v>376</v>
      </c>
      <c r="I143">
        <v>0</v>
      </c>
      <c r="J143" t="s">
        <v>377</v>
      </c>
      <c r="K143" t="s">
        <v>8</v>
      </c>
      <c r="L143" t="s">
        <v>15</v>
      </c>
      <c r="M143" t="s">
        <v>9</v>
      </c>
      <c r="N143" t="s">
        <v>14</v>
      </c>
      <c r="O143" s="2">
        <v>0</v>
      </c>
      <c r="P143" s="3">
        <v>1971.058</v>
      </c>
      <c r="Q143" s="1">
        <v>46033</v>
      </c>
      <c r="R143" s="1">
        <v>45992</v>
      </c>
      <c r="S143" s="1">
        <v>46022</v>
      </c>
      <c r="V143" s="8">
        <v>1</v>
      </c>
      <c r="W143" t="s">
        <v>24</v>
      </c>
      <c r="X143" t="s">
        <v>378</v>
      </c>
      <c r="Y143" t="s">
        <v>10</v>
      </c>
      <c r="Z143" t="s">
        <v>11</v>
      </c>
      <c r="AA143">
        <v>62371</v>
      </c>
      <c r="AB143">
        <v>19392498</v>
      </c>
      <c r="AC143">
        <v>0</v>
      </c>
      <c r="AD143" s="8"/>
    </row>
    <row r="144" spans="1:30" x14ac:dyDescent="0.3">
      <c r="A144" t="s">
        <v>1627</v>
      </c>
      <c r="B144">
        <v>1395799</v>
      </c>
      <c r="D144" t="s">
        <v>7</v>
      </c>
      <c r="E144">
        <v>946078</v>
      </c>
      <c r="F144">
        <v>9015884123</v>
      </c>
      <c r="G144">
        <v>246</v>
      </c>
      <c r="H144" t="s">
        <v>379</v>
      </c>
      <c r="I144">
        <v>0</v>
      </c>
      <c r="J144" t="s">
        <v>380</v>
      </c>
      <c r="K144" t="s">
        <v>8</v>
      </c>
      <c r="L144" t="s">
        <v>15</v>
      </c>
      <c r="M144" t="s">
        <v>9</v>
      </c>
      <c r="N144" t="s">
        <v>14</v>
      </c>
      <c r="O144" s="2">
        <v>0</v>
      </c>
      <c r="P144" s="3">
        <v>6163.0209999999997</v>
      </c>
      <c r="Q144" s="1">
        <v>46033</v>
      </c>
      <c r="R144" s="1">
        <v>45992</v>
      </c>
      <c r="S144" s="1">
        <v>46022</v>
      </c>
      <c r="V144" s="8">
        <v>1</v>
      </c>
      <c r="W144" t="s">
        <v>24</v>
      </c>
      <c r="X144" t="s">
        <v>381</v>
      </c>
      <c r="Y144" t="s">
        <v>10</v>
      </c>
      <c r="Z144" t="s">
        <v>11</v>
      </c>
      <c r="AA144">
        <v>62371</v>
      </c>
      <c r="AB144">
        <v>19392504</v>
      </c>
      <c r="AC144">
        <v>0</v>
      </c>
      <c r="AD144" s="8"/>
    </row>
    <row r="145" spans="1:30" x14ac:dyDescent="0.3">
      <c r="A145" t="s">
        <v>1627</v>
      </c>
      <c r="B145">
        <v>1403650</v>
      </c>
      <c r="D145" t="s">
        <v>7</v>
      </c>
      <c r="E145">
        <v>946117</v>
      </c>
      <c r="F145">
        <v>9015884123</v>
      </c>
      <c r="G145">
        <v>259</v>
      </c>
      <c r="H145" t="s">
        <v>382</v>
      </c>
      <c r="I145">
        <v>0</v>
      </c>
      <c r="J145" t="s">
        <v>383</v>
      </c>
      <c r="K145" t="s">
        <v>8</v>
      </c>
      <c r="L145" t="s">
        <v>15</v>
      </c>
      <c r="M145" t="s">
        <v>9</v>
      </c>
      <c r="N145" t="s">
        <v>14</v>
      </c>
      <c r="O145" s="2">
        <v>0</v>
      </c>
      <c r="P145" s="3">
        <v>469.79700000000003</v>
      </c>
      <c r="Q145" s="1">
        <v>46033</v>
      </c>
      <c r="R145" s="1">
        <v>45992</v>
      </c>
      <c r="S145" s="1">
        <v>46022</v>
      </c>
      <c r="V145" s="8">
        <v>1</v>
      </c>
      <c r="W145" t="s">
        <v>24</v>
      </c>
      <c r="X145" t="s">
        <v>384</v>
      </c>
      <c r="Y145" t="s">
        <v>10</v>
      </c>
      <c r="Z145" t="s">
        <v>11</v>
      </c>
      <c r="AA145">
        <v>62371</v>
      </c>
      <c r="AB145">
        <v>18586820</v>
      </c>
      <c r="AC145">
        <v>1</v>
      </c>
      <c r="AD145" s="8"/>
    </row>
    <row r="146" spans="1:30" x14ac:dyDescent="0.3">
      <c r="A146" t="s">
        <v>1627</v>
      </c>
      <c r="B146">
        <v>1403647</v>
      </c>
      <c r="D146" t="s">
        <v>7</v>
      </c>
      <c r="E146">
        <v>946114</v>
      </c>
      <c r="F146">
        <v>9015884123</v>
      </c>
      <c r="G146">
        <v>258</v>
      </c>
      <c r="H146" t="s">
        <v>385</v>
      </c>
      <c r="I146">
        <v>0</v>
      </c>
      <c r="J146" t="s">
        <v>386</v>
      </c>
      <c r="K146" t="s">
        <v>8</v>
      </c>
      <c r="L146" t="s">
        <v>67</v>
      </c>
      <c r="M146" t="s">
        <v>9</v>
      </c>
      <c r="N146" t="s">
        <v>14</v>
      </c>
      <c r="O146" s="2">
        <v>204056</v>
      </c>
      <c r="P146" s="3">
        <v>1432.6610000000001</v>
      </c>
      <c r="Q146" s="1">
        <v>46033</v>
      </c>
      <c r="R146" s="1">
        <v>45992</v>
      </c>
      <c r="S146" s="1">
        <v>46022</v>
      </c>
      <c r="V146" s="8">
        <v>1</v>
      </c>
      <c r="W146" t="s">
        <v>24</v>
      </c>
      <c r="X146" t="s">
        <v>387</v>
      </c>
      <c r="Y146" t="s">
        <v>10</v>
      </c>
      <c r="Z146" t="s">
        <v>11</v>
      </c>
      <c r="AA146">
        <v>62371</v>
      </c>
      <c r="AB146">
        <v>18575550</v>
      </c>
      <c r="AC146">
        <v>0</v>
      </c>
      <c r="AD146" s="8"/>
    </row>
    <row r="147" spans="1:30" x14ac:dyDescent="0.3">
      <c r="A147" t="s">
        <v>1627</v>
      </c>
      <c r="B147">
        <v>1403651</v>
      </c>
      <c r="D147" t="s">
        <v>7</v>
      </c>
      <c r="E147">
        <v>946123</v>
      </c>
      <c r="F147">
        <v>9015884123</v>
      </c>
      <c r="G147">
        <v>261</v>
      </c>
      <c r="H147" t="s">
        <v>388</v>
      </c>
      <c r="I147">
        <v>0</v>
      </c>
      <c r="J147" t="s">
        <v>389</v>
      </c>
      <c r="K147" t="s">
        <v>8</v>
      </c>
      <c r="L147" t="s">
        <v>19</v>
      </c>
      <c r="M147" t="s">
        <v>9</v>
      </c>
      <c r="N147" t="s">
        <v>14</v>
      </c>
      <c r="O147" s="2">
        <v>448.02</v>
      </c>
      <c r="P147" s="3">
        <v>3.52</v>
      </c>
      <c r="Q147" s="1">
        <v>46033</v>
      </c>
      <c r="R147" s="1">
        <v>45992</v>
      </c>
      <c r="S147" s="1">
        <v>46022</v>
      </c>
      <c r="V147" s="8">
        <v>2</v>
      </c>
      <c r="W147" t="s">
        <v>24</v>
      </c>
      <c r="X147" t="s">
        <v>390</v>
      </c>
      <c r="Y147" t="s">
        <v>10</v>
      </c>
      <c r="Z147" t="s">
        <v>11</v>
      </c>
      <c r="AA147">
        <v>62371</v>
      </c>
      <c r="AB147">
        <v>17058720</v>
      </c>
      <c r="AC147">
        <v>1</v>
      </c>
      <c r="AD147" s="8"/>
    </row>
    <row r="148" spans="1:30" x14ac:dyDescent="0.3">
      <c r="A148" t="s">
        <v>1627</v>
      </c>
      <c r="B148">
        <v>1403721</v>
      </c>
      <c r="D148" t="s">
        <v>7</v>
      </c>
      <c r="E148">
        <v>946142</v>
      </c>
      <c r="F148">
        <v>9015884123</v>
      </c>
      <c r="G148">
        <v>267</v>
      </c>
      <c r="H148" t="s">
        <v>391</v>
      </c>
      <c r="I148">
        <v>0</v>
      </c>
      <c r="J148" t="s">
        <v>392</v>
      </c>
      <c r="K148" t="s">
        <v>8</v>
      </c>
      <c r="L148" t="s">
        <v>19</v>
      </c>
      <c r="M148" t="s">
        <v>9</v>
      </c>
      <c r="N148" t="s">
        <v>14</v>
      </c>
      <c r="O148" s="2">
        <v>13313.86</v>
      </c>
      <c r="P148" s="3">
        <v>81.602000000000004</v>
      </c>
      <c r="Q148" s="1">
        <v>46033</v>
      </c>
      <c r="R148" s="1">
        <v>45992</v>
      </c>
      <c r="S148" s="1">
        <v>46022</v>
      </c>
      <c r="V148" s="8">
        <v>1</v>
      </c>
      <c r="W148" t="s">
        <v>24</v>
      </c>
      <c r="X148" t="s">
        <v>393</v>
      </c>
      <c r="Y148" t="s">
        <v>10</v>
      </c>
      <c r="Z148" t="s">
        <v>11</v>
      </c>
      <c r="AA148">
        <v>62371</v>
      </c>
      <c r="AB148">
        <v>21113181</v>
      </c>
      <c r="AC148">
        <v>1</v>
      </c>
      <c r="AD148" s="8"/>
    </row>
    <row r="149" spans="1:30" x14ac:dyDescent="0.3">
      <c r="A149" t="s">
        <v>1627</v>
      </c>
      <c r="B149">
        <v>1403735</v>
      </c>
      <c r="D149" t="s">
        <v>7</v>
      </c>
      <c r="E149">
        <v>946169</v>
      </c>
      <c r="F149">
        <v>9015884123</v>
      </c>
      <c r="G149">
        <v>274</v>
      </c>
      <c r="H149" t="s">
        <v>394</v>
      </c>
      <c r="I149">
        <v>0</v>
      </c>
      <c r="J149" t="s">
        <v>395</v>
      </c>
      <c r="K149" t="s">
        <v>8</v>
      </c>
      <c r="L149" t="s">
        <v>67</v>
      </c>
      <c r="M149" t="s">
        <v>9</v>
      </c>
      <c r="N149" t="s">
        <v>14</v>
      </c>
      <c r="O149" s="2">
        <v>298004.77</v>
      </c>
      <c r="P149" s="3">
        <v>2759.4119999999998</v>
      </c>
      <c r="Q149" s="1">
        <v>46033</v>
      </c>
      <c r="R149" s="1">
        <v>45992</v>
      </c>
      <c r="S149" s="1">
        <v>46022</v>
      </c>
      <c r="V149" s="8">
        <v>1</v>
      </c>
      <c r="W149" t="s">
        <v>24</v>
      </c>
      <c r="X149" t="s">
        <v>396</v>
      </c>
      <c r="Y149" t="s">
        <v>10</v>
      </c>
      <c r="Z149" t="s">
        <v>11</v>
      </c>
      <c r="AA149">
        <v>62371</v>
      </c>
      <c r="AB149">
        <v>19417863</v>
      </c>
      <c r="AC149">
        <v>1</v>
      </c>
      <c r="AD149" s="8"/>
    </row>
    <row r="150" spans="1:30" x14ac:dyDescent="0.3">
      <c r="A150" t="s">
        <v>1627</v>
      </c>
      <c r="B150">
        <v>1403799</v>
      </c>
      <c r="D150" t="s">
        <v>7</v>
      </c>
      <c r="E150">
        <v>946185</v>
      </c>
      <c r="F150">
        <v>9015884123</v>
      </c>
      <c r="G150">
        <v>279</v>
      </c>
      <c r="H150" t="s">
        <v>397</v>
      </c>
      <c r="I150">
        <v>0</v>
      </c>
      <c r="J150" t="s">
        <v>398</v>
      </c>
      <c r="K150" t="s">
        <v>8</v>
      </c>
      <c r="L150" t="s">
        <v>18</v>
      </c>
      <c r="M150" t="s">
        <v>9</v>
      </c>
      <c r="N150" t="s">
        <v>14</v>
      </c>
      <c r="O150" s="2">
        <v>-4.6100000000000003</v>
      </c>
      <c r="P150" s="3">
        <v>0</v>
      </c>
      <c r="Q150" s="1">
        <v>46033</v>
      </c>
      <c r="R150" s="1">
        <v>45992</v>
      </c>
      <c r="S150" s="1">
        <v>46022</v>
      </c>
      <c r="V150" s="8">
        <v>1</v>
      </c>
      <c r="W150" t="s">
        <v>24</v>
      </c>
      <c r="X150" t="s">
        <v>399</v>
      </c>
      <c r="Y150" t="s">
        <v>10</v>
      </c>
      <c r="Z150" t="s">
        <v>11</v>
      </c>
      <c r="AA150">
        <v>62371</v>
      </c>
      <c r="AB150">
        <v>19383300</v>
      </c>
      <c r="AC150">
        <v>0</v>
      </c>
      <c r="AD150" s="8"/>
    </row>
    <row r="151" spans="1:30" x14ac:dyDescent="0.3">
      <c r="A151" t="s">
        <v>1627</v>
      </c>
      <c r="B151">
        <v>1403801</v>
      </c>
      <c r="D151" t="s">
        <v>7</v>
      </c>
      <c r="E151">
        <v>946188</v>
      </c>
      <c r="F151">
        <v>9015884123</v>
      </c>
      <c r="G151">
        <v>280</v>
      </c>
      <c r="H151" t="s">
        <v>400</v>
      </c>
      <c r="I151">
        <v>0</v>
      </c>
      <c r="J151" t="s">
        <v>401</v>
      </c>
      <c r="K151" t="s">
        <v>8</v>
      </c>
      <c r="L151" t="s">
        <v>15</v>
      </c>
      <c r="M151" t="s">
        <v>9</v>
      </c>
      <c r="N151" t="s">
        <v>14</v>
      </c>
      <c r="O151" s="2">
        <v>0</v>
      </c>
      <c r="P151" s="3">
        <v>4046.36</v>
      </c>
      <c r="Q151" s="1">
        <v>46033</v>
      </c>
      <c r="R151" s="1">
        <v>45992</v>
      </c>
      <c r="S151" s="1">
        <v>46022</v>
      </c>
      <c r="V151" s="8">
        <v>1</v>
      </c>
      <c r="W151" t="s">
        <v>24</v>
      </c>
      <c r="X151" t="s">
        <v>402</v>
      </c>
      <c r="Y151" t="s">
        <v>10</v>
      </c>
      <c r="Z151" t="s">
        <v>11</v>
      </c>
      <c r="AA151">
        <v>62371</v>
      </c>
      <c r="AB151">
        <v>18543934</v>
      </c>
      <c r="AC151">
        <v>1</v>
      </c>
      <c r="AD151" s="8"/>
    </row>
    <row r="152" spans="1:30" x14ac:dyDescent="0.3">
      <c r="A152" t="s">
        <v>1627</v>
      </c>
      <c r="B152">
        <v>1403809</v>
      </c>
      <c r="D152" t="s">
        <v>7</v>
      </c>
      <c r="E152">
        <v>946203</v>
      </c>
      <c r="F152">
        <v>9015884123</v>
      </c>
      <c r="G152">
        <v>287</v>
      </c>
      <c r="H152" t="s">
        <v>403</v>
      </c>
      <c r="I152">
        <v>0</v>
      </c>
      <c r="J152" t="s">
        <v>404</v>
      </c>
      <c r="K152" t="s">
        <v>8</v>
      </c>
      <c r="L152" t="s">
        <v>15</v>
      </c>
      <c r="M152" t="s">
        <v>9</v>
      </c>
      <c r="N152" t="s">
        <v>14</v>
      </c>
      <c r="O152" s="2">
        <v>0</v>
      </c>
      <c r="P152" s="3">
        <v>1538.066</v>
      </c>
      <c r="Q152" s="1">
        <v>46033</v>
      </c>
      <c r="R152" s="1">
        <v>45992</v>
      </c>
      <c r="S152" s="1">
        <v>46022</v>
      </c>
      <c r="V152" s="8">
        <v>1</v>
      </c>
      <c r="W152" t="s">
        <v>24</v>
      </c>
      <c r="X152" t="s">
        <v>405</v>
      </c>
      <c r="Y152" t="s">
        <v>10</v>
      </c>
      <c r="Z152" t="s">
        <v>11</v>
      </c>
      <c r="AA152">
        <v>62371</v>
      </c>
      <c r="AB152">
        <v>18587469</v>
      </c>
      <c r="AC152">
        <v>0</v>
      </c>
      <c r="AD152" s="8"/>
    </row>
    <row r="153" spans="1:30" x14ac:dyDescent="0.3">
      <c r="A153" t="s">
        <v>1627</v>
      </c>
      <c r="B153">
        <v>1403658</v>
      </c>
      <c r="D153" t="s">
        <v>7</v>
      </c>
      <c r="E153">
        <v>946133</v>
      </c>
      <c r="F153">
        <v>9015884123</v>
      </c>
      <c r="G153">
        <v>264</v>
      </c>
      <c r="H153" t="s">
        <v>406</v>
      </c>
      <c r="I153">
        <v>0</v>
      </c>
      <c r="J153" t="s">
        <v>407</v>
      </c>
      <c r="K153" t="s">
        <v>8</v>
      </c>
      <c r="L153" t="s">
        <v>67</v>
      </c>
      <c r="M153" t="s">
        <v>9</v>
      </c>
      <c r="N153" t="s">
        <v>14</v>
      </c>
      <c r="O153" s="2">
        <v>526493.75</v>
      </c>
      <c r="P153" s="3">
        <v>6407.8320000000003</v>
      </c>
      <c r="Q153" s="1">
        <v>46033</v>
      </c>
      <c r="R153" s="1">
        <v>45992</v>
      </c>
      <c r="S153" s="1">
        <v>46022</v>
      </c>
      <c r="V153" s="8">
        <v>2</v>
      </c>
      <c r="W153" t="s">
        <v>24</v>
      </c>
      <c r="X153" t="s">
        <v>408</v>
      </c>
      <c r="Y153" t="s">
        <v>10</v>
      </c>
      <c r="Z153" t="s">
        <v>11</v>
      </c>
      <c r="AA153">
        <v>62371</v>
      </c>
      <c r="AB153">
        <v>17187469</v>
      </c>
      <c r="AC153">
        <v>1</v>
      </c>
      <c r="AD153" s="8"/>
    </row>
    <row r="154" spans="1:30" x14ac:dyDescent="0.3">
      <c r="A154" t="s">
        <v>1627</v>
      </c>
      <c r="B154">
        <v>1403804</v>
      </c>
      <c r="D154" t="s">
        <v>7</v>
      </c>
      <c r="E154">
        <v>946197</v>
      </c>
      <c r="F154">
        <v>9015884123</v>
      </c>
      <c r="G154">
        <v>284</v>
      </c>
      <c r="H154" t="s">
        <v>409</v>
      </c>
      <c r="I154">
        <v>0</v>
      </c>
      <c r="J154" t="s">
        <v>410</v>
      </c>
      <c r="K154" t="s">
        <v>8</v>
      </c>
      <c r="L154" t="s">
        <v>67</v>
      </c>
      <c r="M154" t="s">
        <v>9</v>
      </c>
      <c r="N154" t="s">
        <v>14</v>
      </c>
      <c r="O154" s="2">
        <v>0</v>
      </c>
      <c r="P154" s="3">
        <v>0</v>
      </c>
      <c r="Q154" s="1">
        <v>46033</v>
      </c>
      <c r="R154" s="1">
        <v>45992</v>
      </c>
      <c r="S154" s="1">
        <v>46022</v>
      </c>
      <c r="V154" s="8">
        <v>1</v>
      </c>
      <c r="W154" t="s">
        <v>24</v>
      </c>
      <c r="X154" t="s">
        <v>411</v>
      </c>
      <c r="Y154" t="s">
        <v>10</v>
      </c>
      <c r="Z154" t="s">
        <v>11</v>
      </c>
      <c r="AA154">
        <v>62371</v>
      </c>
      <c r="AB154">
        <v>18569540</v>
      </c>
      <c r="AC154">
        <v>1</v>
      </c>
      <c r="AD154" s="8"/>
    </row>
    <row r="155" spans="1:30" x14ac:dyDescent="0.3">
      <c r="A155" t="s">
        <v>1627</v>
      </c>
      <c r="B155">
        <v>1403809</v>
      </c>
      <c r="D155" t="s">
        <v>7</v>
      </c>
      <c r="E155">
        <v>946203</v>
      </c>
      <c r="F155">
        <v>9015884123</v>
      </c>
      <c r="G155">
        <v>287</v>
      </c>
      <c r="H155" t="s">
        <v>403</v>
      </c>
      <c r="I155">
        <v>0</v>
      </c>
      <c r="J155" t="s">
        <v>404</v>
      </c>
      <c r="K155" t="s">
        <v>8</v>
      </c>
      <c r="L155" t="s">
        <v>67</v>
      </c>
      <c r="M155" t="s">
        <v>9</v>
      </c>
      <c r="N155" t="s">
        <v>14</v>
      </c>
      <c r="O155" s="2">
        <v>219068.99</v>
      </c>
      <c r="P155" s="3">
        <v>1538.066</v>
      </c>
      <c r="Q155" s="1">
        <v>46033</v>
      </c>
      <c r="R155" s="1">
        <v>45992</v>
      </c>
      <c r="S155" s="1">
        <v>46022</v>
      </c>
      <c r="V155" s="8">
        <v>1</v>
      </c>
      <c r="W155" t="s">
        <v>24</v>
      </c>
      <c r="X155" t="s">
        <v>405</v>
      </c>
      <c r="Y155" t="s">
        <v>10</v>
      </c>
      <c r="Z155" t="s">
        <v>11</v>
      </c>
      <c r="AA155">
        <v>62371</v>
      </c>
      <c r="AB155">
        <v>18587469</v>
      </c>
      <c r="AC155">
        <v>0</v>
      </c>
      <c r="AD155" s="8"/>
    </row>
    <row r="156" spans="1:30" x14ac:dyDescent="0.3">
      <c r="A156" t="s">
        <v>1627</v>
      </c>
      <c r="B156">
        <v>1403817</v>
      </c>
      <c r="D156" t="s">
        <v>7</v>
      </c>
      <c r="E156">
        <v>946233</v>
      </c>
      <c r="F156">
        <v>9015884123</v>
      </c>
      <c r="G156">
        <v>296</v>
      </c>
      <c r="H156" t="s">
        <v>412</v>
      </c>
      <c r="I156">
        <v>0</v>
      </c>
      <c r="J156" t="s">
        <v>413</v>
      </c>
      <c r="K156" t="s">
        <v>8</v>
      </c>
      <c r="L156" t="s">
        <v>67</v>
      </c>
      <c r="M156" t="s">
        <v>9</v>
      </c>
      <c r="N156" t="s">
        <v>14</v>
      </c>
      <c r="O156" s="2">
        <v>685829.7</v>
      </c>
      <c r="P156" s="3">
        <v>4815.1559999999999</v>
      </c>
      <c r="Q156" s="1">
        <v>46033</v>
      </c>
      <c r="R156" s="1">
        <v>45992</v>
      </c>
      <c r="S156" s="1">
        <v>46022</v>
      </c>
      <c r="V156" s="8">
        <v>1</v>
      </c>
      <c r="W156" t="s">
        <v>24</v>
      </c>
      <c r="X156" t="s">
        <v>414</v>
      </c>
      <c r="Y156" t="s">
        <v>10</v>
      </c>
      <c r="Z156" t="s">
        <v>11</v>
      </c>
      <c r="AA156">
        <v>62371</v>
      </c>
      <c r="AB156">
        <v>19386270</v>
      </c>
      <c r="AC156">
        <v>0</v>
      </c>
      <c r="AD156" s="8"/>
    </row>
    <row r="157" spans="1:30" x14ac:dyDescent="0.3">
      <c r="A157" t="s">
        <v>1627</v>
      </c>
      <c r="B157">
        <v>1406204</v>
      </c>
      <c r="D157" t="s">
        <v>7</v>
      </c>
      <c r="E157">
        <v>946300</v>
      </c>
      <c r="F157">
        <v>9015884123</v>
      </c>
      <c r="G157">
        <v>322</v>
      </c>
      <c r="H157" t="s">
        <v>415</v>
      </c>
      <c r="I157">
        <v>0</v>
      </c>
      <c r="J157" t="s">
        <v>416</v>
      </c>
      <c r="K157" t="s">
        <v>8</v>
      </c>
      <c r="L157" t="s">
        <v>15</v>
      </c>
      <c r="M157" t="s">
        <v>9</v>
      </c>
      <c r="N157" t="s">
        <v>14</v>
      </c>
      <c r="O157" s="2">
        <v>0</v>
      </c>
      <c r="P157" s="3">
        <v>8568.1980000000003</v>
      </c>
      <c r="Q157" s="1">
        <v>46033</v>
      </c>
      <c r="R157" s="1">
        <v>45992</v>
      </c>
      <c r="S157" s="1">
        <v>46022</v>
      </c>
      <c r="V157" s="8">
        <v>1</v>
      </c>
      <c r="W157" t="s">
        <v>24</v>
      </c>
      <c r="X157" t="s">
        <v>417</v>
      </c>
      <c r="Y157" t="s">
        <v>10</v>
      </c>
      <c r="Z157" t="s">
        <v>11</v>
      </c>
      <c r="AA157">
        <v>62371</v>
      </c>
      <c r="AB157">
        <v>21431607</v>
      </c>
      <c r="AC157">
        <v>1</v>
      </c>
      <c r="AD157" s="8"/>
    </row>
    <row r="158" spans="1:30" x14ac:dyDescent="0.3">
      <c r="A158" t="s">
        <v>1627</v>
      </c>
      <c r="B158">
        <v>1407509</v>
      </c>
      <c r="D158" t="s">
        <v>7</v>
      </c>
      <c r="E158">
        <v>946317</v>
      </c>
      <c r="F158">
        <v>9015884123</v>
      </c>
      <c r="G158">
        <v>331</v>
      </c>
      <c r="H158" t="s">
        <v>418</v>
      </c>
      <c r="I158">
        <v>0</v>
      </c>
      <c r="J158" t="s">
        <v>419</v>
      </c>
      <c r="K158" t="s">
        <v>8</v>
      </c>
      <c r="L158" t="s">
        <v>67</v>
      </c>
      <c r="M158" t="s">
        <v>9</v>
      </c>
      <c r="N158" t="s">
        <v>14</v>
      </c>
      <c r="O158" s="2">
        <v>94160.58</v>
      </c>
      <c r="P158" s="3">
        <v>661.09400000000005</v>
      </c>
      <c r="Q158" s="1">
        <v>46033</v>
      </c>
      <c r="R158" s="1">
        <v>45992</v>
      </c>
      <c r="S158" s="1">
        <v>46022</v>
      </c>
      <c r="V158" s="8">
        <v>1</v>
      </c>
      <c r="W158" t="s">
        <v>24</v>
      </c>
      <c r="X158" t="s">
        <v>420</v>
      </c>
      <c r="Y158" t="s">
        <v>10</v>
      </c>
      <c r="Z158" t="s">
        <v>11</v>
      </c>
      <c r="AA158">
        <v>62371</v>
      </c>
      <c r="AB158">
        <v>19813517</v>
      </c>
      <c r="AC158">
        <v>0</v>
      </c>
      <c r="AD158" s="8"/>
    </row>
    <row r="159" spans="1:30" x14ac:dyDescent="0.3">
      <c r="A159" t="s">
        <v>1627</v>
      </c>
      <c r="B159">
        <v>1407509</v>
      </c>
      <c r="D159" t="s">
        <v>7</v>
      </c>
      <c r="E159">
        <v>946317</v>
      </c>
      <c r="F159">
        <v>9015884123</v>
      </c>
      <c r="G159">
        <v>331</v>
      </c>
      <c r="H159" t="s">
        <v>418</v>
      </c>
      <c r="I159">
        <v>0</v>
      </c>
      <c r="J159" t="s">
        <v>419</v>
      </c>
      <c r="K159" t="s">
        <v>8</v>
      </c>
      <c r="L159" t="s">
        <v>18</v>
      </c>
      <c r="M159" t="s">
        <v>9</v>
      </c>
      <c r="N159" t="s">
        <v>14</v>
      </c>
      <c r="O159" s="2">
        <v>-0.57999999999999996</v>
      </c>
      <c r="P159" s="3">
        <v>0</v>
      </c>
      <c r="Q159" s="1">
        <v>46033</v>
      </c>
      <c r="R159" s="1">
        <v>45992</v>
      </c>
      <c r="S159" s="1">
        <v>46022</v>
      </c>
      <c r="V159" s="8">
        <v>1</v>
      </c>
      <c r="W159" t="s">
        <v>24</v>
      </c>
      <c r="X159" t="s">
        <v>420</v>
      </c>
      <c r="Y159" t="s">
        <v>10</v>
      </c>
      <c r="Z159" t="s">
        <v>11</v>
      </c>
      <c r="AA159">
        <v>62371</v>
      </c>
      <c r="AB159">
        <v>19813517</v>
      </c>
      <c r="AC159">
        <v>0</v>
      </c>
      <c r="AD159" s="8"/>
    </row>
    <row r="160" spans="1:30" x14ac:dyDescent="0.3">
      <c r="A160" t="s">
        <v>1627</v>
      </c>
      <c r="B160">
        <v>1412055</v>
      </c>
      <c r="D160" t="s">
        <v>7</v>
      </c>
      <c r="E160">
        <v>946334</v>
      </c>
      <c r="F160">
        <v>9015884123</v>
      </c>
      <c r="G160">
        <v>341</v>
      </c>
      <c r="H160" t="s">
        <v>421</v>
      </c>
      <c r="I160">
        <v>0</v>
      </c>
      <c r="J160" t="s">
        <v>422</v>
      </c>
      <c r="K160" t="s">
        <v>8</v>
      </c>
      <c r="L160" t="s">
        <v>19</v>
      </c>
      <c r="M160" t="s">
        <v>9</v>
      </c>
      <c r="N160" t="s">
        <v>14</v>
      </c>
      <c r="O160" s="2">
        <v>56601.77</v>
      </c>
      <c r="P160" s="3">
        <v>346.91800000000001</v>
      </c>
      <c r="Q160" s="1">
        <v>46033</v>
      </c>
      <c r="R160" s="1">
        <v>45992</v>
      </c>
      <c r="S160" s="1">
        <v>46022</v>
      </c>
      <c r="V160" s="8">
        <v>1</v>
      </c>
      <c r="W160" t="s">
        <v>24</v>
      </c>
      <c r="X160" t="s">
        <v>423</v>
      </c>
      <c r="Y160" t="s">
        <v>10</v>
      </c>
      <c r="Z160" t="s">
        <v>11</v>
      </c>
      <c r="AA160">
        <v>62371</v>
      </c>
      <c r="AB160">
        <v>18412837</v>
      </c>
      <c r="AC160">
        <v>1</v>
      </c>
      <c r="AD160" s="8"/>
    </row>
    <row r="161" spans="1:30" x14ac:dyDescent="0.3">
      <c r="A161" t="s">
        <v>1627</v>
      </c>
      <c r="B161">
        <v>1408276</v>
      </c>
      <c r="D161" t="s">
        <v>7</v>
      </c>
      <c r="E161">
        <v>946327</v>
      </c>
      <c r="F161">
        <v>9015884123</v>
      </c>
      <c r="G161">
        <v>336</v>
      </c>
      <c r="H161" t="s">
        <v>424</v>
      </c>
      <c r="I161">
        <v>0</v>
      </c>
      <c r="J161" t="s">
        <v>425</v>
      </c>
      <c r="K161" t="s">
        <v>8</v>
      </c>
      <c r="L161" t="s">
        <v>18</v>
      </c>
      <c r="M161" t="s">
        <v>9</v>
      </c>
      <c r="N161" t="s">
        <v>14</v>
      </c>
      <c r="O161" s="2">
        <v>-2.77</v>
      </c>
      <c r="P161" s="3">
        <v>0</v>
      </c>
      <c r="Q161" s="1">
        <v>46033</v>
      </c>
      <c r="R161" s="1">
        <v>45992</v>
      </c>
      <c r="S161" s="1">
        <v>46022</v>
      </c>
      <c r="V161" s="8">
        <v>1</v>
      </c>
      <c r="W161" t="s">
        <v>24</v>
      </c>
      <c r="X161" t="s">
        <v>426</v>
      </c>
      <c r="Y161" t="s">
        <v>10</v>
      </c>
      <c r="Z161" t="s">
        <v>11</v>
      </c>
      <c r="AA161">
        <v>62371</v>
      </c>
      <c r="AB161">
        <v>19403252</v>
      </c>
      <c r="AC161">
        <v>0</v>
      </c>
      <c r="AD161" s="8"/>
    </row>
    <row r="162" spans="1:30" x14ac:dyDescent="0.3">
      <c r="A162" t="s">
        <v>1627</v>
      </c>
      <c r="B162">
        <v>1412131</v>
      </c>
      <c r="D162" t="s">
        <v>7</v>
      </c>
      <c r="E162">
        <v>946359</v>
      </c>
      <c r="F162">
        <v>9015884123</v>
      </c>
      <c r="G162">
        <v>352</v>
      </c>
      <c r="H162" t="s">
        <v>427</v>
      </c>
      <c r="I162">
        <v>0</v>
      </c>
      <c r="J162" t="s">
        <v>428</v>
      </c>
      <c r="K162" t="s">
        <v>8</v>
      </c>
      <c r="L162" t="s">
        <v>15</v>
      </c>
      <c r="M162" t="s">
        <v>9</v>
      </c>
      <c r="N162" t="s">
        <v>14</v>
      </c>
      <c r="O162" s="2">
        <v>0</v>
      </c>
      <c r="P162" s="3">
        <v>1140.999</v>
      </c>
      <c r="Q162" s="1">
        <v>46033</v>
      </c>
      <c r="R162" s="1">
        <v>45992</v>
      </c>
      <c r="S162" s="1">
        <v>46022</v>
      </c>
      <c r="V162" s="8">
        <v>1</v>
      </c>
      <c r="W162" t="s">
        <v>24</v>
      </c>
      <c r="X162" t="s">
        <v>429</v>
      </c>
      <c r="Y162" t="s">
        <v>10</v>
      </c>
      <c r="Z162" t="s">
        <v>11</v>
      </c>
      <c r="AA162">
        <v>62371</v>
      </c>
      <c r="AB162">
        <v>19680216</v>
      </c>
      <c r="AC162">
        <v>0</v>
      </c>
      <c r="AD162" s="8"/>
    </row>
    <row r="163" spans="1:30" x14ac:dyDescent="0.3">
      <c r="A163" t="s">
        <v>1627</v>
      </c>
      <c r="B163">
        <v>1412136</v>
      </c>
      <c r="D163" t="s">
        <v>7</v>
      </c>
      <c r="E163">
        <v>946373</v>
      </c>
      <c r="F163">
        <v>9015884123</v>
      </c>
      <c r="G163">
        <v>360</v>
      </c>
      <c r="H163" t="s">
        <v>430</v>
      </c>
      <c r="I163">
        <v>0</v>
      </c>
      <c r="J163" t="s">
        <v>431</v>
      </c>
      <c r="K163" t="s">
        <v>8</v>
      </c>
      <c r="L163" t="s">
        <v>67</v>
      </c>
      <c r="M163" t="s">
        <v>9</v>
      </c>
      <c r="N163" t="s">
        <v>14</v>
      </c>
      <c r="O163" s="2">
        <v>933597.66</v>
      </c>
      <c r="P163" s="3">
        <v>8644.7630000000008</v>
      </c>
      <c r="Q163" s="1">
        <v>46033</v>
      </c>
      <c r="R163" s="1">
        <v>45992</v>
      </c>
      <c r="S163" s="1">
        <v>46022</v>
      </c>
      <c r="V163" s="8">
        <v>1</v>
      </c>
      <c r="W163" t="s">
        <v>24</v>
      </c>
      <c r="X163" t="s">
        <v>432</v>
      </c>
      <c r="Y163" t="s">
        <v>10</v>
      </c>
      <c r="Z163" t="s">
        <v>11</v>
      </c>
      <c r="AA163">
        <v>62371</v>
      </c>
      <c r="AB163">
        <v>21396214</v>
      </c>
      <c r="AC163">
        <v>1</v>
      </c>
      <c r="AD163" s="8"/>
    </row>
    <row r="164" spans="1:30" x14ac:dyDescent="0.3">
      <c r="A164" t="s">
        <v>1627</v>
      </c>
      <c r="B164">
        <v>1412136</v>
      </c>
      <c r="D164" t="s">
        <v>7</v>
      </c>
      <c r="E164">
        <v>946373</v>
      </c>
      <c r="F164">
        <v>9015884123</v>
      </c>
      <c r="G164">
        <v>360</v>
      </c>
      <c r="H164" t="s">
        <v>430</v>
      </c>
      <c r="I164">
        <v>0</v>
      </c>
      <c r="J164" t="s">
        <v>431</v>
      </c>
      <c r="K164" t="s">
        <v>8</v>
      </c>
      <c r="L164" t="s">
        <v>19</v>
      </c>
      <c r="M164" t="s">
        <v>9</v>
      </c>
      <c r="N164" t="s">
        <v>14</v>
      </c>
      <c r="O164" s="2">
        <v>22720.46</v>
      </c>
      <c r="P164" s="3">
        <v>139.256</v>
      </c>
      <c r="Q164" s="1">
        <v>46033</v>
      </c>
      <c r="R164" s="1">
        <v>45992</v>
      </c>
      <c r="S164" s="1">
        <v>46022</v>
      </c>
      <c r="V164" s="8">
        <v>1</v>
      </c>
      <c r="W164" t="s">
        <v>24</v>
      </c>
      <c r="X164" t="s">
        <v>432</v>
      </c>
      <c r="Y164" t="s">
        <v>10</v>
      </c>
      <c r="Z164" t="s">
        <v>11</v>
      </c>
      <c r="AA164">
        <v>62371</v>
      </c>
      <c r="AB164">
        <v>21396214</v>
      </c>
      <c r="AC164">
        <v>1</v>
      </c>
      <c r="AD164" s="8"/>
    </row>
    <row r="165" spans="1:30" x14ac:dyDescent="0.3">
      <c r="A165" t="s">
        <v>1627</v>
      </c>
      <c r="B165">
        <v>1412143</v>
      </c>
      <c r="D165" t="s">
        <v>7</v>
      </c>
      <c r="E165">
        <v>946393</v>
      </c>
      <c r="F165">
        <v>9015884123</v>
      </c>
      <c r="G165">
        <v>370</v>
      </c>
      <c r="H165" t="s">
        <v>433</v>
      </c>
      <c r="I165">
        <v>0</v>
      </c>
      <c r="J165" t="s">
        <v>434</v>
      </c>
      <c r="K165" t="s">
        <v>8</v>
      </c>
      <c r="L165" t="s">
        <v>18</v>
      </c>
      <c r="M165" t="s">
        <v>9</v>
      </c>
      <c r="N165" t="s">
        <v>14</v>
      </c>
      <c r="O165" s="2">
        <v>4.54</v>
      </c>
      <c r="P165" s="3">
        <v>0</v>
      </c>
      <c r="Q165" s="1">
        <v>46033</v>
      </c>
      <c r="R165" s="1">
        <v>45992</v>
      </c>
      <c r="S165" s="1">
        <v>46022</v>
      </c>
      <c r="V165" s="8">
        <v>1</v>
      </c>
      <c r="W165" t="s">
        <v>24</v>
      </c>
      <c r="X165" t="s">
        <v>435</v>
      </c>
      <c r="Y165" t="s">
        <v>10</v>
      </c>
      <c r="Z165" t="s">
        <v>11</v>
      </c>
      <c r="AA165">
        <v>62371</v>
      </c>
      <c r="AB165">
        <v>19395077</v>
      </c>
      <c r="AC165">
        <v>0</v>
      </c>
      <c r="AD165" s="8"/>
    </row>
    <row r="166" spans="1:30" x14ac:dyDescent="0.3">
      <c r="A166" t="s">
        <v>1627</v>
      </c>
      <c r="B166">
        <v>1412132</v>
      </c>
      <c r="D166" t="s">
        <v>7</v>
      </c>
      <c r="E166">
        <v>946363</v>
      </c>
      <c r="F166">
        <v>9015884123</v>
      </c>
      <c r="G166">
        <v>354</v>
      </c>
      <c r="H166" t="s">
        <v>436</v>
      </c>
      <c r="I166">
        <v>0</v>
      </c>
      <c r="J166" t="s">
        <v>437</v>
      </c>
      <c r="K166" t="s">
        <v>8</v>
      </c>
      <c r="L166" t="s">
        <v>15</v>
      </c>
      <c r="M166" t="s">
        <v>9</v>
      </c>
      <c r="N166" t="s">
        <v>14</v>
      </c>
      <c r="O166" s="2">
        <v>0</v>
      </c>
      <c r="P166" s="3">
        <v>816.54899999999998</v>
      </c>
      <c r="Q166" s="1">
        <v>46033</v>
      </c>
      <c r="R166" s="1">
        <v>45992</v>
      </c>
      <c r="S166" s="1">
        <v>46022</v>
      </c>
      <c r="V166" s="8">
        <v>1</v>
      </c>
      <c r="W166" t="s">
        <v>24</v>
      </c>
      <c r="X166" t="s">
        <v>438</v>
      </c>
      <c r="Y166" t="s">
        <v>10</v>
      </c>
      <c r="Z166" t="s">
        <v>11</v>
      </c>
      <c r="AA166">
        <v>62371</v>
      </c>
      <c r="AB166">
        <v>19389314</v>
      </c>
      <c r="AC166">
        <v>0</v>
      </c>
      <c r="AD166" s="8"/>
    </row>
    <row r="167" spans="1:30" x14ac:dyDescent="0.3">
      <c r="A167" t="s">
        <v>1627</v>
      </c>
      <c r="B167">
        <v>1412649</v>
      </c>
      <c r="D167" t="s">
        <v>7</v>
      </c>
      <c r="E167">
        <v>946408</v>
      </c>
      <c r="F167">
        <v>9015884123</v>
      </c>
      <c r="G167">
        <v>376</v>
      </c>
      <c r="H167" t="s">
        <v>439</v>
      </c>
      <c r="I167">
        <v>0</v>
      </c>
      <c r="J167" t="s">
        <v>440</v>
      </c>
      <c r="K167" t="s">
        <v>8</v>
      </c>
      <c r="L167" t="s">
        <v>67</v>
      </c>
      <c r="M167" t="s">
        <v>9</v>
      </c>
      <c r="N167" t="s">
        <v>14</v>
      </c>
      <c r="O167" s="2">
        <v>154377.76</v>
      </c>
      <c r="P167" s="3">
        <v>1429.48</v>
      </c>
      <c r="Q167" s="1">
        <v>46033</v>
      </c>
      <c r="R167" s="1">
        <v>45992</v>
      </c>
      <c r="S167" s="1">
        <v>46022</v>
      </c>
      <c r="V167" s="8">
        <v>1</v>
      </c>
      <c r="W167" t="s">
        <v>24</v>
      </c>
      <c r="X167" t="s">
        <v>441</v>
      </c>
      <c r="Y167" t="s">
        <v>10</v>
      </c>
      <c r="Z167" t="s">
        <v>11</v>
      </c>
      <c r="AA167">
        <v>62371</v>
      </c>
      <c r="AB167">
        <v>18577802</v>
      </c>
      <c r="AC167">
        <v>1</v>
      </c>
      <c r="AD167" s="8"/>
    </row>
    <row r="168" spans="1:30" x14ac:dyDescent="0.3">
      <c r="A168" t="s">
        <v>1627</v>
      </c>
      <c r="B168">
        <v>1412653</v>
      </c>
      <c r="D168" t="s">
        <v>7</v>
      </c>
      <c r="E168">
        <v>946411</v>
      </c>
      <c r="F168">
        <v>9015884123</v>
      </c>
      <c r="G168">
        <v>377</v>
      </c>
      <c r="H168" t="s">
        <v>442</v>
      </c>
      <c r="I168">
        <v>0</v>
      </c>
      <c r="J168" t="s">
        <v>443</v>
      </c>
      <c r="K168" t="s">
        <v>8</v>
      </c>
      <c r="L168" t="s">
        <v>67</v>
      </c>
      <c r="M168" t="s">
        <v>9</v>
      </c>
      <c r="N168" t="s">
        <v>14</v>
      </c>
      <c r="O168" s="2">
        <v>73635.5</v>
      </c>
      <c r="P168" s="3">
        <v>681.83699999999999</v>
      </c>
      <c r="Q168" s="1">
        <v>46033</v>
      </c>
      <c r="R168" s="1">
        <v>45992</v>
      </c>
      <c r="S168" s="1">
        <v>46022</v>
      </c>
      <c r="V168" s="8">
        <v>1</v>
      </c>
      <c r="W168" t="s">
        <v>24</v>
      </c>
      <c r="X168" t="s">
        <v>444</v>
      </c>
      <c r="Y168" t="s">
        <v>10</v>
      </c>
      <c r="Z168" t="s">
        <v>11</v>
      </c>
      <c r="AA168">
        <v>62371</v>
      </c>
      <c r="AB168">
        <v>18366704</v>
      </c>
      <c r="AC168">
        <v>1</v>
      </c>
      <c r="AD168" s="8"/>
    </row>
    <row r="169" spans="1:30" x14ac:dyDescent="0.3">
      <c r="A169" t="s">
        <v>1627</v>
      </c>
      <c r="B169">
        <v>1415525</v>
      </c>
      <c r="D169" t="s">
        <v>7</v>
      </c>
      <c r="E169">
        <v>946512</v>
      </c>
      <c r="F169">
        <v>9015884123</v>
      </c>
      <c r="G169">
        <v>409</v>
      </c>
      <c r="H169" t="s">
        <v>445</v>
      </c>
      <c r="I169">
        <v>0</v>
      </c>
      <c r="J169" t="s">
        <v>446</v>
      </c>
      <c r="K169" t="s">
        <v>8</v>
      </c>
      <c r="L169" t="s">
        <v>67</v>
      </c>
      <c r="M169" t="s">
        <v>9</v>
      </c>
      <c r="N169" t="s">
        <v>14</v>
      </c>
      <c r="O169" s="2">
        <v>131734.19</v>
      </c>
      <c r="P169" s="3">
        <v>1219.809</v>
      </c>
      <c r="Q169" s="1">
        <v>46033</v>
      </c>
      <c r="R169" s="1">
        <v>45992</v>
      </c>
      <c r="S169" s="1">
        <v>46022</v>
      </c>
      <c r="V169" s="8">
        <v>1</v>
      </c>
      <c r="W169" t="s">
        <v>24</v>
      </c>
      <c r="X169" t="s">
        <v>447</v>
      </c>
      <c r="Y169" t="s">
        <v>10</v>
      </c>
      <c r="Z169" t="s">
        <v>11</v>
      </c>
      <c r="AA169">
        <v>62371</v>
      </c>
      <c r="AB169">
        <v>17160258</v>
      </c>
      <c r="AC169">
        <v>1</v>
      </c>
      <c r="AD169" s="8"/>
    </row>
    <row r="170" spans="1:30" x14ac:dyDescent="0.3">
      <c r="A170" t="s">
        <v>1627</v>
      </c>
      <c r="B170">
        <v>1415525</v>
      </c>
      <c r="D170" t="s">
        <v>7</v>
      </c>
      <c r="E170">
        <v>946512</v>
      </c>
      <c r="F170">
        <v>9015884123</v>
      </c>
      <c r="G170">
        <v>409</v>
      </c>
      <c r="H170" t="s">
        <v>445</v>
      </c>
      <c r="I170">
        <v>0</v>
      </c>
      <c r="J170" t="s">
        <v>446</v>
      </c>
      <c r="K170" t="s">
        <v>8</v>
      </c>
      <c r="L170" t="s">
        <v>18</v>
      </c>
      <c r="M170" t="s">
        <v>9</v>
      </c>
      <c r="N170" t="s">
        <v>14</v>
      </c>
      <c r="O170" s="2">
        <v>4.63</v>
      </c>
      <c r="P170" s="3">
        <v>0</v>
      </c>
      <c r="Q170" s="1">
        <v>46033</v>
      </c>
      <c r="R170" s="1">
        <v>45992</v>
      </c>
      <c r="S170" s="1">
        <v>46022</v>
      </c>
      <c r="V170" s="8">
        <v>1</v>
      </c>
      <c r="W170" t="s">
        <v>24</v>
      </c>
      <c r="X170" t="s">
        <v>447</v>
      </c>
      <c r="Y170" t="s">
        <v>10</v>
      </c>
      <c r="Z170" t="s">
        <v>11</v>
      </c>
      <c r="AA170">
        <v>62371</v>
      </c>
      <c r="AB170">
        <v>17160258</v>
      </c>
      <c r="AC170">
        <v>1</v>
      </c>
      <c r="AD170" s="8"/>
    </row>
    <row r="171" spans="1:30" x14ac:dyDescent="0.3">
      <c r="A171" t="s">
        <v>1627</v>
      </c>
      <c r="B171">
        <v>1412131</v>
      </c>
      <c r="D171" t="s">
        <v>7</v>
      </c>
      <c r="E171">
        <v>946359</v>
      </c>
      <c r="F171">
        <v>9015884123</v>
      </c>
      <c r="G171">
        <v>352</v>
      </c>
      <c r="H171" t="s">
        <v>427</v>
      </c>
      <c r="I171">
        <v>0</v>
      </c>
      <c r="J171" t="s">
        <v>428</v>
      </c>
      <c r="K171" t="s">
        <v>8</v>
      </c>
      <c r="L171" t="s">
        <v>18</v>
      </c>
      <c r="M171" t="s">
        <v>9</v>
      </c>
      <c r="N171" t="s">
        <v>14</v>
      </c>
      <c r="O171" s="2">
        <v>2.2000000000000002</v>
      </c>
      <c r="P171" s="3">
        <v>0</v>
      </c>
      <c r="Q171" s="1">
        <v>46033</v>
      </c>
      <c r="R171" s="1">
        <v>45992</v>
      </c>
      <c r="S171" s="1">
        <v>46022</v>
      </c>
      <c r="V171" s="8">
        <v>1</v>
      </c>
      <c r="W171" t="s">
        <v>24</v>
      </c>
      <c r="X171" t="s">
        <v>429</v>
      </c>
      <c r="Y171" t="s">
        <v>10</v>
      </c>
      <c r="Z171" t="s">
        <v>11</v>
      </c>
      <c r="AA171">
        <v>62371</v>
      </c>
      <c r="AB171">
        <v>19680216</v>
      </c>
      <c r="AC171">
        <v>0</v>
      </c>
      <c r="AD171" s="8"/>
    </row>
    <row r="172" spans="1:30" x14ac:dyDescent="0.3">
      <c r="A172" t="s">
        <v>1627</v>
      </c>
      <c r="B172">
        <v>1412139</v>
      </c>
      <c r="D172" t="s">
        <v>7</v>
      </c>
      <c r="E172">
        <v>946382</v>
      </c>
      <c r="F172">
        <v>9015884123</v>
      </c>
      <c r="G172">
        <v>365</v>
      </c>
      <c r="H172" t="s">
        <v>448</v>
      </c>
      <c r="I172">
        <v>0</v>
      </c>
      <c r="J172" t="s">
        <v>449</v>
      </c>
      <c r="K172" t="s">
        <v>8</v>
      </c>
      <c r="L172" t="s">
        <v>18</v>
      </c>
      <c r="M172" t="s">
        <v>9</v>
      </c>
      <c r="N172" t="s">
        <v>14</v>
      </c>
      <c r="O172" s="2">
        <v>-0.13</v>
      </c>
      <c r="P172" s="3">
        <v>0</v>
      </c>
      <c r="Q172" s="1">
        <v>46033</v>
      </c>
      <c r="R172" s="1">
        <v>45992</v>
      </c>
      <c r="S172" s="1">
        <v>46022</v>
      </c>
      <c r="V172" s="8">
        <v>1</v>
      </c>
      <c r="W172" t="s">
        <v>24</v>
      </c>
      <c r="X172" t="s">
        <v>450</v>
      </c>
      <c r="Y172" t="s">
        <v>10</v>
      </c>
      <c r="Z172" t="s">
        <v>11</v>
      </c>
      <c r="AA172">
        <v>62371</v>
      </c>
      <c r="AB172">
        <v>19394384</v>
      </c>
      <c r="AC172">
        <v>0</v>
      </c>
      <c r="AD172" s="8"/>
    </row>
    <row r="173" spans="1:30" x14ac:dyDescent="0.3">
      <c r="A173" t="s">
        <v>1627</v>
      </c>
      <c r="B173">
        <v>1412641</v>
      </c>
      <c r="D173" t="s">
        <v>7</v>
      </c>
      <c r="E173">
        <v>946398</v>
      </c>
      <c r="F173">
        <v>9015884123</v>
      </c>
      <c r="G173">
        <v>373</v>
      </c>
      <c r="H173" t="s">
        <v>451</v>
      </c>
      <c r="I173">
        <v>0</v>
      </c>
      <c r="J173" t="s">
        <v>452</v>
      </c>
      <c r="K173" t="s">
        <v>8</v>
      </c>
      <c r="L173" t="s">
        <v>67</v>
      </c>
      <c r="M173" t="s">
        <v>9</v>
      </c>
      <c r="N173" t="s">
        <v>14</v>
      </c>
      <c r="O173" s="2">
        <v>232294.74</v>
      </c>
      <c r="P173" s="3">
        <v>1630.923</v>
      </c>
      <c r="Q173" s="1">
        <v>46033</v>
      </c>
      <c r="R173" s="1">
        <v>45992</v>
      </c>
      <c r="S173" s="1">
        <v>46022</v>
      </c>
      <c r="V173" s="8">
        <v>1</v>
      </c>
      <c r="W173" t="s">
        <v>24</v>
      </c>
      <c r="X173" t="s">
        <v>453</v>
      </c>
      <c r="Y173" t="s">
        <v>10</v>
      </c>
      <c r="Z173" t="s">
        <v>11</v>
      </c>
      <c r="AA173">
        <v>62371</v>
      </c>
      <c r="AB173">
        <v>21238147</v>
      </c>
      <c r="AC173">
        <v>0</v>
      </c>
      <c r="AD173" s="8"/>
    </row>
    <row r="174" spans="1:30" x14ac:dyDescent="0.3">
      <c r="A174" t="s">
        <v>1627</v>
      </c>
      <c r="B174">
        <v>1415542</v>
      </c>
      <c r="D174" t="s">
        <v>7</v>
      </c>
      <c r="E174">
        <v>946560</v>
      </c>
      <c r="F174">
        <v>9015884123</v>
      </c>
      <c r="G174">
        <v>423</v>
      </c>
      <c r="H174" t="s">
        <v>454</v>
      </c>
      <c r="I174">
        <v>0</v>
      </c>
      <c r="J174" t="s">
        <v>455</v>
      </c>
      <c r="K174" t="s">
        <v>8</v>
      </c>
      <c r="L174" t="s">
        <v>67</v>
      </c>
      <c r="M174" t="s">
        <v>9</v>
      </c>
      <c r="N174" t="s">
        <v>14</v>
      </c>
      <c r="O174" s="2">
        <v>3176900.72</v>
      </c>
      <c r="P174" s="3">
        <v>29416.904999999999</v>
      </c>
      <c r="Q174" s="1">
        <v>46033</v>
      </c>
      <c r="R174" s="1">
        <v>45992</v>
      </c>
      <c r="S174" s="1">
        <v>46022</v>
      </c>
      <c r="V174" s="8">
        <v>1</v>
      </c>
      <c r="W174" t="s">
        <v>24</v>
      </c>
      <c r="X174" t="s">
        <v>456</v>
      </c>
      <c r="Y174" t="s">
        <v>10</v>
      </c>
      <c r="Z174" t="s">
        <v>11</v>
      </c>
      <c r="AA174">
        <v>62371</v>
      </c>
      <c r="AB174">
        <v>18539603</v>
      </c>
      <c r="AC174">
        <v>1</v>
      </c>
      <c r="AD174" s="8"/>
    </row>
    <row r="175" spans="1:30" x14ac:dyDescent="0.3">
      <c r="A175" t="s">
        <v>1627</v>
      </c>
      <c r="B175">
        <v>1415466</v>
      </c>
      <c r="D175" t="s">
        <v>7</v>
      </c>
      <c r="E175">
        <v>946479</v>
      </c>
      <c r="F175">
        <v>9015884123</v>
      </c>
      <c r="G175">
        <v>398</v>
      </c>
      <c r="H175" t="s">
        <v>457</v>
      </c>
      <c r="I175">
        <v>0</v>
      </c>
      <c r="J175" t="s">
        <v>458</v>
      </c>
      <c r="K175" t="s">
        <v>8</v>
      </c>
      <c r="L175" t="s">
        <v>15</v>
      </c>
      <c r="M175" t="s">
        <v>9</v>
      </c>
      <c r="N175" t="s">
        <v>14</v>
      </c>
      <c r="O175" s="2">
        <v>0</v>
      </c>
      <c r="P175" s="3">
        <v>1989.633</v>
      </c>
      <c r="Q175" s="1">
        <v>46033</v>
      </c>
      <c r="R175" s="1">
        <v>45992</v>
      </c>
      <c r="S175" s="1">
        <v>46022</v>
      </c>
      <c r="V175" s="8">
        <v>1</v>
      </c>
      <c r="W175" t="s">
        <v>24</v>
      </c>
      <c r="X175" t="s">
        <v>459</v>
      </c>
      <c r="Y175" t="s">
        <v>10</v>
      </c>
      <c r="Z175" t="s">
        <v>11</v>
      </c>
      <c r="AA175">
        <v>62371</v>
      </c>
      <c r="AB175">
        <v>17178482</v>
      </c>
      <c r="AC175">
        <v>0</v>
      </c>
      <c r="AD175" s="8"/>
    </row>
    <row r="176" spans="1:30" x14ac:dyDescent="0.3">
      <c r="A176" t="s">
        <v>1627</v>
      </c>
      <c r="B176">
        <v>1415379</v>
      </c>
      <c r="D176" t="s">
        <v>7</v>
      </c>
      <c r="E176">
        <v>946452</v>
      </c>
      <c r="F176">
        <v>9015884123</v>
      </c>
      <c r="G176">
        <v>390</v>
      </c>
      <c r="H176" t="s">
        <v>460</v>
      </c>
      <c r="I176">
        <v>0</v>
      </c>
      <c r="J176" t="s">
        <v>461</v>
      </c>
      <c r="K176" t="s">
        <v>8</v>
      </c>
      <c r="L176" t="s">
        <v>67</v>
      </c>
      <c r="M176" t="s">
        <v>9</v>
      </c>
      <c r="N176" t="s">
        <v>14</v>
      </c>
      <c r="O176" s="2">
        <v>120336.78</v>
      </c>
      <c r="P176" s="3">
        <v>844.875</v>
      </c>
      <c r="Q176" s="1">
        <v>46033</v>
      </c>
      <c r="R176" s="1">
        <v>45992</v>
      </c>
      <c r="S176" s="1">
        <v>46022</v>
      </c>
      <c r="V176" s="8">
        <v>1</v>
      </c>
      <c r="W176" t="s">
        <v>24</v>
      </c>
      <c r="X176" t="s">
        <v>462</v>
      </c>
      <c r="Y176" t="s">
        <v>10</v>
      </c>
      <c r="Z176" t="s">
        <v>11</v>
      </c>
      <c r="AA176">
        <v>62371</v>
      </c>
      <c r="AB176">
        <v>17041405</v>
      </c>
      <c r="AC176">
        <v>0</v>
      </c>
      <c r="AD176" s="8"/>
    </row>
    <row r="177" spans="1:30" x14ac:dyDescent="0.3">
      <c r="A177" t="s">
        <v>1627</v>
      </c>
      <c r="B177">
        <v>1418010</v>
      </c>
      <c r="D177" t="s">
        <v>7</v>
      </c>
      <c r="E177">
        <v>946618</v>
      </c>
      <c r="F177">
        <v>9015884123</v>
      </c>
      <c r="G177">
        <v>441</v>
      </c>
      <c r="H177" t="s">
        <v>463</v>
      </c>
      <c r="I177">
        <v>0</v>
      </c>
      <c r="J177" t="s">
        <v>464</v>
      </c>
      <c r="K177" t="s">
        <v>8</v>
      </c>
      <c r="L177" t="s">
        <v>67</v>
      </c>
      <c r="M177" t="s">
        <v>9</v>
      </c>
      <c r="N177" t="s">
        <v>14</v>
      </c>
      <c r="O177" s="2">
        <v>164368.78</v>
      </c>
      <c r="P177" s="3">
        <v>1521.9929999999999</v>
      </c>
      <c r="Q177" s="1">
        <v>46033</v>
      </c>
      <c r="R177" s="1">
        <v>45992</v>
      </c>
      <c r="S177" s="1">
        <v>46022</v>
      </c>
      <c r="V177" s="8">
        <v>1</v>
      </c>
      <c r="W177" t="s">
        <v>24</v>
      </c>
      <c r="X177" t="s">
        <v>465</v>
      </c>
      <c r="Y177" t="s">
        <v>10</v>
      </c>
      <c r="Z177" t="s">
        <v>11</v>
      </c>
      <c r="AA177">
        <v>62371</v>
      </c>
      <c r="AB177">
        <v>17037607</v>
      </c>
      <c r="AC177">
        <v>1</v>
      </c>
      <c r="AD177" s="8"/>
    </row>
    <row r="178" spans="1:30" x14ac:dyDescent="0.3">
      <c r="A178" t="s">
        <v>1627</v>
      </c>
      <c r="B178">
        <v>1413683</v>
      </c>
      <c r="D178" t="s">
        <v>7</v>
      </c>
      <c r="E178">
        <v>946573</v>
      </c>
      <c r="F178">
        <v>9015884123</v>
      </c>
      <c r="G178">
        <v>427</v>
      </c>
      <c r="H178" t="s">
        <v>466</v>
      </c>
      <c r="I178">
        <v>0</v>
      </c>
      <c r="J178" t="s">
        <v>467</v>
      </c>
      <c r="K178" t="s">
        <v>8</v>
      </c>
      <c r="L178" t="s">
        <v>19</v>
      </c>
      <c r="M178" t="s">
        <v>9</v>
      </c>
      <c r="N178" t="s">
        <v>14</v>
      </c>
      <c r="O178" s="2">
        <v>8218.43</v>
      </c>
      <c r="P178" s="3">
        <v>41.593000000000004</v>
      </c>
      <c r="Q178" s="1">
        <v>46033</v>
      </c>
      <c r="R178" s="1">
        <v>45992</v>
      </c>
      <c r="S178" s="1">
        <v>46022</v>
      </c>
      <c r="V178" s="8">
        <v>1</v>
      </c>
      <c r="W178" t="s">
        <v>24</v>
      </c>
      <c r="X178" t="s">
        <v>468</v>
      </c>
      <c r="Y178" t="s">
        <v>10</v>
      </c>
      <c r="Z178" t="s">
        <v>11</v>
      </c>
      <c r="AA178">
        <v>62371</v>
      </c>
      <c r="AB178">
        <v>17066681</v>
      </c>
      <c r="AC178">
        <v>0</v>
      </c>
      <c r="AD178" s="8"/>
    </row>
    <row r="179" spans="1:30" x14ac:dyDescent="0.3">
      <c r="A179" t="s">
        <v>1627</v>
      </c>
      <c r="B179">
        <v>1418008</v>
      </c>
      <c r="D179" t="s">
        <v>7</v>
      </c>
      <c r="E179">
        <v>946612</v>
      </c>
      <c r="F179">
        <v>9015884123</v>
      </c>
      <c r="G179">
        <v>439</v>
      </c>
      <c r="H179" t="s">
        <v>469</v>
      </c>
      <c r="I179">
        <v>0</v>
      </c>
      <c r="J179" t="s">
        <v>470</v>
      </c>
      <c r="K179" t="s">
        <v>8</v>
      </c>
      <c r="L179" t="s">
        <v>18</v>
      </c>
      <c r="M179" t="s">
        <v>9</v>
      </c>
      <c r="N179" t="s">
        <v>14</v>
      </c>
      <c r="O179" s="2">
        <v>0.34</v>
      </c>
      <c r="P179" s="3">
        <v>0</v>
      </c>
      <c r="Q179" s="1">
        <v>46033</v>
      </c>
      <c r="R179" s="1">
        <v>45992</v>
      </c>
      <c r="S179" s="1">
        <v>46022</v>
      </c>
      <c r="V179" s="8">
        <v>1</v>
      </c>
      <c r="W179" t="s">
        <v>24</v>
      </c>
      <c r="X179" t="s">
        <v>471</v>
      </c>
      <c r="Y179" t="s">
        <v>10</v>
      </c>
      <c r="Z179" t="s">
        <v>11</v>
      </c>
      <c r="AA179">
        <v>62371</v>
      </c>
      <c r="AB179">
        <v>18579460</v>
      </c>
      <c r="AC179">
        <v>0</v>
      </c>
      <c r="AD179" s="8"/>
    </row>
    <row r="180" spans="1:30" x14ac:dyDescent="0.3">
      <c r="A180" t="s">
        <v>1627</v>
      </c>
      <c r="B180">
        <v>1418013</v>
      </c>
      <c r="D180" t="s">
        <v>7</v>
      </c>
      <c r="E180">
        <v>946628</v>
      </c>
      <c r="F180">
        <v>9015884123</v>
      </c>
      <c r="G180">
        <v>444</v>
      </c>
      <c r="H180" t="s">
        <v>472</v>
      </c>
      <c r="I180">
        <v>0</v>
      </c>
      <c r="J180" t="s">
        <v>473</v>
      </c>
      <c r="K180" t="s">
        <v>8</v>
      </c>
      <c r="L180" t="s">
        <v>18</v>
      </c>
      <c r="M180" t="s">
        <v>9</v>
      </c>
      <c r="N180" t="s">
        <v>14</v>
      </c>
      <c r="O180" s="2">
        <v>-4.83</v>
      </c>
      <c r="P180" s="3">
        <v>0</v>
      </c>
      <c r="Q180" s="1">
        <v>46033</v>
      </c>
      <c r="R180" s="1">
        <v>45992</v>
      </c>
      <c r="S180" s="1">
        <v>46022</v>
      </c>
      <c r="V180" s="8">
        <v>1</v>
      </c>
      <c r="W180" t="s">
        <v>24</v>
      </c>
      <c r="X180" t="s">
        <v>474</v>
      </c>
      <c r="Y180" t="s">
        <v>10</v>
      </c>
      <c r="Z180" t="s">
        <v>11</v>
      </c>
      <c r="AA180">
        <v>62371</v>
      </c>
      <c r="AB180">
        <v>19389799</v>
      </c>
      <c r="AC180">
        <v>0</v>
      </c>
      <c r="AD180" s="8"/>
    </row>
    <row r="181" spans="1:30" x14ac:dyDescent="0.3">
      <c r="A181" t="s">
        <v>1627</v>
      </c>
      <c r="B181">
        <v>1418636</v>
      </c>
      <c r="D181" t="s">
        <v>7</v>
      </c>
      <c r="E181">
        <v>946644</v>
      </c>
      <c r="F181">
        <v>9015884123</v>
      </c>
      <c r="G181">
        <v>450</v>
      </c>
      <c r="H181" t="s">
        <v>475</v>
      </c>
      <c r="I181">
        <v>0</v>
      </c>
      <c r="J181" t="s">
        <v>476</v>
      </c>
      <c r="K181" t="s">
        <v>8</v>
      </c>
      <c r="L181" t="s">
        <v>18</v>
      </c>
      <c r="M181" t="s">
        <v>9</v>
      </c>
      <c r="N181" t="s">
        <v>14</v>
      </c>
      <c r="O181" s="2">
        <v>3.62</v>
      </c>
      <c r="P181" s="3">
        <v>0</v>
      </c>
      <c r="Q181" s="1">
        <v>46033</v>
      </c>
      <c r="R181" s="1">
        <v>45992</v>
      </c>
      <c r="S181" s="1">
        <v>46022</v>
      </c>
      <c r="V181" s="8">
        <v>1</v>
      </c>
      <c r="W181" t="s">
        <v>24</v>
      </c>
      <c r="X181" t="s">
        <v>477</v>
      </c>
      <c r="Y181" t="s">
        <v>353</v>
      </c>
      <c r="Z181" t="s">
        <v>11</v>
      </c>
      <c r="AA181">
        <v>62371</v>
      </c>
      <c r="AB181">
        <v>19419645</v>
      </c>
      <c r="AC181">
        <v>0</v>
      </c>
      <c r="AD181" s="8"/>
    </row>
    <row r="182" spans="1:30" x14ac:dyDescent="0.3">
      <c r="A182" t="s">
        <v>1627</v>
      </c>
      <c r="B182">
        <v>1428433</v>
      </c>
      <c r="D182" t="s">
        <v>7</v>
      </c>
      <c r="E182">
        <v>946747</v>
      </c>
      <c r="F182">
        <v>9015884123</v>
      </c>
      <c r="G182">
        <v>483</v>
      </c>
      <c r="H182" t="s">
        <v>478</v>
      </c>
      <c r="I182">
        <v>0</v>
      </c>
      <c r="J182" t="s">
        <v>479</v>
      </c>
      <c r="K182" t="s">
        <v>8</v>
      </c>
      <c r="L182" t="s">
        <v>67</v>
      </c>
      <c r="M182" t="s">
        <v>9</v>
      </c>
      <c r="N182" t="s">
        <v>14</v>
      </c>
      <c r="O182" s="2">
        <v>258661.92</v>
      </c>
      <c r="P182" s="3">
        <v>2395.1120000000001</v>
      </c>
      <c r="Q182" s="1">
        <v>46033</v>
      </c>
      <c r="R182" s="1">
        <v>45992</v>
      </c>
      <c r="S182" s="1">
        <v>46022</v>
      </c>
      <c r="V182" s="8">
        <v>1</v>
      </c>
      <c r="W182" t="s">
        <v>24</v>
      </c>
      <c r="X182" t="s">
        <v>480</v>
      </c>
      <c r="Y182" t="s">
        <v>10</v>
      </c>
      <c r="Z182" t="s">
        <v>11</v>
      </c>
      <c r="AA182">
        <v>62371</v>
      </c>
      <c r="AB182">
        <v>21491300</v>
      </c>
      <c r="AC182">
        <v>1</v>
      </c>
      <c r="AD182" s="8"/>
    </row>
    <row r="183" spans="1:30" x14ac:dyDescent="0.3">
      <c r="A183" t="s">
        <v>1627</v>
      </c>
      <c r="B183">
        <v>1428419</v>
      </c>
      <c r="D183" t="s">
        <v>7</v>
      </c>
      <c r="E183">
        <v>946766</v>
      </c>
      <c r="F183">
        <v>9015884123</v>
      </c>
      <c r="G183">
        <v>489</v>
      </c>
      <c r="H183" t="s">
        <v>481</v>
      </c>
      <c r="I183">
        <v>0</v>
      </c>
      <c r="J183" t="s">
        <v>482</v>
      </c>
      <c r="K183" t="s">
        <v>8</v>
      </c>
      <c r="L183" t="s">
        <v>67</v>
      </c>
      <c r="M183" t="s">
        <v>9</v>
      </c>
      <c r="N183" t="s">
        <v>14</v>
      </c>
      <c r="O183" s="2">
        <v>189162.55</v>
      </c>
      <c r="P183" s="3">
        <v>1751.5740000000001</v>
      </c>
      <c r="Q183" s="1">
        <v>46033</v>
      </c>
      <c r="R183" s="1">
        <v>45992</v>
      </c>
      <c r="S183" s="1">
        <v>46022</v>
      </c>
      <c r="V183" s="8">
        <v>1</v>
      </c>
      <c r="W183" t="s">
        <v>24</v>
      </c>
      <c r="X183" t="s">
        <v>483</v>
      </c>
      <c r="Y183" t="s">
        <v>10</v>
      </c>
      <c r="Z183" t="s">
        <v>11</v>
      </c>
      <c r="AA183">
        <v>62371</v>
      </c>
      <c r="AB183">
        <v>21376476</v>
      </c>
      <c r="AC183">
        <v>1</v>
      </c>
      <c r="AD183" s="8"/>
    </row>
    <row r="184" spans="1:30" x14ac:dyDescent="0.3">
      <c r="A184" t="s">
        <v>1627</v>
      </c>
      <c r="B184">
        <v>1438084</v>
      </c>
      <c r="D184" t="s">
        <v>7</v>
      </c>
      <c r="E184">
        <v>946825</v>
      </c>
      <c r="F184">
        <v>9015884123</v>
      </c>
      <c r="G184">
        <v>509</v>
      </c>
      <c r="H184" t="s">
        <v>484</v>
      </c>
      <c r="I184">
        <v>0</v>
      </c>
      <c r="J184" t="s">
        <v>485</v>
      </c>
      <c r="K184" t="s">
        <v>8</v>
      </c>
      <c r="L184" t="s">
        <v>67</v>
      </c>
      <c r="M184" t="s">
        <v>9</v>
      </c>
      <c r="N184" t="s">
        <v>14</v>
      </c>
      <c r="O184" s="2">
        <v>370939.59</v>
      </c>
      <c r="P184" s="3">
        <v>3434.761</v>
      </c>
      <c r="Q184" s="1">
        <v>46033</v>
      </c>
      <c r="R184" s="1">
        <v>45992</v>
      </c>
      <c r="S184" s="1">
        <v>46022</v>
      </c>
      <c r="V184" s="8">
        <v>1</v>
      </c>
      <c r="W184" t="s">
        <v>24</v>
      </c>
      <c r="X184" t="s">
        <v>486</v>
      </c>
      <c r="Y184" t="s">
        <v>10</v>
      </c>
      <c r="Z184" t="s">
        <v>11</v>
      </c>
      <c r="AA184">
        <v>62371</v>
      </c>
      <c r="AB184">
        <v>21467892</v>
      </c>
      <c r="AC184">
        <v>1</v>
      </c>
      <c r="AD184" s="8"/>
    </row>
    <row r="185" spans="1:30" x14ac:dyDescent="0.3">
      <c r="A185" t="s">
        <v>1627</v>
      </c>
      <c r="B185">
        <v>1428528</v>
      </c>
      <c r="D185" t="s">
        <v>7</v>
      </c>
      <c r="E185">
        <v>946806</v>
      </c>
      <c r="F185">
        <v>9015884123</v>
      </c>
      <c r="G185">
        <v>503</v>
      </c>
      <c r="H185" t="s">
        <v>487</v>
      </c>
      <c r="I185">
        <v>0</v>
      </c>
      <c r="J185" t="s">
        <v>488</v>
      </c>
      <c r="K185" t="s">
        <v>8</v>
      </c>
      <c r="L185" t="s">
        <v>18</v>
      </c>
      <c r="M185" t="s">
        <v>9</v>
      </c>
      <c r="N185" t="s">
        <v>14</v>
      </c>
      <c r="O185" s="2">
        <v>-1.56</v>
      </c>
      <c r="P185" s="3">
        <v>0</v>
      </c>
      <c r="Q185" s="1">
        <v>46033</v>
      </c>
      <c r="R185" s="1">
        <v>45992</v>
      </c>
      <c r="S185" s="1">
        <v>46022</v>
      </c>
      <c r="V185" s="8">
        <v>1</v>
      </c>
      <c r="W185" t="s">
        <v>24</v>
      </c>
      <c r="X185" t="s">
        <v>489</v>
      </c>
      <c r="Y185" t="s">
        <v>10</v>
      </c>
      <c r="Z185" t="s">
        <v>11</v>
      </c>
      <c r="AA185">
        <v>62371</v>
      </c>
      <c r="AB185">
        <v>21376634</v>
      </c>
      <c r="AC185">
        <v>1</v>
      </c>
      <c r="AD185" s="8"/>
    </row>
    <row r="186" spans="1:30" x14ac:dyDescent="0.3">
      <c r="A186" t="s">
        <v>1627</v>
      </c>
      <c r="B186">
        <v>1428422</v>
      </c>
      <c r="D186" t="s">
        <v>7</v>
      </c>
      <c r="E186">
        <v>946784</v>
      </c>
      <c r="F186">
        <v>9015884123</v>
      </c>
      <c r="G186">
        <v>496</v>
      </c>
      <c r="H186" t="s">
        <v>490</v>
      </c>
      <c r="I186">
        <v>0</v>
      </c>
      <c r="J186" t="s">
        <v>491</v>
      </c>
      <c r="K186" t="s">
        <v>8</v>
      </c>
      <c r="L186" t="s">
        <v>19</v>
      </c>
      <c r="M186" t="s">
        <v>9</v>
      </c>
      <c r="N186" t="s">
        <v>14</v>
      </c>
      <c r="O186" s="2">
        <v>4798.42</v>
      </c>
      <c r="P186" s="3">
        <v>29.41</v>
      </c>
      <c r="Q186" s="1">
        <v>46033</v>
      </c>
      <c r="R186" s="1">
        <v>45992</v>
      </c>
      <c r="S186" s="1">
        <v>46022</v>
      </c>
      <c r="V186" s="8">
        <v>1</v>
      </c>
      <c r="W186" t="s">
        <v>24</v>
      </c>
      <c r="X186" t="s">
        <v>492</v>
      </c>
      <c r="Y186" t="s">
        <v>10</v>
      </c>
      <c r="Z186" t="s">
        <v>11</v>
      </c>
      <c r="AA186">
        <v>62371</v>
      </c>
      <c r="AB186">
        <v>21376478</v>
      </c>
      <c r="AC186">
        <v>1</v>
      </c>
      <c r="AD186" s="8"/>
    </row>
    <row r="187" spans="1:30" x14ac:dyDescent="0.3">
      <c r="A187" t="s">
        <v>1627</v>
      </c>
      <c r="B187">
        <v>1428424</v>
      </c>
      <c r="D187" t="s">
        <v>7</v>
      </c>
      <c r="E187">
        <v>946791</v>
      </c>
      <c r="F187">
        <v>9015884123</v>
      </c>
      <c r="G187">
        <v>498</v>
      </c>
      <c r="H187" t="s">
        <v>493</v>
      </c>
      <c r="I187">
        <v>0</v>
      </c>
      <c r="J187" t="s">
        <v>494</v>
      </c>
      <c r="K187" t="s">
        <v>8</v>
      </c>
      <c r="L187" t="s">
        <v>18</v>
      </c>
      <c r="M187" t="s">
        <v>9</v>
      </c>
      <c r="N187" t="s">
        <v>14</v>
      </c>
      <c r="O187" s="2">
        <v>0</v>
      </c>
      <c r="P187" s="3">
        <v>0</v>
      </c>
      <c r="Q187" s="1">
        <v>46033</v>
      </c>
      <c r="R187" s="1">
        <v>45992</v>
      </c>
      <c r="S187" s="1">
        <v>46022</v>
      </c>
      <c r="V187" s="8">
        <v>1</v>
      </c>
      <c r="W187" t="s">
        <v>24</v>
      </c>
      <c r="X187" t="s">
        <v>495</v>
      </c>
      <c r="Y187" t="s">
        <v>10</v>
      </c>
      <c r="Z187" t="s">
        <v>11</v>
      </c>
      <c r="AA187">
        <v>62371</v>
      </c>
      <c r="AB187">
        <v>21376440</v>
      </c>
      <c r="AC187">
        <v>1</v>
      </c>
      <c r="AD187" s="8"/>
    </row>
    <row r="188" spans="1:30" x14ac:dyDescent="0.3">
      <c r="A188" t="s">
        <v>1627</v>
      </c>
      <c r="B188">
        <v>1428403</v>
      </c>
      <c r="D188" t="s">
        <v>7</v>
      </c>
      <c r="E188">
        <v>946725</v>
      </c>
      <c r="F188">
        <v>9015884123</v>
      </c>
      <c r="G188">
        <v>476</v>
      </c>
      <c r="H188" t="s">
        <v>496</v>
      </c>
      <c r="I188">
        <v>0</v>
      </c>
      <c r="J188" t="s">
        <v>497</v>
      </c>
      <c r="K188" t="s">
        <v>8</v>
      </c>
      <c r="L188" t="s">
        <v>15</v>
      </c>
      <c r="M188" t="s">
        <v>9</v>
      </c>
      <c r="N188" t="s">
        <v>14</v>
      </c>
      <c r="O188" s="2">
        <v>0</v>
      </c>
      <c r="P188" s="3">
        <v>1204.2460000000001</v>
      </c>
      <c r="Q188" s="1">
        <v>46033</v>
      </c>
      <c r="R188" s="1">
        <v>45992</v>
      </c>
      <c r="S188" s="1">
        <v>46022</v>
      </c>
      <c r="V188" s="8">
        <v>1</v>
      </c>
      <c r="W188" t="s">
        <v>24</v>
      </c>
      <c r="X188" t="s">
        <v>498</v>
      </c>
      <c r="Y188" t="s">
        <v>10</v>
      </c>
      <c r="Z188" t="s">
        <v>11</v>
      </c>
      <c r="AA188">
        <v>62371</v>
      </c>
      <c r="AB188">
        <v>21376435</v>
      </c>
      <c r="AC188">
        <v>1</v>
      </c>
      <c r="AD188" s="8"/>
    </row>
    <row r="189" spans="1:30" x14ac:dyDescent="0.3">
      <c r="A189" t="s">
        <v>1627</v>
      </c>
      <c r="B189">
        <v>1428415</v>
      </c>
      <c r="D189" t="s">
        <v>7</v>
      </c>
      <c r="E189">
        <v>946762</v>
      </c>
      <c r="F189">
        <v>9015884123</v>
      </c>
      <c r="G189">
        <v>488</v>
      </c>
      <c r="H189" t="s">
        <v>499</v>
      </c>
      <c r="I189">
        <v>0</v>
      </c>
      <c r="J189" t="s">
        <v>500</v>
      </c>
      <c r="K189" t="s">
        <v>8</v>
      </c>
      <c r="L189" t="s">
        <v>15</v>
      </c>
      <c r="M189" t="s">
        <v>9</v>
      </c>
      <c r="N189" t="s">
        <v>14</v>
      </c>
      <c r="O189" s="2">
        <v>0</v>
      </c>
      <c r="P189" s="3">
        <v>2448.91</v>
      </c>
      <c r="Q189" s="1">
        <v>46033</v>
      </c>
      <c r="R189" s="1">
        <v>45992</v>
      </c>
      <c r="S189" s="1">
        <v>46022</v>
      </c>
      <c r="V189" s="8">
        <v>1</v>
      </c>
      <c r="W189" t="s">
        <v>24</v>
      </c>
      <c r="X189" t="s">
        <v>501</v>
      </c>
      <c r="Y189" t="s">
        <v>10</v>
      </c>
      <c r="Z189" t="s">
        <v>11</v>
      </c>
      <c r="AA189">
        <v>62371</v>
      </c>
      <c r="AB189">
        <v>21376432</v>
      </c>
      <c r="AC189">
        <v>1</v>
      </c>
      <c r="AD189" s="8"/>
    </row>
    <row r="190" spans="1:30" x14ac:dyDescent="0.3">
      <c r="A190" t="s">
        <v>1627</v>
      </c>
      <c r="B190">
        <v>1428419</v>
      </c>
      <c r="D190" t="s">
        <v>7</v>
      </c>
      <c r="E190">
        <v>946766</v>
      </c>
      <c r="F190">
        <v>9015884123</v>
      </c>
      <c r="G190">
        <v>489</v>
      </c>
      <c r="H190" t="s">
        <v>481</v>
      </c>
      <c r="I190">
        <v>0</v>
      </c>
      <c r="J190" t="s">
        <v>482</v>
      </c>
      <c r="K190" t="s">
        <v>8</v>
      </c>
      <c r="L190" t="s">
        <v>18</v>
      </c>
      <c r="M190" t="s">
        <v>9</v>
      </c>
      <c r="N190" t="s">
        <v>14</v>
      </c>
      <c r="O190" s="2">
        <v>2.68</v>
      </c>
      <c r="P190" s="3">
        <v>0</v>
      </c>
      <c r="Q190" s="1">
        <v>46033</v>
      </c>
      <c r="R190" s="1">
        <v>45992</v>
      </c>
      <c r="S190" s="1">
        <v>46022</v>
      </c>
      <c r="V190" s="8">
        <v>1</v>
      </c>
      <c r="W190" t="s">
        <v>24</v>
      </c>
      <c r="X190" t="s">
        <v>483</v>
      </c>
      <c r="Y190" t="s">
        <v>10</v>
      </c>
      <c r="Z190" t="s">
        <v>11</v>
      </c>
      <c r="AA190">
        <v>62371</v>
      </c>
      <c r="AB190">
        <v>21376476</v>
      </c>
      <c r="AC190">
        <v>1</v>
      </c>
      <c r="AD190" s="8"/>
    </row>
    <row r="191" spans="1:30" x14ac:dyDescent="0.3">
      <c r="A191" t="s">
        <v>1627</v>
      </c>
      <c r="B191">
        <v>1408277</v>
      </c>
      <c r="D191" t="s">
        <v>7</v>
      </c>
      <c r="E191">
        <v>946812</v>
      </c>
      <c r="F191">
        <v>9015884123</v>
      </c>
      <c r="G191">
        <v>505</v>
      </c>
      <c r="H191" t="s">
        <v>502</v>
      </c>
      <c r="I191">
        <v>0</v>
      </c>
      <c r="J191" t="s">
        <v>503</v>
      </c>
      <c r="K191" t="s">
        <v>8</v>
      </c>
      <c r="L191" t="s">
        <v>67</v>
      </c>
      <c r="M191" t="s">
        <v>9</v>
      </c>
      <c r="N191" t="s">
        <v>14</v>
      </c>
      <c r="O191" s="2">
        <v>501574.81</v>
      </c>
      <c r="P191" s="3">
        <v>4644.3940000000002</v>
      </c>
      <c r="Q191" s="1">
        <v>46033</v>
      </c>
      <c r="R191" s="1">
        <v>45992</v>
      </c>
      <c r="S191" s="1">
        <v>46022</v>
      </c>
      <c r="V191" s="8">
        <v>1</v>
      </c>
      <c r="W191" t="s">
        <v>24</v>
      </c>
      <c r="X191" t="s">
        <v>504</v>
      </c>
      <c r="Y191" t="s">
        <v>10</v>
      </c>
      <c r="Z191" t="s">
        <v>11</v>
      </c>
      <c r="AA191">
        <v>62371</v>
      </c>
      <c r="AB191">
        <v>21318496</v>
      </c>
      <c r="AC191">
        <v>1</v>
      </c>
      <c r="AD191" s="8"/>
    </row>
    <row r="192" spans="1:30" x14ac:dyDescent="0.3">
      <c r="A192" t="s">
        <v>1627</v>
      </c>
      <c r="B192">
        <v>1438084</v>
      </c>
      <c r="D192" t="s">
        <v>7</v>
      </c>
      <c r="E192">
        <v>946825</v>
      </c>
      <c r="F192">
        <v>9015884123</v>
      </c>
      <c r="G192">
        <v>509</v>
      </c>
      <c r="H192" t="s">
        <v>484</v>
      </c>
      <c r="I192">
        <v>0</v>
      </c>
      <c r="J192" t="s">
        <v>485</v>
      </c>
      <c r="K192" t="s">
        <v>8</v>
      </c>
      <c r="L192" t="s">
        <v>19</v>
      </c>
      <c r="M192" t="s">
        <v>9</v>
      </c>
      <c r="N192" t="s">
        <v>14</v>
      </c>
      <c r="O192" s="2">
        <v>32295.11</v>
      </c>
      <c r="P192" s="3">
        <v>197.94</v>
      </c>
      <c r="Q192" s="1">
        <v>46033</v>
      </c>
      <c r="R192" s="1">
        <v>45992</v>
      </c>
      <c r="S192" s="1">
        <v>46022</v>
      </c>
      <c r="V192" s="8">
        <v>1</v>
      </c>
      <c r="W192" t="s">
        <v>24</v>
      </c>
      <c r="X192" t="s">
        <v>486</v>
      </c>
      <c r="Y192" t="s">
        <v>10</v>
      </c>
      <c r="Z192" t="s">
        <v>11</v>
      </c>
      <c r="AA192">
        <v>62371</v>
      </c>
      <c r="AB192">
        <v>21467892</v>
      </c>
      <c r="AC192">
        <v>1</v>
      </c>
      <c r="AD192" s="8"/>
    </row>
    <row r="193" spans="1:30" x14ac:dyDescent="0.3">
      <c r="A193" t="s">
        <v>1627</v>
      </c>
      <c r="B193">
        <v>1428405</v>
      </c>
      <c r="D193" t="s">
        <v>7</v>
      </c>
      <c r="E193">
        <v>946735</v>
      </c>
      <c r="F193">
        <v>9015884123</v>
      </c>
      <c r="G193">
        <v>479</v>
      </c>
      <c r="H193" t="s">
        <v>505</v>
      </c>
      <c r="I193">
        <v>0</v>
      </c>
      <c r="J193" t="s">
        <v>506</v>
      </c>
      <c r="K193" t="s">
        <v>8</v>
      </c>
      <c r="L193" t="s">
        <v>67</v>
      </c>
      <c r="M193" t="s">
        <v>9</v>
      </c>
      <c r="N193" t="s">
        <v>14</v>
      </c>
      <c r="O193" s="2">
        <v>262379.02</v>
      </c>
      <c r="P193" s="3">
        <v>2429.5309999999999</v>
      </c>
      <c r="Q193" s="1">
        <v>46033</v>
      </c>
      <c r="R193" s="1">
        <v>45992</v>
      </c>
      <c r="S193" s="1">
        <v>46022</v>
      </c>
      <c r="V193" s="8">
        <v>1</v>
      </c>
      <c r="W193" t="s">
        <v>24</v>
      </c>
      <c r="X193" t="s">
        <v>507</v>
      </c>
      <c r="Y193" t="s">
        <v>10</v>
      </c>
      <c r="Z193" t="s">
        <v>11</v>
      </c>
      <c r="AA193">
        <v>62371</v>
      </c>
      <c r="AB193">
        <v>21376434</v>
      </c>
      <c r="AC193">
        <v>1</v>
      </c>
      <c r="AD193" s="8"/>
    </row>
    <row r="194" spans="1:30" x14ac:dyDescent="0.3">
      <c r="A194" t="s">
        <v>1627</v>
      </c>
      <c r="B194">
        <v>1438069</v>
      </c>
      <c r="D194" t="s">
        <v>7</v>
      </c>
      <c r="E194">
        <v>946828</v>
      </c>
      <c r="F194">
        <v>9015884123</v>
      </c>
      <c r="G194">
        <v>510</v>
      </c>
      <c r="H194" t="s">
        <v>508</v>
      </c>
      <c r="I194">
        <v>0</v>
      </c>
      <c r="J194" t="s">
        <v>509</v>
      </c>
      <c r="K194" t="s">
        <v>8</v>
      </c>
      <c r="L194" t="s">
        <v>18</v>
      </c>
      <c r="M194" t="s">
        <v>9</v>
      </c>
      <c r="N194" t="s">
        <v>14</v>
      </c>
      <c r="O194" s="2">
        <v>-1.97</v>
      </c>
      <c r="P194" s="3">
        <v>0</v>
      </c>
      <c r="Q194" s="1">
        <v>46033</v>
      </c>
      <c r="R194" s="1">
        <v>45992</v>
      </c>
      <c r="S194" s="1">
        <v>46022</v>
      </c>
      <c r="V194" s="8">
        <v>1</v>
      </c>
      <c r="W194" t="s">
        <v>24</v>
      </c>
      <c r="X194" t="s">
        <v>510</v>
      </c>
      <c r="Y194" t="s">
        <v>10</v>
      </c>
      <c r="Z194" t="s">
        <v>11</v>
      </c>
      <c r="AA194">
        <v>62371</v>
      </c>
      <c r="AB194">
        <v>21376399</v>
      </c>
      <c r="AC194">
        <v>1</v>
      </c>
      <c r="AD194" s="8"/>
    </row>
    <row r="195" spans="1:30" x14ac:dyDescent="0.3">
      <c r="A195" t="s">
        <v>1627</v>
      </c>
      <c r="B195">
        <v>1428409</v>
      </c>
      <c r="D195" t="s">
        <v>7</v>
      </c>
      <c r="E195">
        <v>946759</v>
      </c>
      <c r="F195">
        <v>9015884123</v>
      </c>
      <c r="G195">
        <v>487</v>
      </c>
      <c r="H195" t="s">
        <v>511</v>
      </c>
      <c r="I195">
        <v>0</v>
      </c>
      <c r="J195" t="s">
        <v>512</v>
      </c>
      <c r="K195" t="s">
        <v>8</v>
      </c>
      <c r="L195" t="s">
        <v>18</v>
      </c>
      <c r="M195" t="s">
        <v>9</v>
      </c>
      <c r="N195" t="s">
        <v>14</v>
      </c>
      <c r="O195" s="2">
        <v>-3.92</v>
      </c>
      <c r="P195" s="3">
        <v>0</v>
      </c>
      <c r="Q195" s="1">
        <v>46033</v>
      </c>
      <c r="R195" s="1">
        <v>45992</v>
      </c>
      <c r="S195" s="1">
        <v>46022</v>
      </c>
      <c r="V195" s="8">
        <v>1</v>
      </c>
      <c r="W195" t="s">
        <v>24</v>
      </c>
      <c r="X195" t="s">
        <v>513</v>
      </c>
      <c r="Y195" t="s">
        <v>10</v>
      </c>
      <c r="Z195" t="s">
        <v>11</v>
      </c>
      <c r="AA195">
        <v>62371</v>
      </c>
      <c r="AB195">
        <v>21376443</v>
      </c>
      <c r="AC195">
        <v>1</v>
      </c>
      <c r="AD195" s="8"/>
    </row>
    <row r="196" spans="1:30" x14ac:dyDescent="0.3">
      <c r="A196" t="s">
        <v>1627</v>
      </c>
      <c r="B196">
        <v>1428421</v>
      </c>
      <c r="D196" t="s">
        <v>7</v>
      </c>
      <c r="E196">
        <v>946775</v>
      </c>
      <c r="F196">
        <v>9015884123</v>
      </c>
      <c r="G196">
        <v>493</v>
      </c>
      <c r="H196" t="s">
        <v>514</v>
      </c>
      <c r="I196">
        <v>0</v>
      </c>
      <c r="J196" t="s">
        <v>515</v>
      </c>
      <c r="K196" t="s">
        <v>8</v>
      </c>
      <c r="L196" t="s">
        <v>19</v>
      </c>
      <c r="M196" t="s">
        <v>9</v>
      </c>
      <c r="N196" t="s">
        <v>14</v>
      </c>
      <c r="O196" s="2">
        <v>2435.1</v>
      </c>
      <c r="P196" s="3">
        <v>14.925000000000001</v>
      </c>
      <c r="Q196" s="1">
        <v>46033</v>
      </c>
      <c r="R196" s="1">
        <v>45992</v>
      </c>
      <c r="S196" s="1">
        <v>46022</v>
      </c>
      <c r="V196" s="8">
        <v>1</v>
      </c>
      <c r="W196" t="s">
        <v>24</v>
      </c>
      <c r="X196" t="s">
        <v>516</v>
      </c>
      <c r="Y196" t="s">
        <v>10</v>
      </c>
      <c r="Z196" t="s">
        <v>11</v>
      </c>
      <c r="AA196">
        <v>62371</v>
      </c>
      <c r="AB196">
        <v>21376482</v>
      </c>
      <c r="AC196">
        <v>1</v>
      </c>
      <c r="AD196" s="8"/>
    </row>
    <row r="197" spans="1:30" x14ac:dyDescent="0.3">
      <c r="A197" t="s">
        <v>1627</v>
      </c>
      <c r="B197">
        <v>1428421</v>
      </c>
      <c r="D197" t="s">
        <v>7</v>
      </c>
      <c r="E197">
        <v>946775</v>
      </c>
      <c r="F197">
        <v>9015884123</v>
      </c>
      <c r="G197">
        <v>493</v>
      </c>
      <c r="H197" t="s">
        <v>514</v>
      </c>
      <c r="I197">
        <v>0</v>
      </c>
      <c r="J197" t="s">
        <v>515</v>
      </c>
      <c r="K197" t="s">
        <v>8</v>
      </c>
      <c r="L197" t="s">
        <v>18</v>
      </c>
      <c r="M197" t="s">
        <v>9</v>
      </c>
      <c r="N197" t="s">
        <v>14</v>
      </c>
      <c r="O197" s="2">
        <v>-3.87</v>
      </c>
      <c r="P197" s="3">
        <v>0</v>
      </c>
      <c r="Q197" s="1">
        <v>46033</v>
      </c>
      <c r="R197" s="1">
        <v>45992</v>
      </c>
      <c r="S197" s="1">
        <v>46022</v>
      </c>
      <c r="V197" s="8">
        <v>1</v>
      </c>
      <c r="W197" t="s">
        <v>24</v>
      </c>
      <c r="X197" t="s">
        <v>516</v>
      </c>
      <c r="Y197" t="s">
        <v>10</v>
      </c>
      <c r="Z197" t="s">
        <v>11</v>
      </c>
      <c r="AA197">
        <v>62371</v>
      </c>
      <c r="AB197">
        <v>21376482</v>
      </c>
      <c r="AC197">
        <v>1</v>
      </c>
      <c r="AD197" s="8"/>
    </row>
    <row r="198" spans="1:30" x14ac:dyDescent="0.3">
      <c r="A198" t="s">
        <v>1627</v>
      </c>
      <c r="B198">
        <v>1428437</v>
      </c>
      <c r="D198" t="s">
        <v>7</v>
      </c>
      <c r="E198">
        <v>946794</v>
      </c>
      <c r="F198">
        <v>9015884123</v>
      </c>
      <c r="G198">
        <v>499</v>
      </c>
      <c r="H198" t="s">
        <v>517</v>
      </c>
      <c r="I198">
        <v>0</v>
      </c>
      <c r="J198" t="s">
        <v>518</v>
      </c>
      <c r="K198" t="s">
        <v>8</v>
      </c>
      <c r="L198" t="s">
        <v>67</v>
      </c>
      <c r="M198" t="s">
        <v>9</v>
      </c>
      <c r="N198" t="s">
        <v>14</v>
      </c>
      <c r="O198" s="2">
        <v>256877.5</v>
      </c>
      <c r="P198" s="3">
        <v>2378.5889999999999</v>
      </c>
      <c r="Q198" s="1">
        <v>46033</v>
      </c>
      <c r="R198" s="1">
        <v>45992</v>
      </c>
      <c r="S198" s="1">
        <v>46022</v>
      </c>
      <c r="V198" s="8">
        <v>1</v>
      </c>
      <c r="W198" t="s">
        <v>24</v>
      </c>
      <c r="X198" t="s">
        <v>519</v>
      </c>
      <c r="Y198" t="s">
        <v>10</v>
      </c>
      <c r="Z198" t="s">
        <v>11</v>
      </c>
      <c r="AA198">
        <v>62371</v>
      </c>
      <c r="AB198">
        <v>21491290</v>
      </c>
      <c r="AC198">
        <v>1</v>
      </c>
      <c r="AD198" s="8"/>
    </row>
    <row r="199" spans="1:30" x14ac:dyDescent="0.3">
      <c r="A199" t="s">
        <v>1627</v>
      </c>
      <c r="B199">
        <v>1441790</v>
      </c>
      <c r="D199" t="s">
        <v>7</v>
      </c>
      <c r="E199">
        <v>946845</v>
      </c>
      <c r="F199">
        <v>9015884123</v>
      </c>
      <c r="G199">
        <v>516</v>
      </c>
      <c r="H199" t="s">
        <v>520</v>
      </c>
      <c r="I199">
        <v>0</v>
      </c>
      <c r="J199" t="s">
        <v>521</v>
      </c>
      <c r="K199" t="s">
        <v>8</v>
      </c>
      <c r="L199" t="s">
        <v>19</v>
      </c>
      <c r="M199" t="s">
        <v>9</v>
      </c>
      <c r="N199" t="s">
        <v>14</v>
      </c>
      <c r="O199" s="2">
        <v>25777.02</v>
      </c>
      <c r="P199" s="3">
        <v>157.99</v>
      </c>
      <c r="Q199" s="1">
        <v>46033</v>
      </c>
      <c r="R199" s="1">
        <v>45992</v>
      </c>
      <c r="S199" s="1">
        <v>46022</v>
      </c>
      <c r="V199" s="8">
        <v>1</v>
      </c>
      <c r="W199" t="s">
        <v>24</v>
      </c>
      <c r="X199" t="s">
        <v>522</v>
      </c>
      <c r="Y199" t="s">
        <v>10</v>
      </c>
      <c r="Z199" t="s">
        <v>11</v>
      </c>
      <c r="AA199">
        <v>62371</v>
      </c>
      <c r="AB199">
        <v>19889947</v>
      </c>
      <c r="AC199">
        <v>1</v>
      </c>
      <c r="AD199" s="8"/>
    </row>
    <row r="200" spans="1:30" x14ac:dyDescent="0.3">
      <c r="A200" t="s">
        <v>1627</v>
      </c>
      <c r="B200">
        <v>1282988</v>
      </c>
      <c r="D200" t="s">
        <v>7</v>
      </c>
      <c r="E200">
        <v>945173</v>
      </c>
      <c r="F200">
        <v>9015884123</v>
      </c>
      <c r="G200">
        <v>4</v>
      </c>
      <c r="H200" t="s">
        <v>523</v>
      </c>
      <c r="I200">
        <v>0</v>
      </c>
      <c r="J200" t="s">
        <v>524</v>
      </c>
      <c r="K200" t="s">
        <v>8</v>
      </c>
      <c r="L200" t="s">
        <v>19</v>
      </c>
      <c r="M200" t="s">
        <v>9</v>
      </c>
      <c r="N200" t="s">
        <v>14</v>
      </c>
      <c r="O200" s="2">
        <v>20176.2</v>
      </c>
      <c r="P200" s="3">
        <v>123.66200000000001</v>
      </c>
      <c r="Q200" s="1">
        <v>46033</v>
      </c>
      <c r="R200" s="1">
        <v>45992</v>
      </c>
      <c r="S200" s="1">
        <v>46022</v>
      </c>
      <c r="V200" s="8">
        <v>1</v>
      </c>
      <c r="W200" t="s">
        <v>24</v>
      </c>
      <c r="X200" t="s">
        <v>525</v>
      </c>
      <c r="Y200" t="s">
        <v>10</v>
      </c>
      <c r="Z200" t="s">
        <v>11</v>
      </c>
      <c r="AA200">
        <v>62371</v>
      </c>
      <c r="AB200">
        <v>17174041</v>
      </c>
      <c r="AC200">
        <v>1</v>
      </c>
      <c r="AD200" s="8"/>
    </row>
    <row r="201" spans="1:30" x14ac:dyDescent="0.3">
      <c r="A201" t="s">
        <v>1627</v>
      </c>
      <c r="B201">
        <v>1444791</v>
      </c>
      <c r="D201" t="s">
        <v>7</v>
      </c>
      <c r="E201">
        <v>946862</v>
      </c>
      <c r="F201">
        <v>9015884123</v>
      </c>
      <c r="G201">
        <v>521</v>
      </c>
      <c r="H201" t="s">
        <v>526</v>
      </c>
      <c r="I201">
        <v>0</v>
      </c>
      <c r="J201" t="s">
        <v>527</v>
      </c>
      <c r="K201" t="s">
        <v>8</v>
      </c>
      <c r="L201" t="s">
        <v>67</v>
      </c>
      <c r="M201" t="s">
        <v>9</v>
      </c>
      <c r="N201" t="s">
        <v>14</v>
      </c>
      <c r="O201" s="2">
        <v>4433681.24</v>
      </c>
      <c r="P201" s="3">
        <v>53961.294999999998</v>
      </c>
      <c r="Q201" s="1">
        <v>46033</v>
      </c>
      <c r="R201" s="1">
        <v>45992</v>
      </c>
      <c r="S201" s="1">
        <v>46022</v>
      </c>
      <c r="V201" s="8">
        <v>2</v>
      </c>
      <c r="W201" t="s">
        <v>24</v>
      </c>
      <c r="X201" t="s">
        <v>528</v>
      </c>
      <c r="Y201" t="s">
        <v>10</v>
      </c>
      <c r="Z201" t="s">
        <v>11</v>
      </c>
      <c r="AA201">
        <v>62371</v>
      </c>
      <c r="AB201">
        <v>17055446</v>
      </c>
      <c r="AC201">
        <v>1</v>
      </c>
      <c r="AD201" s="8"/>
    </row>
    <row r="202" spans="1:30" x14ac:dyDescent="0.3">
      <c r="A202" t="s">
        <v>1627</v>
      </c>
      <c r="B202">
        <v>1308499</v>
      </c>
      <c r="D202" t="s">
        <v>7</v>
      </c>
      <c r="E202">
        <v>945175</v>
      </c>
      <c r="F202">
        <v>9015884123</v>
      </c>
      <c r="G202">
        <v>40</v>
      </c>
      <c r="H202" t="s">
        <v>529</v>
      </c>
      <c r="I202">
        <v>0</v>
      </c>
      <c r="J202" t="s">
        <v>530</v>
      </c>
      <c r="K202" t="s">
        <v>8</v>
      </c>
      <c r="L202" t="s">
        <v>15</v>
      </c>
      <c r="M202" t="s">
        <v>9</v>
      </c>
      <c r="N202" t="s">
        <v>14</v>
      </c>
      <c r="O202" s="2">
        <v>0</v>
      </c>
      <c r="P202" s="3">
        <v>7779.1639999999998</v>
      </c>
      <c r="Q202" s="1">
        <v>46033</v>
      </c>
      <c r="R202" s="1">
        <v>45992</v>
      </c>
      <c r="S202" s="1">
        <v>46022</v>
      </c>
      <c r="V202" s="8">
        <v>1</v>
      </c>
      <c r="W202" t="s">
        <v>24</v>
      </c>
      <c r="X202" t="s">
        <v>531</v>
      </c>
      <c r="Y202" t="s">
        <v>10</v>
      </c>
      <c r="Z202" t="s">
        <v>11</v>
      </c>
      <c r="AA202">
        <v>62371</v>
      </c>
      <c r="AB202">
        <v>17530931</v>
      </c>
      <c r="AC202">
        <v>0</v>
      </c>
      <c r="AD202" s="8"/>
    </row>
    <row r="203" spans="1:30" x14ac:dyDescent="0.3">
      <c r="A203" t="s">
        <v>1627</v>
      </c>
      <c r="B203">
        <v>1444836</v>
      </c>
      <c r="D203" t="s">
        <v>7</v>
      </c>
      <c r="E203">
        <v>946867</v>
      </c>
      <c r="F203">
        <v>9015884123</v>
      </c>
      <c r="G203">
        <v>522</v>
      </c>
      <c r="H203" t="s">
        <v>532</v>
      </c>
      <c r="I203">
        <v>0</v>
      </c>
      <c r="J203" t="s">
        <v>533</v>
      </c>
      <c r="K203" t="s">
        <v>8</v>
      </c>
      <c r="L203" t="s">
        <v>67</v>
      </c>
      <c r="M203" t="s">
        <v>9</v>
      </c>
      <c r="N203" t="s">
        <v>14</v>
      </c>
      <c r="O203" s="2">
        <v>587429.5</v>
      </c>
      <c r="P203" s="3">
        <v>4124.2960000000003</v>
      </c>
      <c r="Q203" s="1">
        <v>46033</v>
      </c>
      <c r="R203" s="1">
        <v>45992</v>
      </c>
      <c r="S203" s="1">
        <v>46022</v>
      </c>
      <c r="V203" s="8">
        <v>1</v>
      </c>
      <c r="W203" t="s">
        <v>24</v>
      </c>
      <c r="X203" t="s">
        <v>534</v>
      </c>
      <c r="Y203" t="s">
        <v>10</v>
      </c>
      <c r="Z203" t="s">
        <v>11</v>
      </c>
      <c r="AA203">
        <v>62371</v>
      </c>
      <c r="AB203">
        <v>18615897</v>
      </c>
      <c r="AC203">
        <v>0</v>
      </c>
      <c r="AD203" s="8"/>
    </row>
    <row r="204" spans="1:30" x14ac:dyDescent="0.3">
      <c r="A204" t="s">
        <v>1627</v>
      </c>
      <c r="B204">
        <v>1446205</v>
      </c>
      <c r="D204" t="s">
        <v>7</v>
      </c>
      <c r="E204">
        <v>946898</v>
      </c>
      <c r="F204">
        <v>9015884123</v>
      </c>
      <c r="G204">
        <v>530</v>
      </c>
      <c r="H204" t="s">
        <v>535</v>
      </c>
      <c r="I204">
        <v>0</v>
      </c>
      <c r="J204" t="s">
        <v>536</v>
      </c>
      <c r="K204" t="s">
        <v>8</v>
      </c>
      <c r="L204" t="s">
        <v>15</v>
      </c>
      <c r="M204" t="s">
        <v>9</v>
      </c>
      <c r="N204" t="s">
        <v>14</v>
      </c>
      <c r="O204" s="2">
        <v>0</v>
      </c>
      <c r="P204" s="3">
        <v>32129.625</v>
      </c>
      <c r="Q204" s="1">
        <v>46033</v>
      </c>
      <c r="R204" s="1">
        <v>45992</v>
      </c>
      <c r="S204" s="1">
        <v>46022</v>
      </c>
      <c r="V204" s="8">
        <v>1</v>
      </c>
      <c r="W204" t="s">
        <v>24</v>
      </c>
      <c r="X204" t="s">
        <v>537</v>
      </c>
      <c r="Y204" t="s">
        <v>10</v>
      </c>
      <c r="Z204" t="s">
        <v>11</v>
      </c>
      <c r="AA204">
        <v>62371</v>
      </c>
      <c r="AB204">
        <v>21127206</v>
      </c>
      <c r="AC204">
        <v>1</v>
      </c>
      <c r="AD204" s="8"/>
    </row>
    <row r="205" spans="1:30" x14ac:dyDescent="0.3">
      <c r="A205" t="s">
        <v>1627</v>
      </c>
      <c r="B205">
        <v>1446201</v>
      </c>
      <c r="D205" t="s">
        <v>7</v>
      </c>
      <c r="E205">
        <v>946884</v>
      </c>
      <c r="F205">
        <v>9015884123</v>
      </c>
      <c r="G205">
        <v>526</v>
      </c>
      <c r="H205" t="s">
        <v>538</v>
      </c>
      <c r="I205">
        <v>0</v>
      </c>
      <c r="J205" t="s">
        <v>539</v>
      </c>
      <c r="K205" t="s">
        <v>8</v>
      </c>
      <c r="L205" t="s">
        <v>15</v>
      </c>
      <c r="M205" t="s">
        <v>9</v>
      </c>
      <c r="N205" t="s">
        <v>14</v>
      </c>
      <c r="O205" s="2">
        <v>0</v>
      </c>
      <c r="P205" s="3">
        <v>11534.266</v>
      </c>
      <c r="Q205" s="1">
        <v>46033</v>
      </c>
      <c r="R205" s="1">
        <v>45992</v>
      </c>
      <c r="S205" s="1">
        <v>46022</v>
      </c>
      <c r="V205" s="8">
        <v>1</v>
      </c>
      <c r="W205" t="s">
        <v>24</v>
      </c>
      <c r="X205" t="s">
        <v>540</v>
      </c>
      <c r="Y205" t="s">
        <v>10</v>
      </c>
      <c r="Z205" t="s">
        <v>11</v>
      </c>
      <c r="AA205">
        <v>62371</v>
      </c>
      <c r="AB205">
        <v>18415479</v>
      </c>
      <c r="AC205">
        <v>1</v>
      </c>
      <c r="AD205" s="8"/>
    </row>
    <row r="206" spans="1:30" x14ac:dyDescent="0.3">
      <c r="A206" t="s">
        <v>1627</v>
      </c>
      <c r="B206">
        <v>1296894</v>
      </c>
      <c r="D206" t="s">
        <v>7</v>
      </c>
      <c r="E206">
        <v>945121</v>
      </c>
      <c r="F206">
        <v>9015884123</v>
      </c>
      <c r="G206">
        <v>13</v>
      </c>
      <c r="H206" t="s">
        <v>541</v>
      </c>
      <c r="I206">
        <v>0</v>
      </c>
      <c r="J206" t="s">
        <v>542</v>
      </c>
      <c r="K206" t="s">
        <v>8</v>
      </c>
      <c r="L206" t="s">
        <v>19</v>
      </c>
      <c r="M206" t="s">
        <v>9</v>
      </c>
      <c r="N206" t="s">
        <v>14</v>
      </c>
      <c r="O206" s="2">
        <v>69.180000000000007</v>
      </c>
      <c r="P206" s="3">
        <v>0.42399999999999999</v>
      </c>
      <c r="Q206" s="1">
        <v>46033</v>
      </c>
      <c r="R206" s="1">
        <v>45992</v>
      </c>
      <c r="S206" s="1">
        <v>46022</v>
      </c>
      <c r="V206" s="8">
        <v>1</v>
      </c>
      <c r="W206" t="s">
        <v>24</v>
      </c>
      <c r="X206" t="s">
        <v>543</v>
      </c>
      <c r="Y206" t="s">
        <v>10</v>
      </c>
      <c r="Z206" t="s">
        <v>11</v>
      </c>
      <c r="AA206">
        <v>62371</v>
      </c>
      <c r="AB206">
        <v>21394692</v>
      </c>
      <c r="AC206">
        <v>1</v>
      </c>
      <c r="AD206" s="8"/>
    </row>
    <row r="207" spans="1:30" x14ac:dyDescent="0.3">
      <c r="A207" t="s">
        <v>1627</v>
      </c>
      <c r="B207">
        <v>1296894</v>
      </c>
      <c r="D207" t="s">
        <v>7</v>
      </c>
      <c r="E207">
        <v>945121</v>
      </c>
      <c r="F207">
        <v>9015884123</v>
      </c>
      <c r="G207">
        <v>13</v>
      </c>
      <c r="H207" t="s">
        <v>541</v>
      </c>
      <c r="I207">
        <v>0</v>
      </c>
      <c r="J207" t="s">
        <v>542</v>
      </c>
      <c r="K207" t="s">
        <v>8</v>
      </c>
      <c r="L207" t="s">
        <v>18</v>
      </c>
      <c r="M207" t="s">
        <v>9</v>
      </c>
      <c r="N207" t="s">
        <v>14</v>
      </c>
      <c r="O207" s="2">
        <v>0.54</v>
      </c>
      <c r="P207" s="3">
        <v>0</v>
      </c>
      <c r="Q207" s="1">
        <v>46033</v>
      </c>
      <c r="R207" s="1">
        <v>45992</v>
      </c>
      <c r="S207" s="1">
        <v>46022</v>
      </c>
      <c r="V207" s="8">
        <v>1</v>
      </c>
      <c r="W207" t="s">
        <v>24</v>
      </c>
      <c r="X207" t="s">
        <v>543</v>
      </c>
      <c r="Y207" t="s">
        <v>10</v>
      </c>
      <c r="Z207" t="s">
        <v>11</v>
      </c>
      <c r="AA207">
        <v>62371</v>
      </c>
      <c r="AB207">
        <v>21394692</v>
      </c>
      <c r="AC207">
        <v>1</v>
      </c>
      <c r="AD207" s="8"/>
    </row>
    <row r="208" spans="1:30" x14ac:dyDescent="0.3">
      <c r="A208" t="s">
        <v>1627</v>
      </c>
      <c r="B208">
        <v>1296994</v>
      </c>
      <c r="D208" t="s">
        <v>7</v>
      </c>
      <c r="E208">
        <v>945131</v>
      </c>
      <c r="F208">
        <v>9015884123</v>
      </c>
      <c r="G208">
        <v>18</v>
      </c>
      <c r="H208" t="s">
        <v>544</v>
      </c>
      <c r="I208">
        <v>0</v>
      </c>
      <c r="J208" t="s">
        <v>545</v>
      </c>
      <c r="K208" t="s">
        <v>8</v>
      </c>
      <c r="L208" t="s">
        <v>15</v>
      </c>
      <c r="M208" t="s">
        <v>9</v>
      </c>
      <c r="N208" t="s">
        <v>14</v>
      </c>
      <c r="O208" s="2">
        <v>0</v>
      </c>
      <c r="P208" s="3">
        <v>286.03500000000003</v>
      </c>
      <c r="Q208" s="1">
        <v>46033</v>
      </c>
      <c r="R208" s="1">
        <v>45992</v>
      </c>
      <c r="S208" s="1">
        <v>46022</v>
      </c>
      <c r="V208" s="8">
        <v>1</v>
      </c>
      <c r="W208" t="s">
        <v>24</v>
      </c>
      <c r="X208" t="s">
        <v>546</v>
      </c>
      <c r="Y208" t="s">
        <v>10</v>
      </c>
      <c r="Z208" t="s">
        <v>11</v>
      </c>
      <c r="AA208">
        <v>62371</v>
      </c>
      <c r="AB208">
        <v>21394676</v>
      </c>
      <c r="AC208">
        <v>1</v>
      </c>
      <c r="AD208" s="8"/>
    </row>
    <row r="209" spans="1:30" x14ac:dyDescent="0.3">
      <c r="A209" t="s">
        <v>1627</v>
      </c>
      <c r="B209">
        <v>1296995</v>
      </c>
      <c r="D209" t="s">
        <v>7</v>
      </c>
      <c r="E209">
        <v>945133</v>
      </c>
      <c r="F209">
        <v>9015884123</v>
      </c>
      <c r="G209">
        <v>19</v>
      </c>
      <c r="H209" t="s">
        <v>547</v>
      </c>
      <c r="I209">
        <v>0</v>
      </c>
      <c r="J209" t="s">
        <v>548</v>
      </c>
      <c r="K209" t="s">
        <v>8</v>
      </c>
      <c r="L209" t="s">
        <v>18</v>
      </c>
      <c r="M209" t="s">
        <v>9</v>
      </c>
      <c r="N209" t="s">
        <v>14</v>
      </c>
      <c r="O209" s="2">
        <v>-4.97</v>
      </c>
      <c r="P209" s="3">
        <v>0</v>
      </c>
      <c r="Q209" s="1">
        <v>46033</v>
      </c>
      <c r="R209" s="1">
        <v>45992</v>
      </c>
      <c r="S209" s="1">
        <v>46022</v>
      </c>
      <c r="V209" s="8">
        <v>1</v>
      </c>
      <c r="W209" t="s">
        <v>24</v>
      </c>
      <c r="X209" t="s">
        <v>549</v>
      </c>
      <c r="Y209" t="s">
        <v>10</v>
      </c>
      <c r="Z209" t="s">
        <v>11</v>
      </c>
      <c r="AA209">
        <v>62371</v>
      </c>
      <c r="AB209">
        <v>21394683</v>
      </c>
      <c r="AC209">
        <v>1</v>
      </c>
      <c r="AD209" s="8"/>
    </row>
    <row r="210" spans="1:30" x14ac:dyDescent="0.3">
      <c r="A210" t="s">
        <v>1627</v>
      </c>
      <c r="B210">
        <v>1449294</v>
      </c>
      <c r="D210" t="s">
        <v>7</v>
      </c>
      <c r="E210">
        <v>949191</v>
      </c>
      <c r="F210">
        <v>9015884123</v>
      </c>
      <c r="G210">
        <v>534</v>
      </c>
      <c r="H210" t="s">
        <v>550</v>
      </c>
      <c r="I210">
        <v>0</v>
      </c>
      <c r="J210" t="s">
        <v>551</v>
      </c>
      <c r="K210" t="s">
        <v>8</v>
      </c>
      <c r="L210" t="s">
        <v>19</v>
      </c>
      <c r="M210" t="s">
        <v>9</v>
      </c>
      <c r="N210" t="s">
        <v>14</v>
      </c>
      <c r="O210" s="2">
        <v>106.87</v>
      </c>
      <c r="P210" s="3">
        <v>0.65500000000000003</v>
      </c>
      <c r="Q210" s="1">
        <v>46035</v>
      </c>
      <c r="R210" s="1">
        <v>46011</v>
      </c>
      <c r="S210" s="1">
        <v>46022</v>
      </c>
      <c r="V210" s="8">
        <v>1</v>
      </c>
      <c r="W210" t="s">
        <v>24</v>
      </c>
      <c r="X210" t="s">
        <v>552</v>
      </c>
      <c r="Y210" t="s">
        <v>10</v>
      </c>
      <c r="Z210" t="s">
        <v>11</v>
      </c>
      <c r="AA210">
        <v>62371</v>
      </c>
      <c r="AB210">
        <v>19552434</v>
      </c>
      <c r="AC210">
        <v>1</v>
      </c>
      <c r="AD210" s="8"/>
    </row>
    <row r="211" spans="1:30" x14ac:dyDescent="0.3">
      <c r="A211" t="s">
        <v>1627</v>
      </c>
      <c r="B211">
        <v>1296990</v>
      </c>
      <c r="D211" t="s">
        <v>7</v>
      </c>
      <c r="E211">
        <v>945129</v>
      </c>
      <c r="F211">
        <v>9015884123</v>
      </c>
      <c r="G211">
        <v>17</v>
      </c>
      <c r="H211" t="s">
        <v>553</v>
      </c>
      <c r="I211">
        <v>0</v>
      </c>
      <c r="J211" t="s">
        <v>554</v>
      </c>
      <c r="K211" t="s">
        <v>8</v>
      </c>
      <c r="L211" t="s">
        <v>67</v>
      </c>
      <c r="M211" t="s">
        <v>9</v>
      </c>
      <c r="N211" t="s">
        <v>14</v>
      </c>
      <c r="O211" s="2">
        <v>108513.16</v>
      </c>
      <c r="P211" s="3">
        <v>1004.7910000000001</v>
      </c>
      <c r="Q211" s="1">
        <v>46033</v>
      </c>
      <c r="R211" s="1">
        <v>45992</v>
      </c>
      <c r="S211" s="1">
        <v>46022</v>
      </c>
      <c r="V211" s="8">
        <v>1</v>
      </c>
      <c r="W211" t="s">
        <v>24</v>
      </c>
      <c r="X211" t="s">
        <v>555</v>
      </c>
      <c r="Y211" t="s">
        <v>10</v>
      </c>
      <c r="Z211" t="s">
        <v>11</v>
      </c>
      <c r="AA211">
        <v>62371</v>
      </c>
      <c r="AB211">
        <v>21394670</v>
      </c>
      <c r="AC211">
        <v>1</v>
      </c>
      <c r="AD211" s="8"/>
    </row>
    <row r="212" spans="1:30" x14ac:dyDescent="0.3">
      <c r="A212" t="s">
        <v>1627</v>
      </c>
      <c r="B212">
        <v>1282988</v>
      </c>
      <c r="D212" t="s">
        <v>7</v>
      </c>
      <c r="E212">
        <v>945173</v>
      </c>
      <c r="F212">
        <v>9015884123</v>
      </c>
      <c r="G212">
        <v>4</v>
      </c>
      <c r="H212" t="s">
        <v>523</v>
      </c>
      <c r="I212">
        <v>0</v>
      </c>
      <c r="J212" t="s">
        <v>524</v>
      </c>
      <c r="K212" t="s">
        <v>8</v>
      </c>
      <c r="L212" t="s">
        <v>15</v>
      </c>
      <c r="M212" t="s">
        <v>9</v>
      </c>
      <c r="N212" t="s">
        <v>14</v>
      </c>
      <c r="O212" s="2">
        <v>0</v>
      </c>
      <c r="P212" s="3">
        <v>1721.5719999999999</v>
      </c>
      <c r="Q212" s="1">
        <v>46033</v>
      </c>
      <c r="R212" s="1">
        <v>45992</v>
      </c>
      <c r="S212" s="1">
        <v>46022</v>
      </c>
      <c r="V212" s="8">
        <v>1</v>
      </c>
      <c r="W212" t="s">
        <v>24</v>
      </c>
      <c r="X212" t="s">
        <v>525</v>
      </c>
      <c r="Y212" t="s">
        <v>10</v>
      </c>
      <c r="Z212" t="s">
        <v>11</v>
      </c>
      <c r="AA212">
        <v>62371</v>
      </c>
      <c r="AB212">
        <v>17174041</v>
      </c>
      <c r="AC212">
        <v>1</v>
      </c>
      <c r="AD212" s="8"/>
    </row>
    <row r="213" spans="1:30" x14ac:dyDescent="0.3">
      <c r="A213" t="s">
        <v>1627</v>
      </c>
      <c r="B213">
        <v>1303703</v>
      </c>
      <c r="D213" t="s">
        <v>7</v>
      </c>
      <c r="E213">
        <v>945144</v>
      </c>
      <c r="F213">
        <v>9015884123</v>
      </c>
      <c r="G213">
        <v>24</v>
      </c>
      <c r="H213" t="s">
        <v>556</v>
      </c>
      <c r="I213">
        <v>0</v>
      </c>
      <c r="J213" t="s">
        <v>557</v>
      </c>
      <c r="K213" t="s">
        <v>8</v>
      </c>
      <c r="L213" t="s">
        <v>18</v>
      </c>
      <c r="M213" t="s">
        <v>9</v>
      </c>
      <c r="N213" t="s">
        <v>14</v>
      </c>
      <c r="O213" s="2">
        <v>3.66</v>
      </c>
      <c r="P213" s="3">
        <v>0</v>
      </c>
      <c r="Q213" s="1">
        <v>46033</v>
      </c>
      <c r="R213" s="1">
        <v>45992</v>
      </c>
      <c r="S213" s="1">
        <v>46022</v>
      </c>
      <c r="V213" s="8">
        <v>1</v>
      </c>
      <c r="W213" t="s">
        <v>24</v>
      </c>
      <c r="X213" t="s">
        <v>558</v>
      </c>
      <c r="Y213" t="s">
        <v>10</v>
      </c>
      <c r="Z213" t="s">
        <v>11</v>
      </c>
      <c r="AA213">
        <v>62371</v>
      </c>
      <c r="AB213">
        <v>19390408</v>
      </c>
      <c r="AC213">
        <v>1</v>
      </c>
      <c r="AD213" s="8"/>
    </row>
    <row r="214" spans="1:30" x14ac:dyDescent="0.3">
      <c r="A214" t="s">
        <v>1627</v>
      </c>
      <c r="B214">
        <v>1303716</v>
      </c>
      <c r="D214" t="s">
        <v>7</v>
      </c>
      <c r="E214">
        <v>945152</v>
      </c>
      <c r="F214">
        <v>9015884123</v>
      </c>
      <c r="G214">
        <v>28</v>
      </c>
      <c r="H214" t="s">
        <v>559</v>
      </c>
      <c r="I214">
        <v>0</v>
      </c>
      <c r="J214" t="s">
        <v>560</v>
      </c>
      <c r="K214" t="s">
        <v>8</v>
      </c>
      <c r="L214" t="s">
        <v>67</v>
      </c>
      <c r="M214" t="s">
        <v>9</v>
      </c>
      <c r="N214" t="s">
        <v>14</v>
      </c>
      <c r="O214" s="2">
        <v>496253.54</v>
      </c>
      <c r="P214" s="3">
        <v>4595.1210000000001</v>
      </c>
      <c r="Q214" s="1">
        <v>46033</v>
      </c>
      <c r="R214" s="1">
        <v>45992</v>
      </c>
      <c r="S214" s="1">
        <v>46022</v>
      </c>
      <c r="V214" s="8">
        <v>1</v>
      </c>
      <c r="W214" t="s">
        <v>24</v>
      </c>
      <c r="X214" t="s">
        <v>561</v>
      </c>
      <c r="Y214" t="s">
        <v>10</v>
      </c>
      <c r="Z214" t="s">
        <v>11</v>
      </c>
      <c r="AA214">
        <v>62371</v>
      </c>
      <c r="AB214">
        <v>18652496</v>
      </c>
      <c r="AC214">
        <v>1</v>
      </c>
      <c r="AD214" s="8"/>
    </row>
    <row r="215" spans="1:30" x14ac:dyDescent="0.3">
      <c r="A215" t="s">
        <v>1627</v>
      </c>
      <c r="B215">
        <v>1308500</v>
      </c>
      <c r="D215" t="s">
        <v>7</v>
      </c>
      <c r="E215">
        <v>945178</v>
      </c>
      <c r="F215">
        <v>9015884123</v>
      </c>
      <c r="G215">
        <v>41</v>
      </c>
      <c r="H215" t="s">
        <v>562</v>
      </c>
      <c r="I215">
        <v>0</v>
      </c>
      <c r="J215" t="s">
        <v>563</v>
      </c>
      <c r="K215" t="s">
        <v>8</v>
      </c>
      <c r="L215" t="s">
        <v>18</v>
      </c>
      <c r="M215" t="s">
        <v>9</v>
      </c>
      <c r="N215" t="s">
        <v>14</v>
      </c>
      <c r="O215" s="2">
        <v>-4.0599999999999996</v>
      </c>
      <c r="P215" s="3">
        <v>0</v>
      </c>
      <c r="Q215" s="1">
        <v>46033</v>
      </c>
      <c r="R215" s="1">
        <v>45992</v>
      </c>
      <c r="S215" s="1">
        <v>46022</v>
      </c>
      <c r="V215" s="8">
        <v>2</v>
      </c>
      <c r="W215" t="s">
        <v>24</v>
      </c>
      <c r="X215" t="s">
        <v>564</v>
      </c>
      <c r="Y215" t="s">
        <v>10</v>
      </c>
      <c r="Z215" t="s">
        <v>11</v>
      </c>
      <c r="AA215">
        <v>62371</v>
      </c>
      <c r="AB215">
        <v>18069004</v>
      </c>
      <c r="AC215">
        <v>1</v>
      </c>
      <c r="AD215" s="8"/>
    </row>
    <row r="216" spans="1:30" x14ac:dyDescent="0.3">
      <c r="A216" t="s">
        <v>1627</v>
      </c>
      <c r="B216">
        <v>1303703</v>
      </c>
      <c r="D216" t="s">
        <v>7</v>
      </c>
      <c r="E216">
        <v>945144</v>
      </c>
      <c r="F216">
        <v>9015884123</v>
      </c>
      <c r="G216">
        <v>24</v>
      </c>
      <c r="H216" t="s">
        <v>556</v>
      </c>
      <c r="I216">
        <v>0</v>
      </c>
      <c r="J216" t="s">
        <v>557</v>
      </c>
      <c r="K216" t="s">
        <v>8</v>
      </c>
      <c r="L216" t="s">
        <v>19</v>
      </c>
      <c r="M216" t="s">
        <v>9</v>
      </c>
      <c r="N216" t="s">
        <v>14</v>
      </c>
      <c r="O216" s="2">
        <v>8654.7800000000007</v>
      </c>
      <c r="P216" s="3">
        <v>53.045999999999999</v>
      </c>
      <c r="Q216" s="1">
        <v>46033</v>
      </c>
      <c r="R216" s="1">
        <v>45992</v>
      </c>
      <c r="S216" s="1">
        <v>46022</v>
      </c>
      <c r="V216" s="8">
        <v>1</v>
      </c>
      <c r="W216" t="s">
        <v>24</v>
      </c>
      <c r="X216" t="s">
        <v>558</v>
      </c>
      <c r="Y216" t="s">
        <v>10</v>
      </c>
      <c r="Z216" t="s">
        <v>11</v>
      </c>
      <c r="AA216">
        <v>62371</v>
      </c>
      <c r="AB216">
        <v>19390408</v>
      </c>
      <c r="AC216">
        <v>1</v>
      </c>
      <c r="AD216" s="8"/>
    </row>
    <row r="217" spans="1:30" x14ac:dyDescent="0.3">
      <c r="A217" t="s">
        <v>1627</v>
      </c>
      <c r="B217">
        <v>1338505</v>
      </c>
      <c r="D217" t="s">
        <v>7</v>
      </c>
      <c r="E217">
        <v>945200</v>
      </c>
      <c r="F217">
        <v>9015884123</v>
      </c>
      <c r="G217">
        <v>52</v>
      </c>
      <c r="H217" t="s">
        <v>565</v>
      </c>
      <c r="I217">
        <v>0</v>
      </c>
      <c r="J217" t="s">
        <v>566</v>
      </c>
      <c r="K217" t="s">
        <v>8</v>
      </c>
      <c r="L217" t="s">
        <v>19</v>
      </c>
      <c r="M217" t="s">
        <v>9</v>
      </c>
      <c r="N217" t="s">
        <v>14</v>
      </c>
      <c r="O217" s="2">
        <v>1641.79</v>
      </c>
      <c r="P217" s="3">
        <v>8.3089999999999993</v>
      </c>
      <c r="Q217" s="1">
        <v>46033</v>
      </c>
      <c r="R217" s="1">
        <v>45992</v>
      </c>
      <c r="S217" s="1">
        <v>46022</v>
      </c>
      <c r="V217" s="8">
        <v>1</v>
      </c>
      <c r="W217" t="s">
        <v>24</v>
      </c>
      <c r="X217" t="s">
        <v>567</v>
      </c>
      <c r="Y217" t="s">
        <v>10</v>
      </c>
      <c r="Z217" t="s">
        <v>11</v>
      </c>
      <c r="AA217">
        <v>62371</v>
      </c>
      <c r="AB217">
        <v>19822337</v>
      </c>
      <c r="AC217">
        <v>0</v>
      </c>
      <c r="AD217" s="8"/>
    </row>
    <row r="218" spans="1:30" x14ac:dyDescent="0.3">
      <c r="A218" t="s">
        <v>1627</v>
      </c>
      <c r="B218">
        <v>1340674</v>
      </c>
      <c r="D218" t="s">
        <v>7</v>
      </c>
      <c r="E218">
        <v>945247</v>
      </c>
      <c r="F218">
        <v>9015884123</v>
      </c>
      <c r="G218">
        <v>66</v>
      </c>
      <c r="H218" t="s">
        <v>568</v>
      </c>
      <c r="I218">
        <v>0</v>
      </c>
      <c r="J218" t="s">
        <v>569</v>
      </c>
      <c r="K218" t="s">
        <v>8</v>
      </c>
      <c r="L218" t="s">
        <v>67</v>
      </c>
      <c r="M218" t="s">
        <v>9</v>
      </c>
      <c r="N218" t="s">
        <v>14</v>
      </c>
      <c r="O218" s="2">
        <v>551841.11</v>
      </c>
      <c r="P218" s="3">
        <v>5109.8410000000003</v>
      </c>
      <c r="Q218" s="1">
        <v>46033</v>
      </c>
      <c r="R218" s="1">
        <v>45992</v>
      </c>
      <c r="S218" s="1">
        <v>46022</v>
      </c>
      <c r="V218" s="8">
        <v>1</v>
      </c>
      <c r="W218" t="s">
        <v>24</v>
      </c>
      <c r="X218" t="s">
        <v>570</v>
      </c>
      <c r="Y218" t="s">
        <v>10</v>
      </c>
      <c r="Z218" t="s">
        <v>11</v>
      </c>
      <c r="AA218">
        <v>62371</v>
      </c>
      <c r="AB218">
        <v>18158545</v>
      </c>
      <c r="AC218">
        <v>1</v>
      </c>
      <c r="AD218" s="8"/>
    </row>
    <row r="219" spans="1:30" x14ac:dyDescent="0.3">
      <c r="A219" t="s">
        <v>1627</v>
      </c>
      <c r="B219">
        <v>1340624</v>
      </c>
      <c r="D219" t="s">
        <v>7</v>
      </c>
      <c r="E219">
        <v>945218</v>
      </c>
      <c r="F219">
        <v>9015884123</v>
      </c>
      <c r="G219">
        <v>58</v>
      </c>
      <c r="H219" t="s">
        <v>571</v>
      </c>
      <c r="I219">
        <v>0</v>
      </c>
      <c r="J219" t="s">
        <v>572</v>
      </c>
      <c r="K219" t="s">
        <v>8</v>
      </c>
      <c r="L219" t="s">
        <v>67</v>
      </c>
      <c r="M219" t="s">
        <v>9</v>
      </c>
      <c r="N219" t="s">
        <v>14</v>
      </c>
      <c r="O219" s="2">
        <v>910107.18</v>
      </c>
      <c r="P219" s="3">
        <v>8427.25</v>
      </c>
      <c r="Q219" s="1">
        <v>46033</v>
      </c>
      <c r="R219" s="1">
        <v>45992</v>
      </c>
      <c r="S219" s="1">
        <v>46022</v>
      </c>
      <c r="V219" s="8">
        <v>1</v>
      </c>
      <c r="W219" t="s">
        <v>24</v>
      </c>
      <c r="X219" t="s">
        <v>573</v>
      </c>
      <c r="Y219" t="s">
        <v>10</v>
      </c>
      <c r="Z219" t="s">
        <v>11</v>
      </c>
      <c r="AA219">
        <v>62371</v>
      </c>
      <c r="AB219">
        <v>19430843</v>
      </c>
      <c r="AC219">
        <v>1</v>
      </c>
      <c r="AD219" s="8"/>
    </row>
    <row r="220" spans="1:30" x14ac:dyDescent="0.3">
      <c r="A220" t="s">
        <v>1627</v>
      </c>
      <c r="B220">
        <v>1340624</v>
      </c>
      <c r="D220" t="s">
        <v>7</v>
      </c>
      <c r="E220">
        <v>945218</v>
      </c>
      <c r="F220">
        <v>9015884123</v>
      </c>
      <c r="G220">
        <v>58</v>
      </c>
      <c r="H220" t="s">
        <v>571</v>
      </c>
      <c r="I220">
        <v>0</v>
      </c>
      <c r="J220" t="s">
        <v>572</v>
      </c>
      <c r="K220" t="s">
        <v>8</v>
      </c>
      <c r="L220" t="s">
        <v>19</v>
      </c>
      <c r="M220" t="s">
        <v>9</v>
      </c>
      <c r="N220" t="s">
        <v>14</v>
      </c>
      <c r="O220" s="2">
        <v>26890.400000000001</v>
      </c>
      <c r="P220" s="3">
        <v>164.81399999999999</v>
      </c>
      <c r="Q220" s="1">
        <v>46033</v>
      </c>
      <c r="R220" s="1">
        <v>45992</v>
      </c>
      <c r="S220" s="1">
        <v>46022</v>
      </c>
      <c r="V220" s="8">
        <v>1</v>
      </c>
      <c r="W220" t="s">
        <v>24</v>
      </c>
      <c r="X220" t="s">
        <v>573</v>
      </c>
      <c r="Y220" t="s">
        <v>10</v>
      </c>
      <c r="Z220" t="s">
        <v>11</v>
      </c>
      <c r="AA220">
        <v>62371</v>
      </c>
      <c r="AB220">
        <v>19430843</v>
      </c>
      <c r="AC220">
        <v>1</v>
      </c>
      <c r="AD220" s="8"/>
    </row>
    <row r="221" spans="1:30" x14ac:dyDescent="0.3">
      <c r="A221" t="s">
        <v>1627</v>
      </c>
      <c r="B221">
        <v>1340623</v>
      </c>
      <c r="D221" t="s">
        <v>7</v>
      </c>
      <c r="E221">
        <v>945215</v>
      </c>
      <c r="F221">
        <v>9015884123</v>
      </c>
      <c r="G221">
        <v>57</v>
      </c>
      <c r="H221" t="s">
        <v>574</v>
      </c>
      <c r="I221">
        <v>0</v>
      </c>
      <c r="J221" t="s">
        <v>575</v>
      </c>
      <c r="K221" t="s">
        <v>8</v>
      </c>
      <c r="L221" t="s">
        <v>18</v>
      </c>
      <c r="M221" t="s">
        <v>9</v>
      </c>
      <c r="N221" t="s">
        <v>14</v>
      </c>
      <c r="O221" s="2">
        <v>-3.12</v>
      </c>
      <c r="P221" s="3">
        <v>0</v>
      </c>
      <c r="Q221" s="1">
        <v>46033</v>
      </c>
      <c r="R221" s="1">
        <v>45992</v>
      </c>
      <c r="S221" s="1">
        <v>46022</v>
      </c>
      <c r="V221" s="8">
        <v>1</v>
      </c>
      <c r="W221" t="s">
        <v>24</v>
      </c>
      <c r="X221" t="s">
        <v>576</v>
      </c>
      <c r="Y221" t="s">
        <v>10</v>
      </c>
      <c r="Z221" t="s">
        <v>11</v>
      </c>
      <c r="AA221">
        <v>62371</v>
      </c>
      <c r="AB221">
        <v>18158547</v>
      </c>
      <c r="AC221">
        <v>1</v>
      </c>
      <c r="AD221" s="8"/>
    </row>
    <row r="222" spans="1:30" x14ac:dyDescent="0.3">
      <c r="A222" t="s">
        <v>1627</v>
      </c>
      <c r="B222">
        <v>1340678</v>
      </c>
      <c r="D222" t="s">
        <v>7</v>
      </c>
      <c r="E222">
        <v>945244</v>
      </c>
      <c r="F222">
        <v>9015884123</v>
      </c>
      <c r="G222">
        <v>65</v>
      </c>
      <c r="H222" t="s">
        <v>577</v>
      </c>
      <c r="I222">
        <v>0</v>
      </c>
      <c r="J222" t="s">
        <v>578</v>
      </c>
      <c r="K222" t="s">
        <v>8</v>
      </c>
      <c r="L222" t="s">
        <v>67</v>
      </c>
      <c r="M222" t="s">
        <v>9</v>
      </c>
      <c r="N222" t="s">
        <v>14</v>
      </c>
      <c r="O222" s="2">
        <v>536068.55000000005</v>
      </c>
      <c r="P222" s="3">
        <v>4963.7929999999997</v>
      </c>
      <c r="Q222" s="1">
        <v>46033</v>
      </c>
      <c r="R222" s="1">
        <v>45992</v>
      </c>
      <c r="S222" s="1">
        <v>46022</v>
      </c>
      <c r="V222" s="8">
        <v>1</v>
      </c>
      <c r="W222" t="s">
        <v>24</v>
      </c>
      <c r="X222" t="s">
        <v>579</v>
      </c>
      <c r="Y222" t="s">
        <v>10</v>
      </c>
      <c r="Z222" t="s">
        <v>11</v>
      </c>
      <c r="AA222">
        <v>62371</v>
      </c>
      <c r="AB222">
        <v>17032641</v>
      </c>
      <c r="AC222">
        <v>1</v>
      </c>
      <c r="AD222" s="8"/>
    </row>
    <row r="223" spans="1:30" x14ac:dyDescent="0.3">
      <c r="A223" t="s">
        <v>1627</v>
      </c>
      <c r="B223">
        <v>1329767</v>
      </c>
      <c r="D223" t="s">
        <v>7</v>
      </c>
      <c r="E223">
        <v>945190</v>
      </c>
      <c r="F223">
        <v>9015884123</v>
      </c>
      <c r="G223">
        <v>47</v>
      </c>
      <c r="H223" t="s">
        <v>580</v>
      </c>
      <c r="I223">
        <v>0</v>
      </c>
      <c r="J223" t="s">
        <v>581</v>
      </c>
      <c r="K223" t="s">
        <v>8</v>
      </c>
      <c r="L223" t="s">
        <v>67</v>
      </c>
      <c r="M223" t="s">
        <v>9</v>
      </c>
      <c r="N223" t="s">
        <v>14</v>
      </c>
      <c r="O223" s="2">
        <v>2289476.9</v>
      </c>
      <c r="P223" s="3">
        <v>16074.236000000001</v>
      </c>
      <c r="Q223" s="1">
        <v>46033</v>
      </c>
      <c r="R223" s="1">
        <v>45992</v>
      </c>
      <c r="S223" s="1">
        <v>46022</v>
      </c>
      <c r="V223" s="8">
        <v>1</v>
      </c>
      <c r="W223" t="s">
        <v>24</v>
      </c>
      <c r="X223" t="s">
        <v>582</v>
      </c>
      <c r="Y223" t="s">
        <v>10</v>
      </c>
      <c r="Z223" t="s">
        <v>11</v>
      </c>
      <c r="AA223">
        <v>62371</v>
      </c>
      <c r="AB223">
        <v>19382735</v>
      </c>
      <c r="AC223">
        <v>0</v>
      </c>
      <c r="AD223" s="8"/>
    </row>
    <row r="224" spans="1:30" x14ac:dyDescent="0.3">
      <c r="A224" t="s">
        <v>1627</v>
      </c>
      <c r="B224">
        <v>1365126</v>
      </c>
      <c r="D224" t="s">
        <v>7</v>
      </c>
      <c r="E224">
        <v>945929</v>
      </c>
      <c r="F224">
        <v>9015884123</v>
      </c>
      <c r="G224">
        <v>180</v>
      </c>
      <c r="H224" t="s">
        <v>583</v>
      </c>
      <c r="I224">
        <v>0</v>
      </c>
      <c r="J224" t="s">
        <v>584</v>
      </c>
      <c r="K224" t="s">
        <v>8</v>
      </c>
      <c r="L224" t="s">
        <v>18</v>
      </c>
      <c r="M224" t="s">
        <v>9</v>
      </c>
      <c r="N224" t="s">
        <v>14</v>
      </c>
      <c r="O224" s="2">
        <v>-4.24</v>
      </c>
      <c r="P224" s="3">
        <v>0</v>
      </c>
      <c r="Q224" s="1">
        <v>46033</v>
      </c>
      <c r="R224" s="1">
        <v>45992</v>
      </c>
      <c r="S224" s="1">
        <v>46022</v>
      </c>
      <c r="V224" s="8">
        <v>1</v>
      </c>
      <c r="W224" t="s">
        <v>24</v>
      </c>
      <c r="X224" t="s">
        <v>585</v>
      </c>
      <c r="Y224" t="s">
        <v>586</v>
      </c>
      <c r="Z224" t="s">
        <v>11</v>
      </c>
      <c r="AA224">
        <v>62371</v>
      </c>
      <c r="AB224">
        <v>21142544</v>
      </c>
      <c r="AC224">
        <v>0</v>
      </c>
      <c r="AD224" s="8"/>
    </row>
    <row r="225" spans="1:30" x14ac:dyDescent="0.3">
      <c r="A225" t="s">
        <v>1627</v>
      </c>
      <c r="B225">
        <v>1363344</v>
      </c>
      <c r="D225" t="s">
        <v>7</v>
      </c>
      <c r="E225">
        <v>945924</v>
      </c>
      <c r="F225">
        <v>9015884123</v>
      </c>
      <c r="G225">
        <v>175</v>
      </c>
      <c r="H225" t="s">
        <v>587</v>
      </c>
      <c r="I225">
        <v>0</v>
      </c>
      <c r="J225" t="s">
        <v>588</v>
      </c>
      <c r="K225" t="s">
        <v>8</v>
      </c>
      <c r="L225" t="s">
        <v>19</v>
      </c>
      <c r="M225" t="s">
        <v>9</v>
      </c>
      <c r="N225" t="s">
        <v>14</v>
      </c>
      <c r="O225" s="2">
        <v>434</v>
      </c>
      <c r="P225" s="3">
        <v>2.66</v>
      </c>
      <c r="Q225" s="1">
        <v>46033</v>
      </c>
      <c r="R225" s="1">
        <v>45992</v>
      </c>
      <c r="S225" s="1">
        <v>46022</v>
      </c>
      <c r="V225" s="8">
        <v>1</v>
      </c>
      <c r="W225" t="s">
        <v>24</v>
      </c>
      <c r="X225" t="s">
        <v>589</v>
      </c>
      <c r="Y225" t="s">
        <v>590</v>
      </c>
      <c r="Z225" t="s">
        <v>11</v>
      </c>
      <c r="AA225">
        <v>62371</v>
      </c>
      <c r="AB225">
        <v>17420868</v>
      </c>
      <c r="AC225">
        <v>1</v>
      </c>
      <c r="AD225" s="8"/>
    </row>
    <row r="226" spans="1:30" x14ac:dyDescent="0.3">
      <c r="A226" t="s">
        <v>1627</v>
      </c>
      <c r="B226">
        <v>1415104</v>
      </c>
      <c r="D226" t="s">
        <v>7</v>
      </c>
      <c r="E226">
        <v>946567</v>
      </c>
      <c r="F226">
        <v>9015884123</v>
      </c>
      <c r="G226">
        <v>425</v>
      </c>
      <c r="H226" t="s">
        <v>591</v>
      </c>
      <c r="I226">
        <v>0</v>
      </c>
      <c r="J226" t="s">
        <v>592</v>
      </c>
      <c r="K226" t="s">
        <v>8</v>
      </c>
      <c r="L226" t="s">
        <v>18</v>
      </c>
      <c r="M226" t="s">
        <v>9</v>
      </c>
      <c r="N226" t="s">
        <v>14</v>
      </c>
      <c r="O226" s="2">
        <v>-4.9400000000000004</v>
      </c>
      <c r="P226" s="3">
        <v>0</v>
      </c>
      <c r="Q226" s="1">
        <v>46033</v>
      </c>
      <c r="R226" s="1">
        <v>45992</v>
      </c>
      <c r="S226" s="1">
        <v>46022</v>
      </c>
      <c r="V226" s="8">
        <v>1</v>
      </c>
      <c r="W226" t="s">
        <v>24</v>
      </c>
      <c r="X226" t="s">
        <v>593</v>
      </c>
      <c r="Y226" t="s">
        <v>35</v>
      </c>
      <c r="Z226" t="s">
        <v>11</v>
      </c>
      <c r="AA226">
        <v>62371</v>
      </c>
      <c r="AB226">
        <v>21401641</v>
      </c>
      <c r="AC226">
        <v>0</v>
      </c>
      <c r="AD226" s="8"/>
    </row>
    <row r="227" spans="1:30" x14ac:dyDescent="0.3">
      <c r="A227" t="s">
        <v>1627</v>
      </c>
      <c r="B227">
        <v>1353820</v>
      </c>
      <c r="D227" t="s">
        <v>7</v>
      </c>
      <c r="E227">
        <v>945295</v>
      </c>
      <c r="F227">
        <v>9015884123</v>
      </c>
      <c r="G227">
        <v>80</v>
      </c>
      <c r="H227" t="s">
        <v>596</v>
      </c>
      <c r="I227">
        <v>0</v>
      </c>
      <c r="J227" t="s">
        <v>597</v>
      </c>
      <c r="K227" t="s">
        <v>8</v>
      </c>
      <c r="L227" t="s">
        <v>15</v>
      </c>
      <c r="M227" t="s">
        <v>9</v>
      </c>
      <c r="N227" t="s">
        <v>14</v>
      </c>
      <c r="O227" s="2">
        <v>0</v>
      </c>
      <c r="P227" s="3">
        <v>4636.7640000000001</v>
      </c>
      <c r="Q227" s="1">
        <v>46033</v>
      </c>
      <c r="R227" s="1">
        <v>45992</v>
      </c>
      <c r="S227" s="1">
        <v>46022</v>
      </c>
      <c r="V227" s="8">
        <v>1</v>
      </c>
      <c r="W227" t="s">
        <v>24</v>
      </c>
      <c r="X227" t="s">
        <v>598</v>
      </c>
      <c r="Y227" t="s">
        <v>40</v>
      </c>
      <c r="Z227" t="s">
        <v>11</v>
      </c>
      <c r="AA227">
        <v>62371</v>
      </c>
      <c r="AB227">
        <v>17941348</v>
      </c>
      <c r="AC227">
        <v>1</v>
      </c>
      <c r="AD227" s="8"/>
    </row>
    <row r="228" spans="1:30" x14ac:dyDescent="0.3">
      <c r="A228" t="s">
        <v>1627</v>
      </c>
      <c r="B228">
        <v>1356311</v>
      </c>
      <c r="D228" t="s">
        <v>7</v>
      </c>
      <c r="E228">
        <v>945450</v>
      </c>
      <c r="F228">
        <v>9015884123</v>
      </c>
      <c r="G228">
        <v>128</v>
      </c>
      <c r="H228" t="s">
        <v>599</v>
      </c>
      <c r="I228">
        <v>0</v>
      </c>
      <c r="J228" t="s">
        <v>600</v>
      </c>
      <c r="K228" t="s">
        <v>8</v>
      </c>
      <c r="L228" t="s">
        <v>15</v>
      </c>
      <c r="M228" t="s">
        <v>9</v>
      </c>
      <c r="N228" t="s">
        <v>14</v>
      </c>
      <c r="O228" s="2">
        <v>0</v>
      </c>
      <c r="P228" s="3">
        <v>2500.616</v>
      </c>
      <c r="Q228" s="1">
        <v>46033</v>
      </c>
      <c r="R228" s="1">
        <v>45992</v>
      </c>
      <c r="S228" s="1">
        <v>46022</v>
      </c>
      <c r="V228" s="8">
        <v>1</v>
      </c>
      <c r="W228" t="s">
        <v>24</v>
      </c>
      <c r="X228" t="s">
        <v>601</v>
      </c>
      <c r="Y228" t="s">
        <v>40</v>
      </c>
      <c r="Z228" t="s">
        <v>11</v>
      </c>
      <c r="AA228">
        <v>62371</v>
      </c>
      <c r="AB228">
        <v>18763348</v>
      </c>
      <c r="AC228">
        <v>1</v>
      </c>
      <c r="AD228" s="8"/>
    </row>
    <row r="229" spans="1:30" x14ac:dyDescent="0.3">
      <c r="A229" t="s">
        <v>1627</v>
      </c>
      <c r="B229">
        <v>1356330</v>
      </c>
      <c r="D229" t="s">
        <v>7</v>
      </c>
      <c r="E229">
        <v>945453</v>
      </c>
      <c r="F229">
        <v>9015884123</v>
      </c>
      <c r="G229">
        <v>130</v>
      </c>
      <c r="H229" t="s">
        <v>602</v>
      </c>
      <c r="I229">
        <v>0</v>
      </c>
      <c r="J229" t="s">
        <v>603</v>
      </c>
      <c r="K229" t="s">
        <v>8</v>
      </c>
      <c r="L229" t="s">
        <v>19</v>
      </c>
      <c r="M229" t="s">
        <v>9</v>
      </c>
      <c r="N229" t="s">
        <v>14</v>
      </c>
      <c r="O229" s="2">
        <v>2.12</v>
      </c>
      <c r="P229" s="3">
        <v>1.2999999999999999E-2</v>
      </c>
      <c r="Q229" s="1">
        <v>46033</v>
      </c>
      <c r="R229" s="1">
        <v>45992</v>
      </c>
      <c r="S229" s="1">
        <v>46022</v>
      </c>
      <c r="V229" s="8">
        <v>1</v>
      </c>
      <c r="W229" t="s">
        <v>24</v>
      </c>
      <c r="X229" t="s">
        <v>604</v>
      </c>
      <c r="Y229" t="s">
        <v>40</v>
      </c>
      <c r="Z229" t="s">
        <v>11</v>
      </c>
      <c r="AA229">
        <v>62371</v>
      </c>
      <c r="AB229">
        <v>19711416</v>
      </c>
      <c r="AC229">
        <v>1</v>
      </c>
      <c r="AD229" s="8"/>
    </row>
    <row r="230" spans="1:30" x14ac:dyDescent="0.3">
      <c r="A230" t="s">
        <v>1627</v>
      </c>
      <c r="B230">
        <v>1358836</v>
      </c>
      <c r="D230" t="s">
        <v>7</v>
      </c>
      <c r="E230">
        <v>945902</v>
      </c>
      <c r="F230">
        <v>9015884123</v>
      </c>
      <c r="G230">
        <v>151</v>
      </c>
      <c r="H230" t="s">
        <v>605</v>
      </c>
      <c r="I230">
        <v>0</v>
      </c>
      <c r="J230" t="s">
        <v>606</v>
      </c>
      <c r="K230" t="s">
        <v>8</v>
      </c>
      <c r="L230" t="s">
        <v>19</v>
      </c>
      <c r="M230" t="s">
        <v>9</v>
      </c>
      <c r="N230" t="s">
        <v>14</v>
      </c>
      <c r="O230" s="2">
        <v>46.83</v>
      </c>
      <c r="P230" s="3">
        <v>0.28699999999999998</v>
      </c>
      <c r="Q230" s="1">
        <v>46033</v>
      </c>
      <c r="R230" s="1">
        <v>45992</v>
      </c>
      <c r="S230" s="1">
        <v>46022</v>
      </c>
      <c r="V230" s="8">
        <v>1</v>
      </c>
      <c r="W230" t="s">
        <v>24</v>
      </c>
      <c r="X230" t="s">
        <v>607</v>
      </c>
      <c r="Y230" t="s">
        <v>40</v>
      </c>
      <c r="Z230" t="s">
        <v>11</v>
      </c>
      <c r="AA230">
        <v>62371</v>
      </c>
      <c r="AB230">
        <v>21106483</v>
      </c>
      <c r="AC230">
        <v>1</v>
      </c>
      <c r="AD230" s="8"/>
    </row>
    <row r="231" spans="1:30" x14ac:dyDescent="0.3">
      <c r="A231" t="s">
        <v>1627</v>
      </c>
      <c r="B231">
        <v>1411987</v>
      </c>
      <c r="D231" t="s">
        <v>7</v>
      </c>
      <c r="E231">
        <v>946386</v>
      </c>
      <c r="F231">
        <v>9015884123</v>
      </c>
      <c r="G231">
        <v>367</v>
      </c>
      <c r="H231" t="s">
        <v>608</v>
      </c>
      <c r="I231">
        <v>0</v>
      </c>
      <c r="J231" t="s">
        <v>609</v>
      </c>
      <c r="K231" t="s">
        <v>8</v>
      </c>
      <c r="L231" t="s">
        <v>19</v>
      </c>
      <c r="M231" t="s">
        <v>9</v>
      </c>
      <c r="N231" t="s">
        <v>14</v>
      </c>
      <c r="O231" s="2">
        <v>14754.77</v>
      </c>
      <c r="P231" s="3">
        <v>74.673000000000002</v>
      </c>
      <c r="Q231" s="1">
        <v>46033</v>
      </c>
      <c r="R231" s="1">
        <v>45992</v>
      </c>
      <c r="S231" s="1">
        <v>46022</v>
      </c>
      <c r="V231" s="8">
        <v>1</v>
      </c>
      <c r="W231" t="s">
        <v>24</v>
      </c>
      <c r="X231" t="s">
        <v>610</v>
      </c>
      <c r="Y231" t="s">
        <v>590</v>
      </c>
      <c r="Z231" t="s">
        <v>11</v>
      </c>
      <c r="AA231">
        <v>62371</v>
      </c>
      <c r="AB231">
        <v>17560581</v>
      </c>
      <c r="AC231">
        <v>0</v>
      </c>
      <c r="AD231" s="8"/>
    </row>
    <row r="232" spans="1:30" x14ac:dyDescent="0.3">
      <c r="A232" t="s">
        <v>1627</v>
      </c>
      <c r="B232">
        <v>1415118</v>
      </c>
      <c r="D232" t="s">
        <v>7</v>
      </c>
      <c r="E232">
        <v>946490</v>
      </c>
      <c r="F232">
        <v>9015884123</v>
      </c>
      <c r="G232">
        <v>401</v>
      </c>
      <c r="H232" t="s">
        <v>611</v>
      </c>
      <c r="I232">
        <v>0</v>
      </c>
      <c r="J232" t="s">
        <v>612</v>
      </c>
      <c r="K232" t="s">
        <v>8</v>
      </c>
      <c r="L232" t="s">
        <v>15</v>
      </c>
      <c r="M232" t="s">
        <v>9</v>
      </c>
      <c r="N232" t="s">
        <v>14</v>
      </c>
      <c r="O232" s="2">
        <v>0</v>
      </c>
      <c r="P232" s="3">
        <v>3066.9059999999999</v>
      </c>
      <c r="Q232" s="1">
        <v>46033</v>
      </c>
      <c r="R232" s="1">
        <v>45992</v>
      </c>
      <c r="S232" s="1">
        <v>46022</v>
      </c>
      <c r="V232" s="8">
        <v>1</v>
      </c>
      <c r="W232" t="s">
        <v>24</v>
      </c>
      <c r="X232" t="s">
        <v>613</v>
      </c>
      <c r="Y232" t="s">
        <v>33</v>
      </c>
      <c r="Z232" t="s">
        <v>11</v>
      </c>
      <c r="AA232">
        <v>62371</v>
      </c>
      <c r="AB232">
        <v>17756856</v>
      </c>
      <c r="AC232">
        <v>0</v>
      </c>
      <c r="AD232" s="8"/>
    </row>
    <row r="233" spans="1:30" x14ac:dyDescent="0.3">
      <c r="A233" t="s">
        <v>1627</v>
      </c>
      <c r="B233">
        <v>1415118</v>
      </c>
      <c r="D233" t="s">
        <v>7</v>
      </c>
      <c r="E233">
        <v>946490</v>
      </c>
      <c r="F233">
        <v>9015884123</v>
      </c>
      <c r="G233">
        <v>401</v>
      </c>
      <c r="H233" t="s">
        <v>611</v>
      </c>
      <c r="I233">
        <v>0</v>
      </c>
      <c r="J233" t="s">
        <v>612</v>
      </c>
      <c r="K233" t="s">
        <v>8</v>
      </c>
      <c r="L233" t="s">
        <v>18</v>
      </c>
      <c r="M233" t="s">
        <v>9</v>
      </c>
      <c r="N233" t="s">
        <v>14</v>
      </c>
      <c r="O233" s="2">
        <v>-3.9</v>
      </c>
      <c r="P233" s="3">
        <v>0</v>
      </c>
      <c r="Q233" s="1">
        <v>46033</v>
      </c>
      <c r="R233" s="1">
        <v>45992</v>
      </c>
      <c r="S233" s="1">
        <v>46022</v>
      </c>
      <c r="V233" s="8">
        <v>1</v>
      </c>
      <c r="W233" t="s">
        <v>24</v>
      </c>
      <c r="X233" t="s">
        <v>613</v>
      </c>
      <c r="Y233" t="s">
        <v>33</v>
      </c>
      <c r="Z233" t="s">
        <v>11</v>
      </c>
      <c r="AA233">
        <v>62371</v>
      </c>
      <c r="AB233">
        <v>17756856</v>
      </c>
      <c r="AC233">
        <v>0</v>
      </c>
      <c r="AD233" s="8"/>
    </row>
    <row r="234" spans="1:30" x14ac:dyDescent="0.3">
      <c r="A234" t="s">
        <v>1627</v>
      </c>
      <c r="B234">
        <v>1420310</v>
      </c>
      <c r="D234" t="s">
        <v>7</v>
      </c>
      <c r="E234">
        <v>946661</v>
      </c>
      <c r="F234">
        <v>9015884123</v>
      </c>
      <c r="G234">
        <v>456</v>
      </c>
      <c r="H234" t="s">
        <v>615</v>
      </c>
      <c r="I234">
        <v>0</v>
      </c>
      <c r="J234" t="s">
        <v>616</v>
      </c>
      <c r="K234" t="s">
        <v>8</v>
      </c>
      <c r="L234" t="s">
        <v>18</v>
      </c>
      <c r="M234" t="s">
        <v>9</v>
      </c>
      <c r="N234" t="s">
        <v>14</v>
      </c>
      <c r="O234" s="2">
        <v>-4.17</v>
      </c>
      <c r="P234" s="3">
        <v>0</v>
      </c>
      <c r="Q234" s="1">
        <v>46033</v>
      </c>
      <c r="R234" s="1">
        <v>45992</v>
      </c>
      <c r="S234" s="1">
        <v>46022</v>
      </c>
      <c r="V234" s="8">
        <v>1</v>
      </c>
      <c r="W234" t="s">
        <v>24</v>
      </c>
      <c r="X234" t="s">
        <v>617</v>
      </c>
      <c r="Y234" t="s">
        <v>32</v>
      </c>
      <c r="Z234" t="s">
        <v>11</v>
      </c>
      <c r="AA234">
        <v>62371</v>
      </c>
      <c r="AB234">
        <v>19890099</v>
      </c>
      <c r="AC234">
        <v>0</v>
      </c>
      <c r="AD234" s="8"/>
    </row>
    <row r="235" spans="1:30" x14ac:dyDescent="0.3">
      <c r="A235" t="s">
        <v>1627</v>
      </c>
      <c r="B235">
        <v>1340528</v>
      </c>
      <c r="D235" t="s">
        <v>7</v>
      </c>
      <c r="E235">
        <v>945209</v>
      </c>
      <c r="F235">
        <v>9015884123</v>
      </c>
      <c r="G235">
        <v>55</v>
      </c>
      <c r="H235" t="s">
        <v>618</v>
      </c>
      <c r="I235">
        <v>0</v>
      </c>
      <c r="J235" t="s">
        <v>619</v>
      </c>
      <c r="K235" t="s">
        <v>8</v>
      </c>
      <c r="L235" t="s">
        <v>15</v>
      </c>
      <c r="M235" t="s">
        <v>9</v>
      </c>
      <c r="N235" t="s">
        <v>14</v>
      </c>
      <c r="O235" s="2">
        <v>0</v>
      </c>
      <c r="P235" s="3">
        <v>15864.841</v>
      </c>
      <c r="Q235" s="1">
        <v>46033</v>
      </c>
      <c r="R235" s="1">
        <v>45992</v>
      </c>
      <c r="S235" s="1">
        <v>46022</v>
      </c>
      <c r="V235" s="8">
        <v>1</v>
      </c>
      <c r="W235" t="s">
        <v>24</v>
      </c>
      <c r="X235" t="s">
        <v>620</v>
      </c>
      <c r="Y235" t="s">
        <v>590</v>
      </c>
      <c r="Z235" t="s">
        <v>11</v>
      </c>
      <c r="AA235">
        <v>62371</v>
      </c>
      <c r="AB235">
        <v>21349127</v>
      </c>
      <c r="AC235">
        <v>0</v>
      </c>
      <c r="AD235" s="8"/>
    </row>
    <row r="236" spans="1:30" x14ac:dyDescent="0.3">
      <c r="A236" t="s">
        <v>1627</v>
      </c>
      <c r="B236">
        <v>1340528</v>
      </c>
      <c r="D236" t="s">
        <v>7</v>
      </c>
      <c r="E236">
        <v>945209</v>
      </c>
      <c r="F236">
        <v>9015884123</v>
      </c>
      <c r="G236">
        <v>55</v>
      </c>
      <c r="H236" t="s">
        <v>618</v>
      </c>
      <c r="I236">
        <v>0</v>
      </c>
      <c r="J236" t="s">
        <v>619</v>
      </c>
      <c r="K236" t="s">
        <v>8</v>
      </c>
      <c r="L236" t="s">
        <v>18</v>
      </c>
      <c r="M236" t="s">
        <v>9</v>
      </c>
      <c r="N236" t="s">
        <v>14</v>
      </c>
      <c r="O236" s="2">
        <v>-2.4700000000000002</v>
      </c>
      <c r="P236" s="3">
        <v>0</v>
      </c>
      <c r="Q236" s="1">
        <v>46033</v>
      </c>
      <c r="R236" s="1">
        <v>45992</v>
      </c>
      <c r="S236" s="1">
        <v>46022</v>
      </c>
      <c r="V236" s="8">
        <v>1</v>
      </c>
      <c r="W236" t="s">
        <v>24</v>
      </c>
      <c r="X236" t="s">
        <v>620</v>
      </c>
      <c r="Y236" t="s">
        <v>590</v>
      </c>
      <c r="Z236" t="s">
        <v>11</v>
      </c>
      <c r="AA236">
        <v>62371</v>
      </c>
      <c r="AB236">
        <v>21349127</v>
      </c>
      <c r="AC236">
        <v>0</v>
      </c>
      <c r="AD236" s="8"/>
    </row>
    <row r="237" spans="1:30" x14ac:dyDescent="0.3">
      <c r="A237" t="s">
        <v>1627</v>
      </c>
      <c r="B237">
        <v>1403719</v>
      </c>
      <c r="D237" t="s">
        <v>7</v>
      </c>
      <c r="E237">
        <v>946250</v>
      </c>
      <c r="F237">
        <v>9015884123</v>
      </c>
      <c r="G237">
        <v>301</v>
      </c>
      <c r="H237" t="s">
        <v>621</v>
      </c>
      <c r="I237">
        <v>0</v>
      </c>
      <c r="J237" t="s">
        <v>622</v>
      </c>
      <c r="K237" t="s">
        <v>8</v>
      </c>
      <c r="L237" t="s">
        <v>67</v>
      </c>
      <c r="M237" t="s">
        <v>9</v>
      </c>
      <c r="N237" t="s">
        <v>14</v>
      </c>
      <c r="O237" s="2">
        <v>256829.7</v>
      </c>
      <c r="P237" s="3">
        <v>1803.181</v>
      </c>
      <c r="Q237" s="1">
        <v>46033</v>
      </c>
      <c r="R237" s="1">
        <v>45992</v>
      </c>
      <c r="S237" s="1">
        <v>46022</v>
      </c>
      <c r="V237" s="8">
        <v>1</v>
      </c>
      <c r="W237" t="s">
        <v>24</v>
      </c>
      <c r="X237" t="s">
        <v>623</v>
      </c>
      <c r="Y237" t="s">
        <v>36</v>
      </c>
      <c r="Z237" t="s">
        <v>11</v>
      </c>
      <c r="AA237">
        <v>62371</v>
      </c>
      <c r="AB237">
        <v>18117454</v>
      </c>
      <c r="AC237">
        <v>0</v>
      </c>
      <c r="AD237" s="8"/>
    </row>
    <row r="238" spans="1:30" x14ac:dyDescent="0.3">
      <c r="A238" t="s">
        <v>1627</v>
      </c>
      <c r="B238">
        <v>1344279</v>
      </c>
      <c r="D238" t="s">
        <v>7</v>
      </c>
      <c r="E238">
        <v>945289</v>
      </c>
      <c r="F238">
        <v>9015884123</v>
      </c>
      <c r="G238">
        <v>78</v>
      </c>
      <c r="H238" t="s">
        <v>624</v>
      </c>
      <c r="I238">
        <v>0</v>
      </c>
      <c r="J238" t="s">
        <v>625</v>
      </c>
      <c r="K238" t="s">
        <v>8</v>
      </c>
      <c r="L238" t="s">
        <v>15</v>
      </c>
      <c r="M238" t="s">
        <v>9</v>
      </c>
      <c r="N238" t="s">
        <v>14</v>
      </c>
      <c r="O238" s="2">
        <v>0</v>
      </c>
      <c r="P238" s="3">
        <v>3903.951</v>
      </c>
      <c r="Q238" s="1">
        <v>46033</v>
      </c>
      <c r="R238" s="1">
        <v>45992</v>
      </c>
      <c r="S238" s="1">
        <v>46022</v>
      </c>
      <c r="V238" s="8">
        <v>1</v>
      </c>
      <c r="W238" t="s">
        <v>24</v>
      </c>
      <c r="X238" t="s">
        <v>626</v>
      </c>
      <c r="Y238" t="s">
        <v>40</v>
      </c>
      <c r="Z238" t="s">
        <v>11</v>
      </c>
      <c r="AA238">
        <v>62371</v>
      </c>
      <c r="AB238">
        <v>17949323</v>
      </c>
      <c r="AC238">
        <v>0</v>
      </c>
      <c r="AD238" s="8"/>
    </row>
    <row r="239" spans="1:30" x14ac:dyDescent="0.3">
      <c r="A239" t="s">
        <v>1627</v>
      </c>
      <c r="B239">
        <v>1403679</v>
      </c>
      <c r="D239" t="s">
        <v>7</v>
      </c>
      <c r="E239">
        <v>946192</v>
      </c>
      <c r="F239">
        <v>9015884123</v>
      </c>
      <c r="G239">
        <v>281</v>
      </c>
      <c r="H239" t="s">
        <v>627</v>
      </c>
      <c r="I239">
        <v>0</v>
      </c>
      <c r="J239" t="s">
        <v>628</v>
      </c>
      <c r="K239" t="s">
        <v>8</v>
      </c>
      <c r="L239" t="s">
        <v>18</v>
      </c>
      <c r="M239" t="s">
        <v>9</v>
      </c>
      <c r="N239" t="s">
        <v>14</v>
      </c>
      <c r="O239" s="2">
        <v>0</v>
      </c>
      <c r="P239" s="3">
        <v>0</v>
      </c>
      <c r="Q239" s="1">
        <v>46033</v>
      </c>
      <c r="R239" s="1">
        <v>45992</v>
      </c>
      <c r="S239" s="1">
        <v>46022</v>
      </c>
      <c r="V239" s="8">
        <v>1</v>
      </c>
      <c r="W239" t="s">
        <v>24</v>
      </c>
      <c r="X239" t="s">
        <v>629</v>
      </c>
      <c r="Y239" t="s">
        <v>40</v>
      </c>
      <c r="Z239" t="s">
        <v>11</v>
      </c>
      <c r="AA239">
        <v>62371</v>
      </c>
      <c r="AB239">
        <v>21442460</v>
      </c>
      <c r="AC239">
        <v>1</v>
      </c>
      <c r="AD239" s="8"/>
    </row>
    <row r="240" spans="1:30" x14ac:dyDescent="0.3">
      <c r="A240" t="s">
        <v>1627</v>
      </c>
      <c r="B240">
        <v>1403700</v>
      </c>
      <c r="D240" t="s">
        <v>7</v>
      </c>
      <c r="E240">
        <v>946224</v>
      </c>
      <c r="F240">
        <v>9015884123</v>
      </c>
      <c r="G240">
        <v>293</v>
      </c>
      <c r="H240" t="s">
        <v>630</v>
      </c>
      <c r="I240">
        <v>0</v>
      </c>
      <c r="J240" t="s">
        <v>631</v>
      </c>
      <c r="K240" t="s">
        <v>8</v>
      </c>
      <c r="L240" t="s">
        <v>15</v>
      </c>
      <c r="M240" t="s">
        <v>9</v>
      </c>
      <c r="N240" t="s">
        <v>14</v>
      </c>
      <c r="O240" s="2">
        <v>0</v>
      </c>
      <c r="P240" s="3">
        <v>0</v>
      </c>
      <c r="Q240" s="1">
        <v>46033</v>
      </c>
      <c r="R240" s="1">
        <v>45992</v>
      </c>
      <c r="S240" s="1">
        <v>46022</v>
      </c>
      <c r="V240" s="8">
        <v>1</v>
      </c>
      <c r="W240" t="s">
        <v>24</v>
      </c>
      <c r="X240" t="s">
        <v>632</v>
      </c>
      <c r="Y240" t="s">
        <v>40</v>
      </c>
      <c r="Z240" t="s">
        <v>11</v>
      </c>
      <c r="AA240">
        <v>62371</v>
      </c>
      <c r="AB240">
        <v>18795436</v>
      </c>
      <c r="AC240">
        <v>1</v>
      </c>
      <c r="AD240" s="8"/>
    </row>
    <row r="241" spans="1:30" x14ac:dyDescent="0.3">
      <c r="A241" t="s">
        <v>1627</v>
      </c>
      <c r="B241">
        <v>1353830</v>
      </c>
      <c r="D241" t="s">
        <v>7</v>
      </c>
      <c r="E241">
        <v>945350</v>
      </c>
      <c r="F241">
        <v>9015884123</v>
      </c>
      <c r="G241">
        <v>96</v>
      </c>
      <c r="H241" t="s">
        <v>633</v>
      </c>
      <c r="I241">
        <v>0</v>
      </c>
      <c r="J241" t="s">
        <v>634</v>
      </c>
      <c r="K241" t="s">
        <v>8</v>
      </c>
      <c r="L241" t="s">
        <v>18</v>
      </c>
      <c r="M241" t="s">
        <v>9</v>
      </c>
      <c r="N241" t="s">
        <v>14</v>
      </c>
      <c r="O241" s="2">
        <v>-1.6</v>
      </c>
      <c r="P241" s="3">
        <v>0</v>
      </c>
      <c r="Q241" s="1">
        <v>46033</v>
      </c>
      <c r="R241" s="1">
        <v>45992</v>
      </c>
      <c r="S241" s="1">
        <v>46022</v>
      </c>
      <c r="V241" s="8">
        <v>1</v>
      </c>
      <c r="W241" t="s">
        <v>24</v>
      </c>
      <c r="X241" t="s">
        <v>635</v>
      </c>
      <c r="Y241" t="s">
        <v>40</v>
      </c>
      <c r="Z241" t="s">
        <v>11</v>
      </c>
      <c r="AA241">
        <v>62371</v>
      </c>
      <c r="AB241">
        <v>19816310</v>
      </c>
      <c r="AC241">
        <v>0</v>
      </c>
      <c r="AD241" s="8"/>
    </row>
    <row r="242" spans="1:30" x14ac:dyDescent="0.3">
      <c r="A242" t="s">
        <v>1627</v>
      </c>
      <c r="B242">
        <v>1415389</v>
      </c>
      <c r="D242" t="s">
        <v>7</v>
      </c>
      <c r="E242">
        <v>946460</v>
      </c>
      <c r="F242">
        <v>9015884123</v>
      </c>
      <c r="G242">
        <v>393</v>
      </c>
      <c r="H242" t="s">
        <v>636</v>
      </c>
      <c r="I242">
        <v>0</v>
      </c>
      <c r="J242" t="s">
        <v>637</v>
      </c>
      <c r="K242" t="s">
        <v>8</v>
      </c>
      <c r="L242" t="s">
        <v>67</v>
      </c>
      <c r="M242" t="s">
        <v>9</v>
      </c>
      <c r="N242" t="s">
        <v>14</v>
      </c>
      <c r="O242" s="2">
        <v>208558.11</v>
      </c>
      <c r="P242" s="3">
        <v>1464.27</v>
      </c>
      <c r="Q242" s="1">
        <v>46033</v>
      </c>
      <c r="R242" s="1">
        <v>45992</v>
      </c>
      <c r="S242" s="1">
        <v>46022</v>
      </c>
      <c r="V242" s="8">
        <v>1</v>
      </c>
      <c r="W242" t="s">
        <v>24</v>
      </c>
      <c r="X242" t="s">
        <v>638</v>
      </c>
      <c r="Y242" t="s">
        <v>639</v>
      </c>
      <c r="Z242" t="s">
        <v>11</v>
      </c>
      <c r="AA242">
        <v>62371</v>
      </c>
      <c r="AB242">
        <v>17597638</v>
      </c>
      <c r="AC242">
        <v>0</v>
      </c>
      <c r="AD242" s="8"/>
    </row>
    <row r="243" spans="1:30" x14ac:dyDescent="0.3">
      <c r="A243" t="s">
        <v>1627</v>
      </c>
      <c r="B243">
        <v>1428549</v>
      </c>
      <c r="D243" t="s">
        <v>7</v>
      </c>
      <c r="E243">
        <v>946803</v>
      </c>
      <c r="F243">
        <v>9015884123</v>
      </c>
      <c r="G243">
        <v>502</v>
      </c>
      <c r="H243" t="s">
        <v>640</v>
      </c>
      <c r="I243">
        <v>0</v>
      </c>
      <c r="J243" t="s">
        <v>641</v>
      </c>
      <c r="K243" t="s">
        <v>8</v>
      </c>
      <c r="L243" t="s">
        <v>19</v>
      </c>
      <c r="M243" t="s">
        <v>9</v>
      </c>
      <c r="N243" t="s">
        <v>14</v>
      </c>
      <c r="O243" s="2">
        <v>13078.59</v>
      </c>
      <c r="P243" s="3">
        <v>80.16</v>
      </c>
      <c r="Q243" s="1">
        <v>46033</v>
      </c>
      <c r="R243" s="1">
        <v>45992</v>
      </c>
      <c r="S243" s="1">
        <v>46022</v>
      </c>
      <c r="V243" s="8">
        <v>1</v>
      </c>
      <c r="W243" t="s">
        <v>24</v>
      </c>
      <c r="X243" t="s">
        <v>642</v>
      </c>
      <c r="Y243" t="s">
        <v>40</v>
      </c>
      <c r="Z243" t="s">
        <v>11</v>
      </c>
      <c r="AA243">
        <v>62371</v>
      </c>
      <c r="AB243">
        <v>18766493</v>
      </c>
      <c r="AC243">
        <v>1</v>
      </c>
      <c r="AD243" s="8"/>
    </row>
    <row r="244" spans="1:30" x14ac:dyDescent="0.3">
      <c r="A244" t="s">
        <v>1627</v>
      </c>
      <c r="B244">
        <v>1356301</v>
      </c>
      <c r="D244" t="s">
        <v>7</v>
      </c>
      <c r="E244">
        <v>945388</v>
      </c>
      <c r="F244">
        <v>9015884123</v>
      </c>
      <c r="G244">
        <v>108</v>
      </c>
      <c r="H244" t="s">
        <v>643</v>
      </c>
      <c r="I244">
        <v>0</v>
      </c>
      <c r="J244" t="s">
        <v>644</v>
      </c>
      <c r="K244" t="s">
        <v>8</v>
      </c>
      <c r="L244" t="s">
        <v>15</v>
      </c>
      <c r="M244" t="s">
        <v>9</v>
      </c>
      <c r="N244" t="s">
        <v>14</v>
      </c>
      <c r="O244" s="2">
        <v>0</v>
      </c>
      <c r="P244" s="3">
        <v>2372.4369999999999</v>
      </c>
      <c r="Q244" s="1">
        <v>46033</v>
      </c>
      <c r="R244" s="1">
        <v>45992</v>
      </c>
      <c r="S244" s="1">
        <v>46022</v>
      </c>
      <c r="V244" s="8">
        <v>1</v>
      </c>
      <c r="W244" t="s">
        <v>24</v>
      </c>
      <c r="X244" t="s">
        <v>645</v>
      </c>
      <c r="Y244" t="s">
        <v>40</v>
      </c>
      <c r="Z244" t="s">
        <v>11</v>
      </c>
      <c r="AA244">
        <v>62371</v>
      </c>
      <c r="AB244">
        <v>21106442</v>
      </c>
      <c r="AC244">
        <v>1</v>
      </c>
      <c r="AD244" s="8"/>
    </row>
    <row r="245" spans="1:30" x14ac:dyDescent="0.3">
      <c r="A245" t="s">
        <v>1627</v>
      </c>
      <c r="B245">
        <v>1362945</v>
      </c>
      <c r="D245" t="s">
        <v>7</v>
      </c>
      <c r="E245">
        <v>945905</v>
      </c>
      <c r="F245">
        <v>9015884123</v>
      </c>
      <c r="G245">
        <v>154</v>
      </c>
      <c r="H245" t="s">
        <v>646</v>
      </c>
      <c r="I245">
        <v>0</v>
      </c>
      <c r="J245" t="s">
        <v>647</v>
      </c>
      <c r="K245" t="s">
        <v>8</v>
      </c>
      <c r="L245" t="s">
        <v>67</v>
      </c>
      <c r="M245" t="s">
        <v>9</v>
      </c>
      <c r="N245" t="s">
        <v>14</v>
      </c>
      <c r="O245" s="2">
        <v>269983.53999999998</v>
      </c>
      <c r="P245" s="3">
        <v>2499.9459999999999</v>
      </c>
      <c r="Q245" s="1">
        <v>46033</v>
      </c>
      <c r="R245" s="1">
        <v>45992</v>
      </c>
      <c r="S245" s="1">
        <v>46022</v>
      </c>
      <c r="V245" s="8">
        <v>1</v>
      </c>
      <c r="W245" t="s">
        <v>24</v>
      </c>
      <c r="X245" t="s">
        <v>648</v>
      </c>
      <c r="Y245" t="s">
        <v>40</v>
      </c>
      <c r="Z245" t="s">
        <v>11</v>
      </c>
      <c r="AA245">
        <v>62371</v>
      </c>
      <c r="AB245">
        <v>19752818</v>
      </c>
      <c r="AC245">
        <v>1</v>
      </c>
      <c r="AD245" s="8"/>
    </row>
    <row r="246" spans="1:30" x14ac:dyDescent="0.3">
      <c r="A246" t="s">
        <v>1627</v>
      </c>
      <c r="B246">
        <v>1363374</v>
      </c>
      <c r="D246" t="s">
        <v>7</v>
      </c>
      <c r="E246">
        <v>945915</v>
      </c>
      <c r="F246">
        <v>9015884123</v>
      </c>
      <c r="G246">
        <v>166</v>
      </c>
      <c r="H246" t="s">
        <v>649</v>
      </c>
      <c r="I246">
        <v>0</v>
      </c>
      <c r="J246" t="s">
        <v>650</v>
      </c>
      <c r="K246" t="s">
        <v>8</v>
      </c>
      <c r="L246" t="s">
        <v>19</v>
      </c>
      <c r="M246" t="s">
        <v>9</v>
      </c>
      <c r="N246" t="s">
        <v>14</v>
      </c>
      <c r="O246" s="2">
        <v>86201.97</v>
      </c>
      <c r="P246" s="3">
        <v>436.26299999999998</v>
      </c>
      <c r="Q246" s="1">
        <v>46033</v>
      </c>
      <c r="R246" s="1">
        <v>45992</v>
      </c>
      <c r="S246" s="1">
        <v>46022</v>
      </c>
      <c r="V246" s="8">
        <v>1</v>
      </c>
      <c r="W246" t="s">
        <v>24</v>
      </c>
      <c r="X246" t="s">
        <v>651</v>
      </c>
      <c r="Y246" t="s">
        <v>40</v>
      </c>
      <c r="Z246" t="s">
        <v>11</v>
      </c>
      <c r="AA246">
        <v>62371</v>
      </c>
      <c r="AB246">
        <v>19645158</v>
      </c>
      <c r="AC246">
        <v>0</v>
      </c>
      <c r="AD246" s="8"/>
    </row>
    <row r="247" spans="1:30" x14ac:dyDescent="0.3">
      <c r="A247" t="s">
        <v>1627</v>
      </c>
      <c r="B247">
        <v>1363370</v>
      </c>
      <c r="D247" t="s">
        <v>7</v>
      </c>
      <c r="E247">
        <v>945909</v>
      </c>
      <c r="F247">
        <v>9015884123</v>
      </c>
      <c r="G247">
        <v>158</v>
      </c>
      <c r="H247" t="s">
        <v>652</v>
      </c>
      <c r="I247">
        <v>0</v>
      </c>
      <c r="J247" t="s">
        <v>653</v>
      </c>
      <c r="K247" t="s">
        <v>8</v>
      </c>
      <c r="L247" t="s">
        <v>15</v>
      </c>
      <c r="M247" t="s">
        <v>9</v>
      </c>
      <c r="N247" t="s">
        <v>14</v>
      </c>
      <c r="O247" s="2">
        <v>0</v>
      </c>
      <c r="P247" s="3">
        <v>63.603999999999999</v>
      </c>
      <c r="Q247" s="1">
        <v>46033</v>
      </c>
      <c r="R247" s="1">
        <v>45992</v>
      </c>
      <c r="S247" s="1">
        <v>46022</v>
      </c>
      <c r="V247" s="8">
        <v>1</v>
      </c>
      <c r="W247" t="s">
        <v>24</v>
      </c>
      <c r="X247" t="s">
        <v>654</v>
      </c>
      <c r="Y247" t="s">
        <v>40</v>
      </c>
      <c r="Z247" t="s">
        <v>11</v>
      </c>
      <c r="AA247">
        <v>62371</v>
      </c>
      <c r="AB247">
        <v>21106485</v>
      </c>
      <c r="AC247">
        <v>1</v>
      </c>
      <c r="AD247" s="8"/>
    </row>
    <row r="248" spans="1:30" x14ac:dyDescent="0.3">
      <c r="A248" t="s">
        <v>1627</v>
      </c>
      <c r="B248">
        <v>1363370</v>
      </c>
      <c r="D248" t="s">
        <v>7</v>
      </c>
      <c r="E248">
        <v>945909</v>
      </c>
      <c r="F248">
        <v>9015884123</v>
      </c>
      <c r="G248">
        <v>158</v>
      </c>
      <c r="H248" t="s">
        <v>652</v>
      </c>
      <c r="I248">
        <v>0</v>
      </c>
      <c r="J248" t="s">
        <v>653</v>
      </c>
      <c r="K248" t="s">
        <v>8</v>
      </c>
      <c r="L248" t="s">
        <v>18</v>
      </c>
      <c r="M248" t="s">
        <v>9</v>
      </c>
      <c r="N248" t="s">
        <v>14</v>
      </c>
      <c r="O248" s="2">
        <v>0.35</v>
      </c>
      <c r="P248" s="3">
        <v>0</v>
      </c>
      <c r="Q248" s="1">
        <v>46033</v>
      </c>
      <c r="R248" s="1">
        <v>45992</v>
      </c>
      <c r="S248" s="1">
        <v>46022</v>
      </c>
      <c r="V248" s="8">
        <v>1</v>
      </c>
      <c r="W248" t="s">
        <v>24</v>
      </c>
      <c r="X248" t="s">
        <v>654</v>
      </c>
      <c r="Y248" t="s">
        <v>40</v>
      </c>
      <c r="Z248" t="s">
        <v>11</v>
      </c>
      <c r="AA248">
        <v>62371</v>
      </c>
      <c r="AB248">
        <v>21106485</v>
      </c>
      <c r="AC248">
        <v>1</v>
      </c>
      <c r="AD248" s="8"/>
    </row>
    <row r="249" spans="1:30" x14ac:dyDescent="0.3">
      <c r="A249" t="s">
        <v>1627</v>
      </c>
      <c r="B249">
        <v>1379575</v>
      </c>
      <c r="D249" t="s">
        <v>7</v>
      </c>
      <c r="E249">
        <v>945974</v>
      </c>
      <c r="F249">
        <v>9015884123</v>
      </c>
      <c r="G249">
        <v>205</v>
      </c>
      <c r="H249" t="s">
        <v>656</v>
      </c>
      <c r="I249">
        <v>0</v>
      </c>
      <c r="J249" t="s">
        <v>657</v>
      </c>
      <c r="K249" t="s">
        <v>8</v>
      </c>
      <c r="L249" t="s">
        <v>67</v>
      </c>
      <c r="M249" t="s">
        <v>9</v>
      </c>
      <c r="N249" t="s">
        <v>14</v>
      </c>
      <c r="O249" s="2">
        <v>248928.15</v>
      </c>
      <c r="P249" s="3">
        <v>2304.9810000000002</v>
      </c>
      <c r="Q249" s="1">
        <v>46033</v>
      </c>
      <c r="R249" s="1">
        <v>45992</v>
      </c>
      <c r="S249" s="1">
        <v>46022</v>
      </c>
      <c r="V249" s="8">
        <v>1</v>
      </c>
      <c r="W249" t="s">
        <v>24</v>
      </c>
      <c r="X249" t="s">
        <v>658</v>
      </c>
      <c r="Y249" t="s">
        <v>40</v>
      </c>
      <c r="Z249" t="s">
        <v>11</v>
      </c>
      <c r="AA249">
        <v>62371</v>
      </c>
      <c r="AB249">
        <v>19752769</v>
      </c>
      <c r="AC249">
        <v>1</v>
      </c>
      <c r="AD249" s="8"/>
    </row>
    <row r="250" spans="1:30" x14ac:dyDescent="0.3">
      <c r="A250" t="s">
        <v>1627</v>
      </c>
      <c r="B250">
        <v>1303762</v>
      </c>
      <c r="D250" t="s">
        <v>7</v>
      </c>
      <c r="E250">
        <v>945142</v>
      </c>
      <c r="F250">
        <v>9015884123</v>
      </c>
      <c r="G250">
        <v>22</v>
      </c>
      <c r="H250" t="s">
        <v>659</v>
      </c>
      <c r="I250">
        <v>0</v>
      </c>
      <c r="J250" t="s">
        <v>660</v>
      </c>
      <c r="K250" t="s">
        <v>8</v>
      </c>
      <c r="L250" t="s">
        <v>18</v>
      </c>
      <c r="M250" t="s">
        <v>9</v>
      </c>
      <c r="N250" t="s">
        <v>14</v>
      </c>
      <c r="O250" s="2">
        <v>-4.09</v>
      </c>
      <c r="P250" s="3">
        <v>0</v>
      </c>
      <c r="Q250" s="1">
        <v>46033</v>
      </c>
      <c r="R250" s="1">
        <v>45992</v>
      </c>
      <c r="S250" s="1">
        <v>46022</v>
      </c>
      <c r="V250" s="8">
        <v>1</v>
      </c>
      <c r="W250" t="s">
        <v>24</v>
      </c>
      <c r="X250" t="s">
        <v>661</v>
      </c>
      <c r="Y250" t="s">
        <v>40</v>
      </c>
      <c r="Z250" t="s">
        <v>11</v>
      </c>
      <c r="AA250">
        <v>62371</v>
      </c>
      <c r="AB250">
        <v>19752927</v>
      </c>
      <c r="AC250">
        <v>1</v>
      </c>
      <c r="AD250" s="8"/>
    </row>
    <row r="251" spans="1:30" x14ac:dyDescent="0.3">
      <c r="A251" t="s">
        <v>1627</v>
      </c>
      <c r="B251">
        <v>1303767</v>
      </c>
      <c r="D251" t="s">
        <v>7</v>
      </c>
      <c r="E251">
        <v>945163</v>
      </c>
      <c r="F251">
        <v>9015884123</v>
      </c>
      <c r="G251">
        <v>33</v>
      </c>
      <c r="H251" t="s">
        <v>662</v>
      </c>
      <c r="I251">
        <v>0</v>
      </c>
      <c r="J251" t="s">
        <v>663</v>
      </c>
      <c r="K251" t="s">
        <v>8</v>
      </c>
      <c r="L251" t="s">
        <v>67</v>
      </c>
      <c r="M251" t="s">
        <v>9</v>
      </c>
      <c r="N251" t="s">
        <v>14</v>
      </c>
      <c r="O251" s="2">
        <v>1096027.05</v>
      </c>
      <c r="P251" s="3">
        <v>10148.798000000001</v>
      </c>
      <c r="Q251" s="1">
        <v>46033</v>
      </c>
      <c r="R251" s="1">
        <v>45992</v>
      </c>
      <c r="S251" s="1">
        <v>46022</v>
      </c>
      <c r="V251" s="8">
        <v>1</v>
      </c>
      <c r="W251" t="s">
        <v>24</v>
      </c>
      <c r="X251" t="s">
        <v>664</v>
      </c>
      <c r="Y251" t="s">
        <v>40</v>
      </c>
      <c r="Z251" t="s">
        <v>11</v>
      </c>
      <c r="AA251">
        <v>62371</v>
      </c>
      <c r="AB251">
        <v>18975211</v>
      </c>
      <c r="AC251">
        <v>1</v>
      </c>
      <c r="AD251" s="8"/>
    </row>
    <row r="252" spans="1:30" x14ac:dyDescent="0.3">
      <c r="A252" t="s">
        <v>1627</v>
      </c>
      <c r="B252">
        <v>1399955</v>
      </c>
      <c r="D252" t="s">
        <v>7</v>
      </c>
      <c r="E252">
        <v>946096</v>
      </c>
      <c r="F252">
        <v>9015884123</v>
      </c>
      <c r="G252">
        <v>252</v>
      </c>
      <c r="H252" t="s">
        <v>665</v>
      </c>
      <c r="I252">
        <v>0</v>
      </c>
      <c r="J252" t="s">
        <v>666</v>
      </c>
      <c r="K252" t="s">
        <v>8</v>
      </c>
      <c r="L252" t="s">
        <v>18</v>
      </c>
      <c r="M252" t="s">
        <v>9</v>
      </c>
      <c r="N252" t="s">
        <v>14</v>
      </c>
      <c r="O252" s="2">
        <v>3.5</v>
      </c>
      <c r="P252" s="3">
        <v>0</v>
      </c>
      <c r="Q252" s="1">
        <v>46033</v>
      </c>
      <c r="R252" s="1">
        <v>45992</v>
      </c>
      <c r="S252" s="1">
        <v>46022</v>
      </c>
      <c r="V252" s="8">
        <v>1</v>
      </c>
      <c r="W252" t="s">
        <v>24</v>
      </c>
      <c r="X252" t="s">
        <v>667</v>
      </c>
      <c r="Y252" t="s">
        <v>40</v>
      </c>
      <c r="Z252" t="s">
        <v>11</v>
      </c>
      <c r="AA252">
        <v>62371</v>
      </c>
      <c r="AB252">
        <v>18848009</v>
      </c>
      <c r="AC252">
        <v>1</v>
      </c>
      <c r="AD252" s="8"/>
    </row>
    <row r="253" spans="1:30" x14ac:dyDescent="0.3">
      <c r="A253" t="s">
        <v>1627</v>
      </c>
      <c r="B253">
        <v>1403635</v>
      </c>
      <c r="D253" t="s">
        <v>7</v>
      </c>
      <c r="E253">
        <v>946158</v>
      </c>
      <c r="F253">
        <v>9015884123</v>
      </c>
      <c r="G253">
        <v>271</v>
      </c>
      <c r="H253" t="s">
        <v>668</v>
      </c>
      <c r="I253">
        <v>0</v>
      </c>
      <c r="J253" t="s">
        <v>669</v>
      </c>
      <c r="K253" t="s">
        <v>8</v>
      </c>
      <c r="L253" t="s">
        <v>67</v>
      </c>
      <c r="M253" t="s">
        <v>9</v>
      </c>
      <c r="N253" t="s">
        <v>14</v>
      </c>
      <c r="O253" s="2">
        <v>77361.89</v>
      </c>
      <c r="P253" s="3">
        <v>716.34199999999998</v>
      </c>
      <c r="Q253" s="1">
        <v>46033</v>
      </c>
      <c r="R253" s="1">
        <v>45992</v>
      </c>
      <c r="S253" s="1">
        <v>46022</v>
      </c>
      <c r="V253" s="8">
        <v>1</v>
      </c>
      <c r="W253" t="s">
        <v>24</v>
      </c>
      <c r="X253" t="s">
        <v>670</v>
      </c>
      <c r="Y253" t="s">
        <v>40</v>
      </c>
      <c r="Z253" t="s">
        <v>11</v>
      </c>
      <c r="AA253">
        <v>62371</v>
      </c>
      <c r="AB253">
        <v>20066211</v>
      </c>
      <c r="AC253">
        <v>1</v>
      </c>
      <c r="AD253" s="8"/>
    </row>
    <row r="254" spans="1:30" x14ac:dyDescent="0.3">
      <c r="A254" t="s">
        <v>1627</v>
      </c>
      <c r="B254">
        <v>1405410</v>
      </c>
      <c r="D254" t="s">
        <v>7</v>
      </c>
      <c r="E254">
        <v>946254</v>
      </c>
      <c r="F254">
        <v>9015884123</v>
      </c>
      <c r="G254">
        <v>303</v>
      </c>
      <c r="H254" t="s">
        <v>671</v>
      </c>
      <c r="I254">
        <v>0</v>
      </c>
      <c r="J254" t="s">
        <v>672</v>
      </c>
      <c r="K254" t="s">
        <v>8</v>
      </c>
      <c r="L254" t="s">
        <v>19</v>
      </c>
      <c r="M254" t="s">
        <v>9</v>
      </c>
      <c r="N254" t="s">
        <v>14</v>
      </c>
      <c r="O254" s="2">
        <v>983.67</v>
      </c>
      <c r="P254" s="3">
        <v>6.0289999999999999</v>
      </c>
      <c r="Q254" s="1">
        <v>46033</v>
      </c>
      <c r="R254" s="1">
        <v>45992</v>
      </c>
      <c r="S254" s="1">
        <v>46022</v>
      </c>
      <c r="V254" s="8">
        <v>1</v>
      </c>
      <c r="W254" t="s">
        <v>24</v>
      </c>
      <c r="X254" t="s">
        <v>673</v>
      </c>
      <c r="Y254" t="s">
        <v>40</v>
      </c>
      <c r="Z254" t="s">
        <v>11</v>
      </c>
      <c r="AA254">
        <v>62371</v>
      </c>
      <c r="AB254">
        <v>19752870</v>
      </c>
      <c r="AC254">
        <v>1</v>
      </c>
      <c r="AD254" s="8"/>
    </row>
    <row r="255" spans="1:30" x14ac:dyDescent="0.3">
      <c r="A255" t="s">
        <v>1627</v>
      </c>
      <c r="B255">
        <v>1424496</v>
      </c>
      <c r="D255" t="s">
        <v>7</v>
      </c>
      <c r="E255">
        <v>946700</v>
      </c>
      <c r="F255">
        <v>9015884123</v>
      </c>
      <c r="G255">
        <v>468</v>
      </c>
      <c r="H255" t="s">
        <v>674</v>
      </c>
      <c r="I255">
        <v>0</v>
      </c>
      <c r="J255" t="s">
        <v>675</v>
      </c>
      <c r="K255" t="s">
        <v>8</v>
      </c>
      <c r="L255" t="s">
        <v>15</v>
      </c>
      <c r="M255" t="s">
        <v>9</v>
      </c>
      <c r="N255" t="s">
        <v>14</v>
      </c>
      <c r="O255" s="2">
        <v>0</v>
      </c>
      <c r="P255" s="3">
        <v>1190.8900000000001</v>
      </c>
      <c r="Q255" s="1">
        <v>46033</v>
      </c>
      <c r="R255" s="1">
        <v>45992</v>
      </c>
      <c r="S255" s="1">
        <v>46022</v>
      </c>
      <c r="V255" s="8">
        <v>1</v>
      </c>
      <c r="W255" t="s">
        <v>24</v>
      </c>
      <c r="X255" t="s">
        <v>676</v>
      </c>
      <c r="Y255" t="s">
        <v>677</v>
      </c>
      <c r="Z255" t="s">
        <v>11</v>
      </c>
      <c r="AA255">
        <v>62371</v>
      </c>
      <c r="AB255">
        <v>17636730</v>
      </c>
      <c r="AC255">
        <v>0</v>
      </c>
      <c r="AD255" s="8"/>
    </row>
    <row r="256" spans="1:30" x14ac:dyDescent="0.3">
      <c r="A256" t="s">
        <v>1627</v>
      </c>
      <c r="B256">
        <v>1406212</v>
      </c>
      <c r="D256" t="s">
        <v>7</v>
      </c>
      <c r="E256">
        <v>946281</v>
      </c>
      <c r="F256">
        <v>9015884123</v>
      </c>
      <c r="G256">
        <v>313</v>
      </c>
      <c r="H256" t="s">
        <v>679</v>
      </c>
      <c r="I256">
        <v>0</v>
      </c>
      <c r="J256" t="s">
        <v>680</v>
      </c>
      <c r="K256" t="s">
        <v>8</v>
      </c>
      <c r="L256" t="s">
        <v>67</v>
      </c>
      <c r="M256" t="s">
        <v>9</v>
      </c>
      <c r="N256" t="s">
        <v>14</v>
      </c>
      <c r="O256" s="2">
        <v>0</v>
      </c>
      <c r="P256" s="3">
        <v>0</v>
      </c>
      <c r="Q256" s="1">
        <v>46033</v>
      </c>
      <c r="R256" s="1">
        <v>45992</v>
      </c>
      <c r="S256" s="1">
        <v>46022</v>
      </c>
      <c r="V256" s="8">
        <v>1</v>
      </c>
      <c r="W256" t="s">
        <v>24</v>
      </c>
      <c r="X256" t="s">
        <v>681</v>
      </c>
      <c r="Y256" t="s">
        <v>40</v>
      </c>
      <c r="Z256" t="s">
        <v>11</v>
      </c>
      <c r="AA256">
        <v>62371</v>
      </c>
      <c r="AB256">
        <v>18353669</v>
      </c>
      <c r="AC256">
        <v>1</v>
      </c>
      <c r="AD256" s="8"/>
    </row>
    <row r="257" spans="1:30" x14ac:dyDescent="0.3">
      <c r="A257" t="s">
        <v>1627</v>
      </c>
      <c r="B257">
        <v>1420739</v>
      </c>
      <c r="D257" t="s">
        <v>7</v>
      </c>
      <c r="E257">
        <v>946691</v>
      </c>
      <c r="F257">
        <v>9015884123</v>
      </c>
      <c r="G257">
        <v>465</v>
      </c>
      <c r="H257" t="s">
        <v>682</v>
      </c>
      <c r="I257">
        <v>0</v>
      </c>
      <c r="J257" t="s">
        <v>683</v>
      </c>
      <c r="K257" t="s">
        <v>8</v>
      </c>
      <c r="L257" t="s">
        <v>18</v>
      </c>
      <c r="M257" t="s">
        <v>9</v>
      </c>
      <c r="N257" t="s">
        <v>14</v>
      </c>
      <c r="O257" s="2">
        <v>-3.91</v>
      </c>
      <c r="P257" s="3">
        <v>0</v>
      </c>
      <c r="Q257" s="1">
        <v>46033</v>
      </c>
      <c r="R257" s="1">
        <v>45992</v>
      </c>
      <c r="S257" s="1">
        <v>46022</v>
      </c>
      <c r="V257" s="8">
        <v>1</v>
      </c>
      <c r="W257" t="s">
        <v>24</v>
      </c>
      <c r="X257" t="s">
        <v>684</v>
      </c>
      <c r="Y257" t="s">
        <v>42</v>
      </c>
      <c r="Z257" t="s">
        <v>11</v>
      </c>
      <c r="AA257">
        <v>62371</v>
      </c>
      <c r="AB257">
        <v>20074096</v>
      </c>
      <c r="AC257">
        <v>1</v>
      </c>
      <c r="AD257" s="8"/>
    </row>
    <row r="258" spans="1:30" x14ac:dyDescent="0.3">
      <c r="A258" t="s">
        <v>1627</v>
      </c>
      <c r="B258">
        <v>1419804</v>
      </c>
      <c r="D258" t="s">
        <v>7</v>
      </c>
      <c r="E258">
        <v>946671</v>
      </c>
      <c r="F258">
        <v>9015884123</v>
      </c>
      <c r="G258">
        <v>459</v>
      </c>
      <c r="H258" t="s">
        <v>685</v>
      </c>
      <c r="I258">
        <v>0</v>
      </c>
      <c r="J258" t="s">
        <v>686</v>
      </c>
      <c r="K258" t="s">
        <v>8</v>
      </c>
      <c r="L258" t="s">
        <v>18</v>
      </c>
      <c r="M258" t="s">
        <v>9</v>
      </c>
      <c r="N258" t="s">
        <v>14</v>
      </c>
      <c r="O258" s="2">
        <v>4.7300000000000004</v>
      </c>
      <c r="P258" s="3">
        <v>0</v>
      </c>
      <c r="Q258" s="1">
        <v>46033</v>
      </c>
      <c r="R258" s="1">
        <v>45992</v>
      </c>
      <c r="S258" s="1">
        <v>46022</v>
      </c>
      <c r="V258" s="8">
        <v>1</v>
      </c>
      <c r="W258" t="s">
        <v>24</v>
      </c>
      <c r="X258" t="s">
        <v>687</v>
      </c>
      <c r="Y258" t="s">
        <v>42</v>
      </c>
      <c r="Z258" t="s">
        <v>11</v>
      </c>
      <c r="AA258">
        <v>62371</v>
      </c>
      <c r="AB258">
        <v>17582780</v>
      </c>
      <c r="AC258">
        <v>0</v>
      </c>
      <c r="AD258" s="8"/>
    </row>
    <row r="259" spans="1:30" x14ac:dyDescent="0.3">
      <c r="A259" t="s">
        <v>1627</v>
      </c>
      <c r="B259">
        <v>1419804</v>
      </c>
      <c r="D259" t="s">
        <v>7</v>
      </c>
      <c r="E259">
        <v>946671</v>
      </c>
      <c r="F259">
        <v>9015884123</v>
      </c>
      <c r="G259">
        <v>459</v>
      </c>
      <c r="H259" t="s">
        <v>685</v>
      </c>
      <c r="I259">
        <v>0</v>
      </c>
      <c r="J259" t="s">
        <v>686</v>
      </c>
      <c r="K259" t="s">
        <v>8</v>
      </c>
      <c r="L259" t="s">
        <v>67</v>
      </c>
      <c r="M259" t="s">
        <v>9</v>
      </c>
      <c r="N259" t="s">
        <v>14</v>
      </c>
      <c r="O259" s="2">
        <v>338643.33</v>
      </c>
      <c r="P259" s="3">
        <v>2377.5880000000002</v>
      </c>
      <c r="Q259" s="1">
        <v>46033</v>
      </c>
      <c r="R259" s="1">
        <v>45992</v>
      </c>
      <c r="S259" s="1">
        <v>46022</v>
      </c>
      <c r="V259" s="8">
        <v>1</v>
      </c>
      <c r="W259" t="s">
        <v>24</v>
      </c>
      <c r="X259" t="s">
        <v>687</v>
      </c>
      <c r="Y259" t="s">
        <v>42</v>
      </c>
      <c r="Z259" t="s">
        <v>11</v>
      </c>
      <c r="AA259">
        <v>62371</v>
      </c>
      <c r="AB259">
        <v>17582780</v>
      </c>
      <c r="AC259">
        <v>0</v>
      </c>
      <c r="AD259" s="8"/>
    </row>
    <row r="260" spans="1:30" x14ac:dyDescent="0.3">
      <c r="A260" t="s">
        <v>1627</v>
      </c>
      <c r="B260">
        <v>1419804</v>
      </c>
      <c r="D260" t="s">
        <v>7</v>
      </c>
      <c r="E260">
        <v>946671</v>
      </c>
      <c r="F260">
        <v>9015884123</v>
      </c>
      <c r="G260">
        <v>459</v>
      </c>
      <c r="H260" t="s">
        <v>685</v>
      </c>
      <c r="I260">
        <v>0</v>
      </c>
      <c r="J260" t="s">
        <v>686</v>
      </c>
      <c r="K260" t="s">
        <v>8</v>
      </c>
      <c r="L260" t="s">
        <v>15</v>
      </c>
      <c r="M260" t="s">
        <v>9</v>
      </c>
      <c r="N260" t="s">
        <v>14</v>
      </c>
      <c r="O260" s="2">
        <v>0</v>
      </c>
      <c r="P260" s="3">
        <v>2377.5880000000002</v>
      </c>
      <c r="Q260" s="1">
        <v>46033</v>
      </c>
      <c r="R260" s="1">
        <v>45992</v>
      </c>
      <c r="S260" s="1">
        <v>46022</v>
      </c>
      <c r="V260" s="8">
        <v>1</v>
      </c>
      <c r="W260" t="s">
        <v>24</v>
      </c>
      <c r="X260" t="s">
        <v>687</v>
      </c>
      <c r="Y260" t="s">
        <v>42</v>
      </c>
      <c r="Z260" t="s">
        <v>11</v>
      </c>
      <c r="AA260">
        <v>62371</v>
      </c>
      <c r="AB260">
        <v>17582780</v>
      </c>
      <c r="AC260">
        <v>0</v>
      </c>
      <c r="AD260" s="8"/>
    </row>
    <row r="261" spans="1:30" x14ac:dyDescent="0.3">
      <c r="A261" t="s">
        <v>1627</v>
      </c>
      <c r="B261">
        <v>1419037</v>
      </c>
      <c r="D261" t="s">
        <v>7</v>
      </c>
      <c r="E261">
        <v>946635</v>
      </c>
      <c r="F261">
        <v>9015884123</v>
      </c>
      <c r="G261">
        <v>446</v>
      </c>
      <c r="H261" t="s">
        <v>688</v>
      </c>
      <c r="I261">
        <v>0</v>
      </c>
      <c r="J261" t="s">
        <v>689</v>
      </c>
      <c r="K261" t="s">
        <v>8</v>
      </c>
      <c r="L261" t="s">
        <v>67</v>
      </c>
      <c r="M261" t="s">
        <v>9</v>
      </c>
      <c r="N261" t="s">
        <v>14</v>
      </c>
      <c r="O261" s="2">
        <v>414041.42</v>
      </c>
      <c r="P261" s="3">
        <v>2906.9520000000002</v>
      </c>
      <c r="Q261" s="1">
        <v>46033</v>
      </c>
      <c r="R261" s="1">
        <v>45992</v>
      </c>
      <c r="S261" s="1">
        <v>46022</v>
      </c>
      <c r="V261" s="8">
        <v>1</v>
      </c>
      <c r="W261" t="s">
        <v>24</v>
      </c>
      <c r="X261" t="s">
        <v>690</v>
      </c>
      <c r="Y261" t="s">
        <v>42</v>
      </c>
      <c r="Z261" t="s">
        <v>11</v>
      </c>
      <c r="AA261">
        <v>62371</v>
      </c>
      <c r="AB261">
        <v>21365716</v>
      </c>
      <c r="AC261">
        <v>0</v>
      </c>
      <c r="AD261" s="8"/>
    </row>
    <row r="262" spans="1:30" x14ac:dyDescent="0.3">
      <c r="A262" t="s">
        <v>1627</v>
      </c>
      <c r="B262">
        <v>1415556</v>
      </c>
      <c r="D262" t="s">
        <v>7</v>
      </c>
      <c r="E262">
        <v>946458</v>
      </c>
      <c r="F262">
        <v>9015884123</v>
      </c>
      <c r="G262">
        <v>392</v>
      </c>
      <c r="H262" t="s">
        <v>691</v>
      </c>
      <c r="I262">
        <v>0</v>
      </c>
      <c r="J262" t="s">
        <v>692</v>
      </c>
      <c r="K262" t="s">
        <v>8</v>
      </c>
      <c r="L262" t="s">
        <v>19</v>
      </c>
      <c r="M262" t="s">
        <v>9</v>
      </c>
      <c r="N262" t="s">
        <v>14</v>
      </c>
      <c r="O262" s="2">
        <v>19026.310000000001</v>
      </c>
      <c r="P262" s="3">
        <v>96.290999999999997</v>
      </c>
      <c r="Q262" s="1">
        <v>46033</v>
      </c>
      <c r="R262" s="1">
        <v>45992</v>
      </c>
      <c r="S262" s="1">
        <v>46022</v>
      </c>
      <c r="V262" s="8">
        <v>1</v>
      </c>
      <c r="W262" t="s">
        <v>24</v>
      </c>
      <c r="X262" t="s">
        <v>693</v>
      </c>
      <c r="Y262" t="s">
        <v>42</v>
      </c>
      <c r="Z262" t="s">
        <v>11</v>
      </c>
      <c r="AA262">
        <v>62371</v>
      </c>
      <c r="AB262">
        <v>21406197</v>
      </c>
      <c r="AC262">
        <v>0</v>
      </c>
      <c r="AD262" s="8"/>
    </row>
    <row r="263" spans="1:30" x14ac:dyDescent="0.3">
      <c r="A263" t="s">
        <v>1627</v>
      </c>
      <c r="B263">
        <v>1363519</v>
      </c>
      <c r="D263" t="s">
        <v>7</v>
      </c>
      <c r="E263">
        <v>946809</v>
      </c>
      <c r="F263">
        <v>9015884123</v>
      </c>
      <c r="G263">
        <v>504</v>
      </c>
      <c r="H263" t="s">
        <v>69</v>
      </c>
      <c r="I263">
        <v>0</v>
      </c>
      <c r="J263" t="s">
        <v>70</v>
      </c>
      <c r="K263" t="s">
        <v>8</v>
      </c>
      <c r="L263" t="s">
        <v>67</v>
      </c>
      <c r="M263" t="s">
        <v>9</v>
      </c>
      <c r="N263" t="s">
        <v>14</v>
      </c>
      <c r="O263" s="2">
        <v>188.02</v>
      </c>
      <c r="P263" s="3">
        <v>1.7410000000000001</v>
      </c>
      <c r="Q263" s="1">
        <v>46033</v>
      </c>
      <c r="R263" s="1">
        <v>45992</v>
      </c>
      <c r="S263" s="1">
        <v>46022</v>
      </c>
      <c r="V263" s="8">
        <v>1</v>
      </c>
      <c r="W263" t="s">
        <v>24</v>
      </c>
      <c r="X263" t="s">
        <v>71</v>
      </c>
      <c r="Y263" t="s">
        <v>68</v>
      </c>
      <c r="Z263" t="s">
        <v>11</v>
      </c>
      <c r="AA263">
        <v>62371</v>
      </c>
      <c r="AB263">
        <v>19792503</v>
      </c>
      <c r="AC263">
        <v>1</v>
      </c>
      <c r="AD263" s="8"/>
    </row>
    <row r="264" spans="1:30" x14ac:dyDescent="0.3">
      <c r="A264" t="s">
        <v>1627</v>
      </c>
      <c r="B264">
        <v>1414344</v>
      </c>
      <c r="D264" t="s">
        <v>7</v>
      </c>
      <c r="E264">
        <v>946579</v>
      </c>
      <c r="F264">
        <v>9015884123</v>
      </c>
      <c r="G264">
        <v>429</v>
      </c>
      <c r="H264" t="s">
        <v>694</v>
      </c>
      <c r="I264">
        <v>0</v>
      </c>
      <c r="J264" t="s">
        <v>695</v>
      </c>
      <c r="K264" t="s">
        <v>8</v>
      </c>
      <c r="L264" t="s">
        <v>15</v>
      </c>
      <c r="M264" t="s">
        <v>9</v>
      </c>
      <c r="N264" t="s">
        <v>14</v>
      </c>
      <c r="O264" s="2">
        <v>0</v>
      </c>
      <c r="P264" s="3">
        <v>2149.4639999999999</v>
      </c>
      <c r="Q264" s="1">
        <v>46033</v>
      </c>
      <c r="R264" s="1">
        <v>45992</v>
      </c>
      <c r="S264" s="1">
        <v>46022</v>
      </c>
      <c r="V264" s="8">
        <v>1</v>
      </c>
      <c r="W264" t="s">
        <v>24</v>
      </c>
      <c r="X264" t="s">
        <v>696</v>
      </c>
      <c r="Y264" t="s">
        <v>29</v>
      </c>
      <c r="Z264" t="s">
        <v>11</v>
      </c>
      <c r="AA264">
        <v>62371</v>
      </c>
      <c r="AB264">
        <v>21409996</v>
      </c>
      <c r="AC264">
        <v>1</v>
      </c>
      <c r="AD264" s="8"/>
    </row>
    <row r="265" spans="1:30" x14ac:dyDescent="0.3">
      <c r="A265" t="s">
        <v>1627</v>
      </c>
      <c r="B265">
        <v>1303762</v>
      </c>
      <c r="D265" t="s">
        <v>7</v>
      </c>
      <c r="E265">
        <v>945142</v>
      </c>
      <c r="F265">
        <v>9015884123</v>
      </c>
      <c r="G265">
        <v>22</v>
      </c>
      <c r="H265" t="s">
        <v>659</v>
      </c>
      <c r="I265">
        <v>0</v>
      </c>
      <c r="J265" t="s">
        <v>660</v>
      </c>
      <c r="K265" t="s">
        <v>8</v>
      </c>
      <c r="L265" t="s">
        <v>67</v>
      </c>
      <c r="M265" t="s">
        <v>9</v>
      </c>
      <c r="N265" t="s">
        <v>14</v>
      </c>
      <c r="O265" s="2">
        <v>426790.67</v>
      </c>
      <c r="P265" s="3">
        <v>3951.9209999999998</v>
      </c>
      <c r="Q265" s="1">
        <v>46033</v>
      </c>
      <c r="R265" s="1">
        <v>45992</v>
      </c>
      <c r="S265" s="1">
        <v>46022</v>
      </c>
      <c r="V265" s="8">
        <v>1</v>
      </c>
      <c r="W265" t="s">
        <v>24</v>
      </c>
      <c r="X265" t="s">
        <v>661</v>
      </c>
      <c r="Y265" t="s">
        <v>40</v>
      </c>
      <c r="Z265" t="s">
        <v>11</v>
      </c>
      <c r="AA265">
        <v>62371</v>
      </c>
      <c r="AB265">
        <v>19752927</v>
      </c>
      <c r="AC265">
        <v>1</v>
      </c>
      <c r="AD265" s="8"/>
    </row>
    <row r="266" spans="1:30" x14ac:dyDescent="0.3">
      <c r="A266" t="s">
        <v>1627</v>
      </c>
      <c r="B266">
        <v>1307882</v>
      </c>
      <c r="D266" t="s">
        <v>7</v>
      </c>
      <c r="E266">
        <v>945169</v>
      </c>
      <c r="F266">
        <v>9015884123</v>
      </c>
      <c r="G266">
        <v>38</v>
      </c>
      <c r="H266" t="s">
        <v>697</v>
      </c>
      <c r="I266">
        <v>0</v>
      </c>
      <c r="J266" t="s">
        <v>698</v>
      </c>
      <c r="K266" t="s">
        <v>8</v>
      </c>
      <c r="L266" t="s">
        <v>67</v>
      </c>
      <c r="M266" t="s">
        <v>9</v>
      </c>
      <c r="N266" t="s">
        <v>14</v>
      </c>
      <c r="O266" s="2">
        <v>420232.91</v>
      </c>
      <c r="P266" s="3">
        <v>2950.422</v>
      </c>
      <c r="Q266" s="1">
        <v>46033</v>
      </c>
      <c r="R266" s="1">
        <v>45992</v>
      </c>
      <c r="S266" s="1">
        <v>46022</v>
      </c>
      <c r="V266" s="8">
        <v>1</v>
      </c>
      <c r="W266" t="s">
        <v>24</v>
      </c>
      <c r="X266" t="s">
        <v>699</v>
      </c>
      <c r="Y266" t="s">
        <v>40</v>
      </c>
      <c r="Z266" t="s">
        <v>11</v>
      </c>
      <c r="AA266">
        <v>62371</v>
      </c>
      <c r="AB266">
        <v>20091581</v>
      </c>
      <c r="AC266">
        <v>0</v>
      </c>
      <c r="AD266" s="8"/>
    </row>
    <row r="267" spans="1:30" x14ac:dyDescent="0.3">
      <c r="A267" t="s">
        <v>1627</v>
      </c>
      <c r="B267">
        <v>1320917</v>
      </c>
      <c r="D267" t="s">
        <v>7</v>
      </c>
      <c r="E267">
        <v>945186</v>
      </c>
      <c r="F267">
        <v>9015884123</v>
      </c>
      <c r="G267">
        <v>45</v>
      </c>
      <c r="H267" t="s">
        <v>103</v>
      </c>
      <c r="I267">
        <v>0</v>
      </c>
      <c r="J267" t="s">
        <v>104</v>
      </c>
      <c r="K267" t="s">
        <v>8</v>
      </c>
      <c r="L267" t="s">
        <v>67</v>
      </c>
      <c r="M267" t="s">
        <v>9</v>
      </c>
      <c r="N267" t="s">
        <v>14</v>
      </c>
      <c r="O267" s="2">
        <v>389399.95</v>
      </c>
      <c r="P267" s="3">
        <v>3605.6970000000001</v>
      </c>
      <c r="Q267" s="1">
        <v>46033</v>
      </c>
      <c r="R267" s="1">
        <v>45992</v>
      </c>
      <c r="S267" s="1">
        <v>46022</v>
      </c>
      <c r="V267" s="8">
        <v>1</v>
      </c>
      <c r="W267" t="s">
        <v>24</v>
      </c>
      <c r="X267" t="s">
        <v>105</v>
      </c>
      <c r="Y267" t="s">
        <v>34</v>
      </c>
      <c r="Z267" t="s">
        <v>11</v>
      </c>
      <c r="AA267">
        <v>62371</v>
      </c>
      <c r="AB267">
        <v>21104556</v>
      </c>
      <c r="AC267">
        <v>1</v>
      </c>
      <c r="AD267" s="8"/>
    </row>
    <row r="268" spans="1:30" x14ac:dyDescent="0.3">
      <c r="A268" t="s">
        <v>1627</v>
      </c>
      <c r="B268">
        <v>1415369</v>
      </c>
      <c r="D268" t="s">
        <v>7</v>
      </c>
      <c r="E268">
        <v>946474</v>
      </c>
      <c r="F268">
        <v>9015884123</v>
      </c>
      <c r="G268">
        <v>397</v>
      </c>
      <c r="H268" t="s">
        <v>72</v>
      </c>
      <c r="I268">
        <v>0</v>
      </c>
      <c r="J268" t="s">
        <v>73</v>
      </c>
      <c r="K268" t="s">
        <v>8</v>
      </c>
      <c r="L268" t="s">
        <v>67</v>
      </c>
      <c r="M268" t="s">
        <v>9</v>
      </c>
      <c r="N268" t="s">
        <v>14</v>
      </c>
      <c r="O268" s="2">
        <v>120542.17</v>
      </c>
      <c r="P268" s="3">
        <v>846.31700000000001</v>
      </c>
      <c r="Q268" s="1">
        <v>46033</v>
      </c>
      <c r="R268" s="1">
        <v>45992</v>
      </c>
      <c r="S268" s="1">
        <v>46022</v>
      </c>
      <c r="V268" s="8">
        <v>1</v>
      </c>
      <c r="W268" t="s">
        <v>24</v>
      </c>
      <c r="X268" t="s">
        <v>74</v>
      </c>
      <c r="Y268" t="s">
        <v>75</v>
      </c>
      <c r="Z268" t="s">
        <v>11</v>
      </c>
      <c r="AA268">
        <v>62371</v>
      </c>
      <c r="AB268">
        <v>12901850</v>
      </c>
      <c r="AC268">
        <v>0</v>
      </c>
      <c r="AD268" s="8"/>
    </row>
    <row r="269" spans="1:30" x14ac:dyDescent="0.3">
      <c r="A269" t="s">
        <v>1627</v>
      </c>
      <c r="B269">
        <v>1415556</v>
      </c>
      <c r="D269" t="s">
        <v>7</v>
      </c>
      <c r="E269">
        <v>946458</v>
      </c>
      <c r="F269">
        <v>9015884123</v>
      </c>
      <c r="G269">
        <v>392</v>
      </c>
      <c r="H269" t="s">
        <v>691</v>
      </c>
      <c r="I269">
        <v>0</v>
      </c>
      <c r="J269" t="s">
        <v>692</v>
      </c>
      <c r="K269" t="s">
        <v>8</v>
      </c>
      <c r="L269" t="s">
        <v>67</v>
      </c>
      <c r="M269" t="s">
        <v>9</v>
      </c>
      <c r="N269" t="s">
        <v>14</v>
      </c>
      <c r="O269" s="2">
        <v>455712.59</v>
      </c>
      <c r="P269" s="3">
        <v>3199.5219999999999</v>
      </c>
      <c r="Q269" s="1">
        <v>46033</v>
      </c>
      <c r="R269" s="1">
        <v>45992</v>
      </c>
      <c r="S269" s="1">
        <v>46022</v>
      </c>
      <c r="V269" s="8">
        <v>1</v>
      </c>
      <c r="W269" t="s">
        <v>24</v>
      </c>
      <c r="X269" t="s">
        <v>693</v>
      </c>
      <c r="Y269" t="s">
        <v>42</v>
      </c>
      <c r="Z269" t="s">
        <v>11</v>
      </c>
      <c r="AA269">
        <v>62371</v>
      </c>
      <c r="AB269">
        <v>21406197</v>
      </c>
      <c r="AC269">
        <v>0</v>
      </c>
      <c r="AD269" s="8"/>
    </row>
    <row r="270" spans="1:30" x14ac:dyDescent="0.3">
      <c r="A270" t="s">
        <v>1627</v>
      </c>
      <c r="B270">
        <v>1360644</v>
      </c>
      <c r="D270" t="s">
        <v>7</v>
      </c>
      <c r="E270">
        <v>945897</v>
      </c>
      <c r="F270">
        <v>9015884123</v>
      </c>
      <c r="G270">
        <v>146</v>
      </c>
      <c r="H270" t="s">
        <v>76</v>
      </c>
      <c r="I270">
        <v>0</v>
      </c>
      <c r="J270" t="s">
        <v>77</v>
      </c>
      <c r="K270" t="s">
        <v>8</v>
      </c>
      <c r="L270" t="s">
        <v>18</v>
      </c>
      <c r="M270" t="s">
        <v>9</v>
      </c>
      <c r="N270" t="s">
        <v>14</v>
      </c>
      <c r="O270" s="2">
        <v>2.99</v>
      </c>
      <c r="P270" s="3">
        <v>0</v>
      </c>
      <c r="Q270" s="1">
        <v>46033</v>
      </c>
      <c r="R270" s="1">
        <v>45992</v>
      </c>
      <c r="S270" s="1">
        <v>46022</v>
      </c>
      <c r="V270" s="8">
        <v>1</v>
      </c>
      <c r="W270" t="s">
        <v>24</v>
      </c>
      <c r="X270" t="s">
        <v>78</v>
      </c>
      <c r="Y270" t="s">
        <v>42</v>
      </c>
      <c r="Z270" t="s">
        <v>11</v>
      </c>
      <c r="AA270">
        <v>62371</v>
      </c>
      <c r="AB270">
        <v>17583420</v>
      </c>
      <c r="AC270">
        <v>0</v>
      </c>
      <c r="AD270" s="8"/>
    </row>
    <row r="271" spans="1:30" x14ac:dyDescent="0.3">
      <c r="A271" t="s">
        <v>1627</v>
      </c>
      <c r="B271">
        <v>1288751</v>
      </c>
      <c r="D271" t="s">
        <v>7</v>
      </c>
      <c r="E271">
        <v>945327</v>
      </c>
      <c r="F271">
        <v>9015884123</v>
      </c>
      <c r="G271">
        <v>9</v>
      </c>
      <c r="H271" t="s">
        <v>700</v>
      </c>
      <c r="I271">
        <v>0</v>
      </c>
      <c r="J271" t="s">
        <v>701</v>
      </c>
      <c r="K271" t="s">
        <v>8</v>
      </c>
      <c r="L271" t="s">
        <v>15</v>
      </c>
      <c r="M271" t="s">
        <v>9</v>
      </c>
      <c r="N271" t="s">
        <v>14</v>
      </c>
      <c r="O271" s="2">
        <v>0</v>
      </c>
      <c r="P271" s="3">
        <v>3269.3409999999999</v>
      </c>
      <c r="Q271" s="1">
        <v>46033</v>
      </c>
      <c r="R271" s="1">
        <v>45992</v>
      </c>
      <c r="S271" s="1">
        <v>46022</v>
      </c>
      <c r="V271" s="8">
        <v>1</v>
      </c>
      <c r="W271" t="s">
        <v>24</v>
      </c>
      <c r="X271" t="s">
        <v>702</v>
      </c>
      <c r="Y271" t="s">
        <v>34</v>
      </c>
      <c r="Z271" t="s">
        <v>11</v>
      </c>
      <c r="AA271">
        <v>62371</v>
      </c>
      <c r="AB271">
        <v>17905442</v>
      </c>
      <c r="AC271">
        <v>1</v>
      </c>
      <c r="AD271" s="8"/>
    </row>
    <row r="272" spans="1:30" x14ac:dyDescent="0.3">
      <c r="A272" t="s">
        <v>1627</v>
      </c>
      <c r="B272">
        <v>1408941</v>
      </c>
      <c r="D272" t="s">
        <v>7</v>
      </c>
      <c r="E272">
        <v>946343</v>
      </c>
      <c r="F272">
        <v>9015884123</v>
      </c>
      <c r="G272">
        <v>345</v>
      </c>
      <c r="H272" t="s">
        <v>100</v>
      </c>
      <c r="I272">
        <v>0</v>
      </c>
      <c r="J272" t="s">
        <v>101</v>
      </c>
      <c r="K272" t="s">
        <v>8</v>
      </c>
      <c r="L272" t="s">
        <v>15</v>
      </c>
      <c r="M272" t="s">
        <v>9</v>
      </c>
      <c r="N272" t="s">
        <v>14</v>
      </c>
      <c r="O272" s="2">
        <v>0</v>
      </c>
      <c r="P272" s="3">
        <v>102.42400000000001</v>
      </c>
      <c r="Q272" s="1">
        <v>46033</v>
      </c>
      <c r="R272" s="1">
        <v>45992</v>
      </c>
      <c r="S272" s="1">
        <v>46022</v>
      </c>
      <c r="V272" s="8">
        <v>1</v>
      </c>
      <c r="W272" t="s">
        <v>24</v>
      </c>
      <c r="X272" t="s">
        <v>102</v>
      </c>
      <c r="Y272" t="s">
        <v>30</v>
      </c>
      <c r="Z272" t="s">
        <v>11</v>
      </c>
      <c r="AA272">
        <v>62371</v>
      </c>
      <c r="AB272">
        <v>21425312</v>
      </c>
      <c r="AC272">
        <v>0</v>
      </c>
      <c r="AD272" s="8"/>
    </row>
    <row r="273" spans="1:30" x14ac:dyDescent="0.3">
      <c r="A273" t="s">
        <v>1627</v>
      </c>
      <c r="B273">
        <v>1403710</v>
      </c>
      <c r="D273" t="s">
        <v>7</v>
      </c>
      <c r="E273">
        <v>946235</v>
      </c>
      <c r="F273">
        <v>9015884123</v>
      </c>
      <c r="G273">
        <v>297</v>
      </c>
      <c r="H273" t="s">
        <v>96</v>
      </c>
      <c r="I273">
        <v>0</v>
      </c>
      <c r="J273" t="s">
        <v>97</v>
      </c>
      <c r="K273" t="s">
        <v>8</v>
      </c>
      <c r="L273" t="s">
        <v>18</v>
      </c>
      <c r="M273" t="s">
        <v>9</v>
      </c>
      <c r="N273" t="s">
        <v>14</v>
      </c>
      <c r="O273" s="2">
        <v>2.88</v>
      </c>
      <c r="P273" s="3">
        <v>0</v>
      </c>
      <c r="Q273" s="1">
        <v>46033</v>
      </c>
      <c r="R273" s="1">
        <v>45992</v>
      </c>
      <c r="S273" s="1">
        <v>46022</v>
      </c>
      <c r="V273" s="8">
        <v>1</v>
      </c>
      <c r="W273" t="s">
        <v>24</v>
      </c>
      <c r="X273" t="s">
        <v>98</v>
      </c>
      <c r="Y273" t="s">
        <v>53</v>
      </c>
      <c r="Z273" t="s">
        <v>11</v>
      </c>
      <c r="AA273">
        <v>62371</v>
      </c>
      <c r="AB273">
        <v>21435247</v>
      </c>
      <c r="AC273">
        <v>0</v>
      </c>
      <c r="AD273" s="8"/>
    </row>
    <row r="274" spans="1:30" x14ac:dyDescent="0.3">
      <c r="A274" t="s">
        <v>1627</v>
      </c>
      <c r="B274">
        <v>1418635</v>
      </c>
      <c r="D274" t="s">
        <v>7</v>
      </c>
      <c r="E274">
        <v>946638</v>
      </c>
      <c r="F274">
        <v>9015884123</v>
      </c>
      <c r="G274">
        <v>448</v>
      </c>
      <c r="H274" t="s">
        <v>703</v>
      </c>
      <c r="I274">
        <v>0</v>
      </c>
      <c r="J274" t="s">
        <v>704</v>
      </c>
      <c r="K274" t="s">
        <v>8</v>
      </c>
      <c r="L274" t="s">
        <v>19</v>
      </c>
      <c r="M274" t="s">
        <v>9</v>
      </c>
      <c r="N274" t="s">
        <v>14</v>
      </c>
      <c r="O274" s="2">
        <v>14158.63</v>
      </c>
      <c r="P274" s="3">
        <v>71.656000000000006</v>
      </c>
      <c r="Q274" s="1">
        <v>46033</v>
      </c>
      <c r="R274" s="1">
        <v>45992</v>
      </c>
      <c r="S274" s="1">
        <v>46022</v>
      </c>
      <c r="V274" s="8">
        <v>1</v>
      </c>
      <c r="W274" t="s">
        <v>24</v>
      </c>
      <c r="X274" t="s">
        <v>705</v>
      </c>
      <c r="Y274" t="s">
        <v>34</v>
      </c>
      <c r="Z274" t="s">
        <v>11</v>
      </c>
      <c r="AA274">
        <v>62371</v>
      </c>
      <c r="AB274">
        <v>21444145</v>
      </c>
      <c r="AC274">
        <v>0</v>
      </c>
      <c r="AD274" s="8"/>
    </row>
    <row r="275" spans="1:30" x14ac:dyDescent="0.3">
      <c r="A275" t="s">
        <v>1627</v>
      </c>
      <c r="B275">
        <v>1418635</v>
      </c>
      <c r="D275" t="s">
        <v>7</v>
      </c>
      <c r="E275">
        <v>946638</v>
      </c>
      <c r="F275">
        <v>9015884123</v>
      </c>
      <c r="G275">
        <v>448</v>
      </c>
      <c r="H275" t="s">
        <v>703</v>
      </c>
      <c r="I275">
        <v>0</v>
      </c>
      <c r="J275" t="s">
        <v>704</v>
      </c>
      <c r="K275" t="s">
        <v>8</v>
      </c>
      <c r="L275" t="s">
        <v>67</v>
      </c>
      <c r="M275" t="s">
        <v>9</v>
      </c>
      <c r="N275" t="s">
        <v>14</v>
      </c>
      <c r="O275" s="2">
        <v>284662.8</v>
      </c>
      <c r="P275" s="3">
        <v>1998.595</v>
      </c>
      <c r="Q275" s="1">
        <v>46033</v>
      </c>
      <c r="R275" s="1">
        <v>45992</v>
      </c>
      <c r="S275" s="1">
        <v>46022</v>
      </c>
      <c r="V275" s="8">
        <v>1</v>
      </c>
      <c r="W275" t="s">
        <v>24</v>
      </c>
      <c r="X275" t="s">
        <v>705</v>
      </c>
      <c r="Y275" t="s">
        <v>34</v>
      </c>
      <c r="Z275" t="s">
        <v>11</v>
      </c>
      <c r="AA275">
        <v>62371</v>
      </c>
      <c r="AB275">
        <v>21444145</v>
      </c>
      <c r="AC275">
        <v>0</v>
      </c>
      <c r="AD275" s="8"/>
    </row>
    <row r="276" spans="1:30" x14ac:dyDescent="0.3">
      <c r="A276" t="s">
        <v>1627</v>
      </c>
      <c r="B276">
        <v>1408036</v>
      </c>
      <c r="D276" t="s">
        <v>7</v>
      </c>
      <c r="E276">
        <v>946307</v>
      </c>
      <c r="F276">
        <v>9015884123</v>
      </c>
      <c r="G276">
        <v>325</v>
      </c>
      <c r="H276" t="s">
        <v>706</v>
      </c>
      <c r="I276">
        <v>0</v>
      </c>
      <c r="J276" t="s">
        <v>707</v>
      </c>
      <c r="K276" t="s">
        <v>8</v>
      </c>
      <c r="L276" t="s">
        <v>67</v>
      </c>
      <c r="M276" t="s">
        <v>9</v>
      </c>
      <c r="N276" t="s">
        <v>14</v>
      </c>
      <c r="O276" s="2">
        <v>264834.31</v>
      </c>
      <c r="P276" s="3">
        <v>2452.2660000000001</v>
      </c>
      <c r="Q276" s="1">
        <v>46033</v>
      </c>
      <c r="R276" s="1">
        <v>45992</v>
      </c>
      <c r="S276" s="1">
        <v>46022</v>
      </c>
      <c r="V276" s="8">
        <v>1</v>
      </c>
      <c r="W276" t="s">
        <v>24</v>
      </c>
      <c r="X276" t="s">
        <v>708</v>
      </c>
      <c r="Y276" t="s">
        <v>44</v>
      </c>
      <c r="Z276" t="s">
        <v>11</v>
      </c>
      <c r="AA276">
        <v>62371</v>
      </c>
      <c r="AB276">
        <v>19480420</v>
      </c>
      <c r="AC276">
        <v>1</v>
      </c>
      <c r="AD276" s="8"/>
    </row>
    <row r="277" spans="1:30" x14ac:dyDescent="0.3">
      <c r="A277" t="s">
        <v>1627</v>
      </c>
      <c r="B277">
        <v>1415107</v>
      </c>
      <c r="D277" t="s">
        <v>7</v>
      </c>
      <c r="E277">
        <v>946468</v>
      </c>
      <c r="F277">
        <v>9015884123</v>
      </c>
      <c r="G277">
        <v>395</v>
      </c>
      <c r="H277" t="s">
        <v>118</v>
      </c>
      <c r="I277">
        <v>0</v>
      </c>
      <c r="J277" t="s">
        <v>119</v>
      </c>
      <c r="K277" t="s">
        <v>8</v>
      </c>
      <c r="L277" t="s">
        <v>19</v>
      </c>
      <c r="M277" t="s">
        <v>9</v>
      </c>
      <c r="N277" t="s">
        <v>14</v>
      </c>
      <c r="O277" s="2">
        <v>8409.23</v>
      </c>
      <c r="P277" s="3">
        <v>51.540999999999997</v>
      </c>
      <c r="Q277" s="1">
        <v>46033</v>
      </c>
      <c r="R277" s="1">
        <v>45992</v>
      </c>
      <c r="S277" s="1">
        <v>46022</v>
      </c>
      <c r="V277" s="8">
        <v>1</v>
      </c>
      <c r="W277" t="s">
        <v>24</v>
      </c>
      <c r="X277" t="s">
        <v>120</v>
      </c>
      <c r="Y277" t="s">
        <v>34</v>
      </c>
      <c r="Z277" t="s">
        <v>11</v>
      </c>
      <c r="AA277">
        <v>62371</v>
      </c>
      <c r="AB277">
        <v>21249991</v>
      </c>
      <c r="AC277">
        <v>1</v>
      </c>
      <c r="AD277" s="8"/>
    </row>
    <row r="278" spans="1:30" x14ac:dyDescent="0.3">
      <c r="A278" t="s">
        <v>1627</v>
      </c>
      <c r="B278">
        <v>1415102</v>
      </c>
      <c r="D278" t="s">
        <v>7</v>
      </c>
      <c r="E278">
        <v>946455</v>
      </c>
      <c r="F278">
        <v>9015884123</v>
      </c>
      <c r="G278">
        <v>391</v>
      </c>
      <c r="H278" t="s">
        <v>709</v>
      </c>
      <c r="I278">
        <v>0</v>
      </c>
      <c r="J278" t="s">
        <v>710</v>
      </c>
      <c r="K278" t="s">
        <v>8</v>
      </c>
      <c r="L278" t="s">
        <v>67</v>
      </c>
      <c r="M278" t="s">
        <v>9</v>
      </c>
      <c r="N278" t="s">
        <v>14</v>
      </c>
      <c r="O278" s="2">
        <v>112524.56</v>
      </c>
      <c r="P278" s="3">
        <v>790.02599999999995</v>
      </c>
      <c r="Q278" s="1">
        <v>46033</v>
      </c>
      <c r="R278" s="1">
        <v>45992</v>
      </c>
      <c r="S278" s="1">
        <v>46022</v>
      </c>
      <c r="V278" s="8">
        <v>1</v>
      </c>
      <c r="W278" t="s">
        <v>24</v>
      </c>
      <c r="X278" t="s">
        <v>711</v>
      </c>
      <c r="Y278" t="s">
        <v>34</v>
      </c>
      <c r="Z278" t="s">
        <v>11</v>
      </c>
      <c r="AA278">
        <v>62371</v>
      </c>
      <c r="AB278">
        <v>17924917</v>
      </c>
      <c r="AC278">
        <v>0</v>
      </c>
      <c r="AD278" s="8"/>
    </row>
    <row r="279" spans="1:30" x14ac:dyDescent="0.3">
      <c r="A279" t="s">
        <v>1627</v>
      </c>
      <c r="B279">
        <v>1407562</v>
      </c>
      <c r="D279" t="s">
        <v>7</v>
      </c>
      <c r="E279">
        <v>946305</v>
      </c>
      <c r="F279">
        <v>9015884123</v>
      </c>
      <c r="G279">
        <v>324</v>
      </c>
      <c r="H279" t="s">
        <v>109</v>
      </c>
      <c r="I279">
        <v>0</v>
      </c>
      <c r="J279" t="s">
        <v>110</v>
      </c>
      <c r="K279" t="s">
        <v>8</v>
      </c>
      <c r="L279" t="s">
        <v>18</v>
      </c>
      <c r="M279" t="s">
        <v>9</v>
      </c>
      <c r="N279" t="s">
        <v>14</v>
      </c>
      <c r="O279" s="2">
        <v>3.04</v>
      </c>
      <c r="P279" s="3">
        <v>0</v>
      </c>
      <c r="Q279" s="1">
        <v>46033</v>
      </c>
      <c r="R279" s="1">
        <v>45992</v>
      </c>
      <c r="S279" s="1">
        <v>46022</v>
      </c>
      <c r="V279" s="8">
        <v>1</v>
      </c>
      <c r="W279" t="s">
        <v>24</v>
      </c>
      <c r="X279" t="s">
        <v>111</v>
      </c>
      <c r="Y279" t="s">
        <v>30</v>
      </c>
      <c r="Z279" t="s">
        <v>11</v>
      </c>
      <c r="AA279">
        <v>62371</v>
      </c>
      <c r="AB279">
        <v>18462012</v>
      </c>
      <c r="AC279">
        <v>1</v>
      </c>
      <c r="AD279" s="8"/>
    </row>
    <row r="280" spans="1:30" x14ac:dyDescent="0.3">
      <c r="A280" t="s">
        <v>1627</v>
      </c>
      <c r="B280">
        <v>1406191</v>
      </c>
      <c r="D280" t="s">
        <v>7</v>
      </c>
      <c r="E280">
        <v>946298</v>
      </c>
      <c r="F280">
        <v>9015884123</v>
      </c>
      <c r="G280">
        <v>321</v>
      </c>
      <c r="H280" t="s">
        <v>127</v>
      </c>
      <c r="I280">
        <v>0</v>
      </c>
      <c r="J280" t="s">
        <v>128</v>
      </c>
      <c r="K280" t="s">
        <v>8</v>
      </c>
      <c r="L280" t="s">
        <v>67</v>
      </c>
      <c r="M280" t="s">
        <v>9</v>
      </c>
      <c r="N280" t="s">
        <v>14</v>
      </c>
      <c r="O280" s="2">
        <v>1723971.36</v>
      </c>
      <c r="P280" s="3">
        <v>15963.325999999999</v>
      </c>
      <c r="Q280" s="1">
        <v>46033</v>
      </c>
      <c r="R280" s="1">
        <v>45992</v>
      </c>
      <c r="S280" s="1">
        <v>46022</v>
      </c>
      <c r="V280" s="8">
        <v>1</v>
      </c>
      <c r="W280" t="s">
        <v>24</v>
      </c>
      <c r="X280" t="s">
        <v>129</v>
      </c>
      <c r="Y280" t="s">
        <v>31</v>
      </c>
      <c r="Z280" t="s">
        <v>11</v>
      </c>
      <c r="AA280">
        <v>62371</v>
      </c>
      <c r="AB280">
        <v>17464045</v>
      </c>
      <c r="AC280">
        <v>1</v>
      </c>
      <c r="AD280" s="8"/>
    </row>
    <row r="281" spans="1:30" x14ac:dyDescent="0.3">
      <c r="A281" t="s">
        <v>1627</v>
      </c>
      <c r="B281">
        <v>1383090</v>
      </c>
      <c r="D281" t="s">
        <v>7</v>
      </c>
      <c r="E281">
        <v>946015</v>
      </c>
      <c r="F281">
        <v>9015884123</v>
      </c>
      <c r="G281">
        <v>225</v>
      </c>
      <c r="H281" t="s">
        <v>163</v>
      </c>
      <c r="I281">
        <v>0</v>
      </c>
      <c r="J281" t="s">
        <v>164</v>
      </c>
      <c r="K281" t="s">
        <v>8</v>
      </c>
      <c r="L281" t="s">
        <v>67</v>
      </c>
      <c r="M281" t="s">
        <v>9</v>
      </c>
      <c r="N281" t="s">
        <v>14</v>
      </c>
      <c r="O281" s="2">
        <v>3650.36</v>
      </c>
      <c r="P281" s="3">
        <v>33.801000000000002</v>
      </c>
      <c r="Q281" s="1">
        <v>46033</v>
      </c>
      <c r="R281" s="1">
        <v>45992</v>
      </c>
      <c r="S281" s="1">
        <v>46022</v>
      </c>
      <c r="V281" s="8">
        <v>1</v>
      </c>
      <c r="W281" t="s">
        <v>24</v>
      </c>
      <c r="X281" t="s">
        <v>165</v>
      </c>
      <c r="Y281" t="s">
        <v>31</v>
      </c>
      <c r="Z281" t="s">
        <v>11</v>
      </c>
      <c r="AA281">
        <v>62371</v>
      </c>
      <c r="AB281">
        <v>21392094</v>
      </c>
      <c r="AC281">
        <v>1</v>
      </c>
      <c r="AD281" s="8"/>
    </row>
    <row r="282" spans="1:30" x14ac:dyDescent="0.3">
      <c r="A282" t="s">
        <v>1627</v>
      </c>
      <c r="B282">
        <v>1375762</v>
      </c>
      <c r="D282" t="s">
        <v>7</v>
      </c>
      <c r="E282">
        <v>945944</v>
      </c>
      <c r="F282">
        <v>9015884123</v>
      </c>
      <c r="G282">
        <v>190</v>
      </c>
      <c r="H282" t="s">
        <v>712</v>
      </c>
      <c r="I282">
        <v>0</v>
      </c>
      <c r="J282" t="s">
        <v>713</v>
      </c>
      <c r="K282" t="s">
        <v>8</v>
      </c>
      <c r="L282" t="s">
        <v>67</v>
      </c>
      <c r="M282" t="s">
        <v>9</v>
      </c>
      <c r="N282" t="s">
        <v>14</v>
      </c>
      <c r="O282" s="2">
        <v>1000109.65</v>
      </c>
      <c r="P282" s="3">
        <v>9260.6389999999992</v>
      </c>
      <c r="Q282" s="1">
        <v>46033</v>
      </c>
      <c r="R282" s="1">
        <v>45992</v>
      </c>
      <c r="S282" s="1">
        <v>46022</v>
      </c>
      <c r="V282" s="8">
        <v>1</v>
      </c>
      <c r="W282" t="s">
        <v>24</v>
      </c>
      <c r="X282" t="s">
        <v>714</v>
      </c>
      <c r="Y282" t="s">
        <v>31</v>
      </c>
      <c r="Z282" t="s">
        <v>11</v>
      </c>
      <c r="AA282">
        <v>62371</v>
      </c>
      <c r="AB282">
        <v>21246806</v>
      </c>
      <c r="AC282">
        <v>1</v>
      </c>
      <c r="AD282" s="8"/>
    </row>
    <row r="283" spans="1:30" x14ac:dyDescent="0.3">
      <c r="A283" t="s">
        <v>1627</v>
      </c>
      <c r="B283">
        <v>1364766</v>
      </c>
      <c r="D283" t="s">
        <v>7</v>
      </c>
      <c r="E283">
        <v>945931</v>
      </c>
      <c r="F283">
        <v>9015884123</v>
      </c>
      <c r="G283">
        <v>182</v>
      </c>
      <c r="H283" t="s">
        <v>715</v>
      </c>
      <c r="I283">
        <v>0</v>
      </c>
      <c r="J283" t="s">
        <v>716</v>
      </c>
      <c r="K283" t="s">
        <v>8</v>
      </c>
      <c r="L283" t="s">
        <v>18</v>
      </c>
      <c r="M283" t="s">
        <v>9</v>
      </c>
      <c r="N283" t="s">
        <v>14</v>
      </c>
      <c r="O283" s="2">
        <v>0.6</v>
      </c>
      <c r="P283" s="3">
        <v>0</v>
      </c>
      <c r="Q283" s="1">
        <v>46033</v>
      </c>
      <c r="R283" s="1">
        <v>45992</v>
      </c>
      <c r="S283" s="1">
        <v>46022</v>
      </c>
      <c r="V283" s="8">
        <v>1</v>
      </c>
      <c r="W283" t="s">
        <v>24</v>
      </c>
      <c r="X283" t="s">
        <v>717</v>
      </c>
      <c r="Y283" t="s">
        <v>31</v>
      </c>
      <c r="Z283" t="s">
        <v>11</v>
      </c>
      <c r="AA283">
        <v>62371</v>
      </c>
      <c r="AB283">
        <v>19281590</v>
      </c>
      <c r="AC283">
        <v>0</v>
      </c>
      <c r="AD283" s="8"/>
    </row>
    <row r="284" spans="1:30" x14ac:dyDescent="0.3">
      <c r="A284" t="s">
        <v>1627</v>
      </c>
      <c r="B284">
        <v>1342235</v>
      </c>
      <c r="D284" t="s">
        <v>7</v>
      </c>
      <c r="E284">
        <v>945256</v>
      </c>
      <c r="F284">
        <v>9015884123</v>
      </c>
      <c r="G284">
        <v>69</v>
      </c>
      <c r="H284" t="s">
        <v>718</v>
      </c>
      <c r="I284">
        <v>0</v>
      </c>
      <c r="J284" t="s">
        <v>719</v>
      </c>
      <c r="K284" t="s">
        <v>8</v>
      </c>
      <c r="L284" t="s">
        <v>67</v>
      </c>
      <c r="M284" t="s">
        <v>9</v>
      </c>
      <c r="N284" t="s">
        <v>14</v>
      </c>
      <c r="O284" s="2">
        <v>469246.71</v>
      </c>
      <c r="P284" s="3">
        <v>3294.5439999999999</v>
      </c>
      <c r="Q284" s="1">
        <v>46033</v>
      </c>
      <c r="R284" s="1">
        <v>45992</v>
      </c>
      <c r="S284" s="1">
        <v>46022</v>
      </c>
      <c r="V284" s="8">
        <v>1</v>
      </c>
      <c r="W284" t="s">
        <v>24</v>
      </c>
      <c r="X284" t="s">
        <v>720</v>
      </c>
      <c r="Y284" t="s">
        <v>31</v>
      </c>
      <c r="Z284" t="s">
        <v>11</v>
      </c>
      <c r="AA284">
        <v>62371</v>
      </c>
      <c r="AB284">
        <v>19277454</v>
      </c>
      <c r="AC284">
        <v>0</v>
      </c>
      <c r="AD284" s="8"/>
    </row>
    <row r="285" spans="1:30" x14ac:dyDescent="0.3">
      <c r="A285" t="s">
        <v>1627</v>
      </c>
      <c r="B285">
        <v>1384359</v>
      </c>
      <c r="D285" t="s">
        <v>7</v>
      </c>
      <c r="E285">
        <v>946031</v>
      </c>
      <c r="F285">
        <v>9015884123</v>
      </c>
      <c r="G285">
        <v>231</v>
      </c>
      <c r="H285" t="s">
        <v>721</v>
      </c>
      <c r="I285">
        <v>0</v>
      </c>
      <c r="J285" t="s">
        <v>722</v>
      </c>
      <c r="K285" t="s">
        <v>8</v>
      </c>
      <c r="L285" t="s">
        <v>67</v>
      </c>
      <c r="M285" t="s">
        <v>9</v>
      </c>
      <c r="N285" t="s">
        <v>14</v>
      </c>
      <c r="O285" s="2">
        <v>2461312.79</v>
      </c>
      <c r="P285" s="3">
        <v>29956.061000000002</v>
      </c>
      <c r="Q285" s="1">
        <v>46033</v>
      </c>
      <c r="R285" s="1">
        <v>45992</v>
      </c>
      <c r="S285" s="1">
        <v>46022</v>
      </c>
      <c r="V285" s="8">
        <v>2</v>
      </c>
      <c r="W285" t="s">
        <v>24</v>
      </c>
      <c r="X285" t="s">
        <v>723</v>
      </c>
      <c r="Y285" t="s">
        <v>34</v>
      </c>
      <c r="Z285" t="s">
        <v>11</v>
      </c>
      <c r="AA285">
        <v>62371</v>
      </c>
      <c r="AB285">
        <v>18741899</v>
      </c>
      <c r="AC285">
        <v>1</v>
      </c>
      <c r="AD285" s="8"/>
    </row>
    <row r="286" spans="1:30" x14ac:dyDescent="0.3">
      <c r="A286" t="s">
        <v>1627</v>
      </c>
      <c r="B286">
        <v>1411977</v>
      </c>
      <c r="D286" t="s">
        <v>7</v>
      </c>
      <c r="E286">
        <v>946375</v>
      </c>
      <c r="F286">
        <v>9015884123</v>
      </c>
      <c r="G286">
        <v>361</v>
      </c>
      <c r="H286" t="s">
        <v>136</v>
      </c>
      <c r="I286">
        <v>0</v>
      </c>
      <c r="J286" t="s">
        <v>137</v>
      </c>
      <c r="K286" t="s">
        <v>8</v>
      </c>
      <c r="L286" t="s">
        <v>67</v>
      </c>
      <c r="M286" t="s">
        <v>9</v>
      </c>
      <c r="N286" t="s">
        <v>14</v>
      </c>
      <c r="O286" s="2">
        <v>149397.21</v>
      </c>
      <c r="P286" s="3">
        <v>1048.9059999999999</v>
      </c>
      <c r="Q286" s="1">
        <v>46033</v>
      </c>
      <c r="R286" s="1">
        <v>45992</v>
      </c>
      <c r="S286" s="1">
        <v>46022</v>
      </c>
      <c r="V286" s="8">
        <v>1</v>
      </c>
      <c r="W286" t="s">
        <v>24</v>
      </c>
      <c r="X286" t="s">
        <v>138</v>
      </c>
      <c r="Y286" t="s">
        <v>34</v>
      </c>
      <c r="Z286" t="s">
        <v>11</v>
      </c>
      <c r="AA286">
        <v>62371</v>
      </c>
      <c r="AB286">
        <v>17902002</v>
      </c>
      <c r="AC286">
        <v>0</v>
      </c>
      <c r="AD286" s="8"/>
    </row>
    <row r="287" spans="1:30" x14ac:dyDescent="0.3">
      <c r="A287" t="s">
        <v>1627</v>
      </c>
      <c r="B287">
        <v>1382487</v>
      </c>
      <c r="D287" t="s">
        <v>7</v>
      </c>
      <c r="E287">
        <v>946020</v>
      </c>
      <c r="F287">
        <v>9015884123</v>
      </c>
      <c r="G287">
        <v>228</v>
      </c>
      <c r="H287" t="s">
        <v>724</v>
      </c>
      <c r="I287">
        <v>0</v>
      </c>
      <c r="J287" t="s">
        <v>725</v>
      </c>
      <c r="K287" t="s">
        <v>8</v>
      </c>
      <c r="L287" t="s">
        <v>18</v>
      </c>
      <c r="M287" t="s">
        <v>9</v>
      </c>
      <c r="N287" t="s">
        <v>14</v>
      </c>
      <c r="O287" s="2">
        <v>4.33</v>
      </c>
      <c r="P287" s="3">
        <v>0</v>
      </c>
      <c r="Q287" s="1">
        <v>46033</v>
      </c>
      <c r="R287" s="1">
        <v>45992</v>
      </c>
      <c r="S287" s="1">
        <v>46022</v>
      </c>
      <c r="V287" s="8">
        <v>1</v>
      </c>
      <c r="W287" t="s">
        <v>24</v>
      </c>
      <c r="X287" t="s">
        <v>726</v>
      </c>
      <c r="Y287" t="s">
        <v>34</v>
      </c>
      <c r="Z287" t="s">
        <v>11</v>
      </c>
      <c r="AA287">
        <v>62371</v>
      </c>
      <c r="AB287">
        <v>17916075</v>
      </c>
      <c r="AC287">
        <v>0</v>
      </c>
      <c r="AD287" s="8"/>
    </row>
    <row r="288" spans="1:30" x14ac:dyDescent="0.3">
      <c r="A288" t="s">
        <v>1627</v>
      </c>
      <c r="B288">
        <v>1406185</v>
      </c>
      <c r="D288" t="s">
        <v>7</v>
      </c>
      <c r="E288">
        <v>946293</v>
      </c>
      <c r="F288">
        <v>9015884123</v>
      </c>
      <c r="G288">
        <v>319</v>
      </c>
      <c r="H288" t="s">
        <v>727</v>
      </c>
      <c r="I288">
        <v>0</v>
      </c>
      <c r="J288" t="s">
        <v>728</v>
      </c>
      <c r="K288" t="s">
        <v>8</v>
      </c>
      <c r="L288" t="s">
        <v>67</v>
      </c>
      <c r="M288" t="s">
        <v>9</v>
      </c>
      <c r="N288" t="s">
        <v>14</v>
      </c>
      <c r="O288" s="2">
        <v>5844720.5800000001</v>
      </c>
      <c r="P288" s="3">
        <v>71134.724000000002</v>
      </c>
      <c r="Q288" s="1">
        <v>46033</v>
      </c>
      <c r="R288" s="1">
        <v>45992</v>
      </c>
      <c r="S288" s="1">
        <v>46022</v>
      </c>
      <c r="V288" s="8">
        <v>2</v>
      </c>
      <c r="W288" t="s">
        <v>24</v>
      </c>
      <c r="X288" t="s">
        <v>729</v>
      </c>
      <c r="Y288" t="s">
        <v>31</v>
      </c>
      <c r="Z288" t="s">
        <v>11</v>
      </c>
      <c r="AA288">
        <v>62371</v>
      </c>
      <c r="AB288">
        <v>19616842</v>
      </c>
      <c r="AC288">
        <v>1</v>
      </c>
      <c r="AD288" s="8"/>
    </row>
    <row r="289" spans="1:30" x14ac:dyDescent="0.3">
      <c r="A289" t="s">
        <v>1627</v>
      </c>
      <c r="B289">
        <v>1353816</v>
      </c>
      <c r="D289" t="s">
        <v>7</v>
      </c>
      <c r="E289">
        <v>945337</v>
      </c>
      <c r="F289">
        <v>9015884123</v>
      </c>
      <c r="G289">
        <v>92</v>
      </c>
      <c r="H289" t="s">
        <v>730</v>
      </c>
      <c r="I289">
        <v>0</v>
      </c>
      <c r="J289" t="s">
        <v>731</v>
      </c>
      <c r="K289" t="s">
        <v>8</v>
      </c>
      <c r="L289" t="s">
        <v>67</v>
      </c>
      <c r="M289" t="s">
        <v>9</v>
      </c>
      <c r="N289" t="s">
        <v>14</v>
      </c>
      <c r="O289" s="2">
        <v>388113.07</v>
      </c>
      <c r="P289" s="3">
        <v>3593.7809999999999</v>
      </c>
      <c r="Q289" s="1">
        <v>46033</v>
      </c>
      <c r="R289" s="1">
        <v>45992</v>
      </c>
      <c r="S289" s="1">
        <v>46022</v>
      </c>
      <c r="V289" s="8">
        <v>1</v>
      </c>
      <c r="W289" t="s">
        <v>24</v>
      </c>
      <c r="X289" t="s">
        <v>732</v>
      </c>
      <c r="Y289" t="s">
        <v>34</v>
      </c>
      <c r="Z289" t="s">
        <v>11</v>
      </c>
      <c r="AA289">
        <v>62371</v>
      </c>
      <c r="AB289">
        <v>17906304</v>
      </c>
      <c r="AC289">
        <v>1</v>
      </c>
      <c r="AD289" s="8"/>
    </row>
    <row r="290" spans="1:30" x14ac:dyDescent="0.3">
      <c r="A290" t="s">
        <v>1627</v>
      </c>
      <c r="B290">
        <v>1380619</v>
      </c>
      <c r="D290" t="s">
        <v>7</v>
      </c>
      <c r="E290">
        <v>945999</v>
      </c>
      <c r="F290">
        <v>9015884123</v>
      </c>
      <c r="G290">
        <v>217</v>
      </c>
      <c r="H290" t="s">
        <v>733</v>
      </c>
      <c r="I290">
        <v>0</v>
      </c>
      <c r="J290" t="s">
        <v>734</v>
      </c>
      <c r="K290" t="s">
        <v>8</v>
      </c>
      <c r="L290" t="s">
        <v>19</v>
      </c>
      <c r="M290" t="s">
        <v>9</v>
      </c>
      <c r="N290" t="s">
        <v>14</v>
      </c>
      <c r="O290" s="2">
        <v>26632.01</v>
      </c>
      <c r="P290" s="3">
        <v>134.78299999999999</v>
      </c>
      <c r="Q290" s="1">
        <v>46033</v>
      </c>
      <c r="R290" s="1">
        <v>45992</v>
      </c>
      <c r="S290" s="1">
        <v>46022</v>
      </c>
      <c r="V290" s="8">
        <v>1</v>
      </c>
      <c r="W290" t="s">
        <v>24</v>
      </c>
      <c r="X290" t="s">
        <v>735</v>
      </c>
      <c r="Y290" t="s">
        <v>31</v>
      </c>
      <c r="Z290" t="s">
        <v>11</v>
      </c>
      <c r="AA290">
        <v>62371</v>
      </c>
      <c r="AB290">
        <v>21087841</v>
      </c>
      <c r="AC290">
        <v>0</v>
      </c>
      <c r="AD290" s="8"/>
    </row>
    <row r="291" spans="1:30" x14ac:dyDescent="0.3">
      <c r="A291" t="s">
        <v>1627</v>
      </c>
      <c r="B291">
        <v>1377792</v>
      </c>
      <c r="D291" t="s">
        <v>7</v>
      </c>
      <c r="E291">
        <v>945959</v>
      </c>
      <c r="F291">
        <v>9015884123</v>
      </c>
      <c r="G291">
        <v>197</v>
      </c>
      <c r="H291" t="s">
        <v>166</v>
      </c>
      <c r="I291">
        <v>0</v>
      </c>
      <c r="J291" t="s">
        <v>167</v>
      </c>
      <c r="K291" t="s">
        <v>8</v>
      </c>
      <c r="L291" t="s">
        <v>19</v>
      </c>
      <c r="M291" t="s">
        <v>9</v>
      </c>
      <c r="N291" t="s">
        <v>14</v>
      </c>
      <c r="O291" s="2">
        <v>604822.05000000005</v>
      </c>
      <c r="P291" s="3">
        <v>3707.0160000000001</v>
      </c>
      <c r="Q291" s="1">
        <v>46033</v>
      </c>
      <c r="R291" s="1">
        <v>45992</v>
      </c>
      <c r="S291" s="1">
        <v>46022</v>
      </c>
      <c r="V291" s="8">
        <v>1</v>
      </c>
      <c r="W291" t="s">
        <v>24</v>
      </c>
      <c r="X291" t="s">
        <v>168</v>
      </c>
      <c r="Y291" t="s">
        <v>31</v>
      </c>
      <c r="Z291" t="s">
        <v>11</v>
      </c>
      <c r="AA291">
        <v>62371</v>
      </c>
      <c r="AB291">
        <v>19282562</v>
      </c>
      <c r="AC291">
        <v>1</v>
      </c>
      <c r="AD291" s="8"/>
    </row>
    <row r="292" spans="1:30" x14ac:dyDescent="0.3">
      <c r="A292" t="s">
        <v>1627</v>
      </c>
      <c r="B292">
        <v>1353805</v>
      </c>
      <c r="D292" t="s">
        <v>7</v>
      </c>
      <c r="E292">
        <v>945298</v>
      </c>
      <c r="F292">
        <v>9015884123</v>
      </c>
      <c r="G292">
        <v>81</v>
      </c>
      <c r="H292" t="s">
        <v>736</v>
      </c>
      <c r="I292">
        <v>0</v>
      </c>
      <c r="J292" t="s">
        <v>737</v>
      </c>
      <c r="K292" t="s">
        <v>8</v>
      </c>
      <c r="L292" t="s">
        <v>18</v>
      </c>
      <c r="M292" t="s">
        <v>9</v>
      </c>
      <c r="N292" t="s">
        <v>14</v>
      </c>
      <c r="O292" s="2">
        <v>-4.42</v>
      </c>
      <c r="P292" s="3">
        <v>0</v>
      </c>
      <c r="Q292" s="1">
        <v>46033</v>
      </c>
      <c r="R292" s="1">
        <v>45992</v>
      </c>
      <c r="S292" s="1">
        <v>46022</v>
      </c>
      <c r="V292" s="8">
        <v>1</v>
      </c>
      <c r="W292" t="s">
        <v>24</v>
      </c>
      <c r="X292" t="s">
        <v>738</v>
      </c>
      <c r="Y292" t="s">
        <v>34</v>
      </c>
      <c r="Z292" t="s">
        <v>11</v>
      </c>
      <c r="AA292">
        <v>62371</v>
      </c>
      <c r="AB292">
        <v>17916076</v>
      </c>
      <c r="AC292">
        <v>0</v>
      </c>
      <c r="AD292" s="8"/>
    </row>
    <row r="293" spans="1:30" x14ac:dyDescent="0.3">
      <c r="A293" t="s">
        <v>1627</v>
      </c>
      <c r="B293">
        <v>1342232</v>
      </c>
      <c r="D293" t="s">
        <v>7</v>
      </c>
      <c r="E293">
        <v>945253</v>
      </c>
      <c r="F293">
        <v>9015884123</v>
      </c>
      <c r="G293">
        <v>68</v>
      </c>
      <c r="H293" t="s">
        <v>145</v>
      </c>
      <c r="I293">
        <v>0</v>
      </c>
      <c r="J293" t="s">
        <v>146</v>
      </c>
      <c r="K293" t="s">
        <v>8</v>
      </c>
      <c r="L293" t="s">
        <v>18</v>
      </c>
      <c r="M293" t="s">
        <v>9</v>
      </c>
      <c r="N293" t="s">
        <v>14</v>
      </c>
      <c r="O293" s="2">
        <v>0.79</v>
      </c>
      <c r="P293" s="3">
        <v>0</v>
      </c>
      <c r="Q293" s="1">
        <v>46033</v>
      </c>
      <c r="R293" s="1">
        <v>45992</v>
      </c>
      <c r="S293" s="1">
        <v>46022</v>
      </c>
      <c r="V293" s="8">
        <v>1</v>
      </c>
      <c r="W293" t="s">
        <v>24</v>
      </c>
      <c r="X293" t="s">
        <v>147</v>
      </c>
      <c r="Y293" t="s">
        <v>31</v>
      </c>
      <c r="Z293" t="s">
        <v>11</v>
      </c>
      <c r="AA293">
        <v>62371</v>
      </c>
      <c r="AB293">
        <v>21366482</v>
      </c>
      <c r="AC293">
        <v>1</v>
      </c>
      <c r="AD293" s="8"/>
    </row>
    <row r="294" spans="1:30" x14ac:dyDescent="0.3">
      <c r="A294" t="s">
        <v>1627</v>
      </c>
      <c r="B294">
        <v>1384358</v>
      </c>
      <c r="D294" t="s">
        <v>7</v>
      </c>
      <c r="E294">
        <v>946028</v>
      </c>
      <c r="F294">
        <v>9015884123</v>
      </c>
      <c r="G294">
        <v>230</v>
      </c>
      <c r="H294" t="s">
        <v>151</v>
      </c>
      <c r="I294">
        <v>0</v>
      </c>
      <c r="J294" t="s">
        <v>152</v>
      </c>
      <c r="K294" t="s">
        <v>8</v>
      </c>
      <c r="L294" t="s">
        <v>67</v>
      </c>
      <c r="M294" t="s">
        <v>9</v>
      </c>
      <c r="N294" t="s">
        <v>14</v>
      </c>
      <c r="O294" s="2">
        <v>134797.38</v>
      </c>
      <c r="P294" s="3">
        <v>1248.173</v>
      </c>
      <c r="Q294" s="1">
        <v>46033</v>
      </c>
      <c r="R294" s="1">
        <v>45992</v>
      </c>
      <c r="S294" s="1">
        <v>46022</v>
      </c>
      <c r="V294" s="8">
        <v>1</v>
      </c>
      <c r="W294" t="s">
        <v>24</v>
      </c>
      <c r="X294" t="s">
        <v>153</v>
      </c>
      <c r="Y294" t="s">
        <v>34</v>
      </c>
      <c r="Z294" t="s">
        <v>11</v>
      </c>
      <c r="AA294">
        <v>62371</v>
      </c>
      <c r="AB294">
        <v>21249963</v>
      </c>
      <c r="AC294">
        <v>1</v>
      </c>
      <c r="AD294" s="8"/>
    </row>
    <row r="295" spans="1:30" x14ac:dyDescent="0.3">
      <c r="A295" t="s">
        <v>1627</v>
      </c>
      <c r="B295">
        <v>1382487</v>
      </c>
      <c r="D295" t="s">
        <v>7</v>
      </c>
      <c r="E295">
        <v>946020</v>
      </c>
      <c r="F295">
        <v>9015884123</v>
      </c>
      <c r="G295">
        <v>228</v>
      </c>
      <c r="H295" t="s">
        <v>724</v>
      </c>
      <c r="I295">
        <v>0</v>
      </c>
      <c r="J295" t="s">
        <v>725</v>
      </c>
      <c r="K295" t="s">
        <v>8</v>
      </c>
      <c r="L295" t="s">
        <v>67</v>
      </c>
      <c r="M295" t="s">
        <v>9</v>
      </c>
      <c r="N295" t="s">
        <v>14</v>
      </c>
      <c r="O295" s="2">
        <v>670035.47</v>
      </c>
      <c r="P295" s="3">
        <v>4704.2659999999996</v>
      </c>
      <c r="Q295" s="1">
        <v>46033</v>
      </c>
      <c r="R295" s="1">
        <v>45992</v>
      </c>
      <c r="S295" s="1">
        <v>46022</v>
      </c>
      <c r="V295" s="8">
        <v>1</v>
      </c>
      <c r="W295" t="s">
        <v>24</v>
      </c>
      <c r="X295" t="s">
        <v>726</v>
      </c>
      <c r="Y295" t="s">
        <v>34</v>
      </c>
      <c r="Z295" t="s">
        <v>11</v>
      </c>
      <c r="AA295">
        <v>62371</v>
      </c>
      <c r="AB295">
        <v>17916075</v>
      </c>
      <c r="AC295">
        <v>0</v>
      </c>
      <c r="AD295" s="8"/>
    </row>
    <row r="296" spans="1:30" x14ac:dyDescent="0.3">
      <c r="A296" t="s">
        <v>1627</v>
      </c>
      <c r="B296">
        <v>1363365</v>
      </c>
      <c r="D296" t="s">
        <v>7</v>
      </c>
      <c r="E296">
        <v>945917</v>
      </c>
      <c r="F296">
        <v>9015884123</v>
      </c>
      <c r="G296">
        <v>168</v>
      </c>
      <c r="H296" t="s">
        <v>739</v>
      </c>
      <c r="I296">
        <v>0</v>
      </c>
      <c r="J296" t="s">
        <v>740</v>
      </c>
      <c r="K296" t="s">
        <v>8</v>
      </c>
      <c r="L296" t="s">
        <v>18</v>
      </c>
      <c r="M296" t="s">
        <v>9</v>
      </c>
      <c r="N296" t="s">
        <v>14</v>
      </c>
      <c r="O296" s="2">
        <v>4.4800000000000004</v>
      </c>
      <c r="P296" s="3">
        <v>0</v>
      </c>
      <c r="Q296" s="1">
        <v>46033</v>
      </c>
      <c r="R296" s="1">
        <v>45992</v>
      </c>
      <c r="S296" s="1">
        <v>46022</v>
      </c>
      <c r="V296" s="8">
        <v>1</v>
      </c>
      <c r="W296" t="s">
        <v>24</v>
      </c>
      <c r="X296" t="s">
        <v>741</v>
      </c>
      <c r="Y296" t="s">
        <v>34</v>
      </c>
      <c r="Z296" t="s">
        <v>11</v>
      </c>
      <c r="AA296">
        <v>62371</v>
      </c>
      <c r="AB296">
        <v>21249745</v>
      </c>
      <c r="AC296">
        <v>1</v>
      </c>
      <c r="AD296" s="8"/>
    </row>
    <row r="297" spans="1:30" x14ac:dyDescent="0.3">
      <c r="A297" t="s">
        <v>1627</v>
      </c>
      <c r="B297">
        <v>1345472</v>
      </c>
      <c r="D297" t="s">
        <v>7</v>
      </c>
      <c r="E297">
        <v>945279</v>
      </c>
      <c r="F297">
        <v>9015884123</v>
      </c>
      <c r="G297">
        <v>75</v>
      </c>
      <c r="H297" t="s">
        <v>190</v>
      </c>
      <c r="I297">
        <v>0</v>
      </c>
      <c r="J297" t="s">
        <v>191</v>
      </c>
      <c r="K297" t="s">
        <v>8</v>
      </c>
      <c r="L297" t="s">
        <v>15</v>
      </c>
      <c r="M297" t="s">
        <v>9</v>
      </c>
      <c r="N297" t="s">
        <v>14</v>
      </c>
      <c r="O297" s="2">
        <v>0</v>
      </c>
      <c r="P297" s="3">
        <v>2152.326</v>
      </c>
      <c r="Q297" s="1">
        <v>46033</v>
      </c>
      <c r="R297" s="1">
        <v>45992</v>
      </c>
      <c r="S297" s="1">
        <v>46022</v>
      </c>
      <c r="V297" s="8">
        <v>1</v>
      </c>
      <c r="W297" t="s">
        <v>24</v>
      </c>
      <c r="X297" t="s">
        <v>192</v>
      </c>
      <c r="Y297" t="s">
        <v>10</v>
      </c>
      <c r="Z297" t="s">
        <v>11</v>
      </c>
      <c r="AA297">
        <v>62371</v>
      </c>
      <c r="AB297">
        <v>18158556</v>
      </c>
      <c r="AC297">
        <v>1</v>
      </c>
      <c r="AD297" s="8"/>
    </row>
    <row r="298" spans="1:30" x14ac:dyDescent="0.3">
      <c r="A298" t="s">
        <v>1627</v>
      </c>
      <c r="B298">
        <v>1345488</v>
      </c>
      <c r="D298" t="s">
        <v>7</v>
      </c>
      <c r="E298">
        <v>945285</v>
      </c>
      <c r="F298">
        <v>9015884123</v>
      </c>
      <c r="G298">
        <v>77</v>
      </c>
      <c r="H298" t="s">
        <v>742</v>
      </c>
      <c r="I298">
        <v>0</v>
      </c>
      <c r="J298" t="s">
        <v>743</v>
      </c>
      <c r="K298" t="s">
        <v>8</v>
      </c>
      <c r="L298" t="s">
        <v>15</v>
      </c>
      <c r="M298" t="s">
        <v>9</v>
      </c>
      <c r="N298" t="s">
        <v>14</v>
      </c>
      <c r="O298" s="2">
        <v>0</v>
      </c>
      <c r="P298" s="3">
        <v>6319.3230000000003</v>
      </c>
      <c r="Q298" s="1">
        <v>46033</v>
      </c>
      <c r="R298" s="1">
        <v>45992</v>
      </c>
      <c r="S298" s="1">
        <v>46022</v>
      </c>
      <c r="V298" s="8">
        <v>1</v>
      </c>
      <c r="W298" t="s">
        <v>24</v>
      </c>
      <c r="X298" t="s">
        <v>744</v>
      </c>
      <c r="Y298" t="s">
        <v>10</v>
      </c>
      <c r="Z298" t="s">
        <v>11</v>
      </c>
      <c r="AA298">
        <v>62371</v>
      </c>
      <c r="AB298">
        <v>21116819</v>
      </c>
      <c r="AC298">
        <v>0</v>
      </c>
      <c r="AD298" s="8"/>
    </row>
    <row r="299" spans="1:30" x14ac:dyDescent="0.3">
      <c r="A299" t="s">
        <v>1627</v>
      </c>
      <c r="B299">
        <v>1424122</v>
      </c>
      <c r="D299" t="s">
        <v>7</v>
      </c>
      <c r="E299">
        <v>946697</v>
      </c>
      <c r="F299">
        <v>9015884123</v>
      </c>
      <c r="G299">
        <v>467</v>
      </c>
      <c r="H299" t="s">
        <v>745</v>
      </c>
      <c r="I299">
        <v>0</v>
      </c>
      <c r="J299" t="s">
        <v>746</v>
      </c>
      <c r="K299" t="s">
        <v>8</v>
      </c>
      <c r="L299" t="s">
        <v>67</v>
      </c>
      <c r="M299" t="s">
        <v>9</v>
      </c>
      <c r="N299" t="s">
        <v>14</v>
      </c>
      <c r="O299" s="2">
        <v>348119.3</v>
      </c>
      <c r="P299" s="3">
        <v>2444.1179999999999</v>
      </c>
      <c r="Q299" s="1">
        <v>46033</v>
      </c>
      <c r="R299" s="1">
        <v>45992</v>
      </c>
      <c r="S299" s="1">
        <v>46022</v>
      </c>
      <c r="V299" s="8">
        <v>1</v>
      </c>
      <c r="W299" t="s">
        <v>24</v>
      </c>
      <c r="X299" t="s">
        <v>747</v>
      </c>
      <c r="Y299" t="s">
        <v>55</v>
      </c>
      <c r="Z299" t="s">
        <v>11</v>
      </c>
      <c r="AA299">
        <v>62371</v>
      </c>
      <c r="AB299">
        <v>21517518</v>
      </c>
      <c r="AC299">
        <v>0</v>
      </c>
      <c r="AD299" s="8"/>
    </row>
    <row r="300" spans="1:30" x14ac:dyDescent="0.3">
      <c r="A300" t="s">
        <v>1627</v>
      </c>
      <c r="B300">
        <v>1342238</v>
      </c>
      <c r="D300" t="s">
        <v>7</v>
      </c>
      <c r="E300">
        <v>945263</v>
      </c>
      <c r="F300">
        <v>9015884123</v>
      </c>
      <c r="G300">
        <v>70</v>
      </c>
      <c r="H300" t="s">
        <v>748</v>
      </c>
      <c r="I300">
        <v>0</v>
      </c>
      <c r="J300" t="s">
        <v>749</v>
      </c>
      <c r="K300" t="s">
        <v>8</v>
      </c>
      <c r="L300" t="s">
        <v>18</v>
      </c>
      <c r="M300" t="s">
        <v>9</v>
      </c>
      <c r="N300" t="s">
        <v>14</v>
      </c>
      <c r="O300" s="2">
        <v>4.16</v>
      </c>
      <c r="P300" s="3">
        <v>0</v>
      </c>
      <c r="Q300" s="1">
        <v>46033</v>
      </c>
      <c r="R300" s="1">
        <v>45992</v>
      </c>
      <c r="S300" s="1">
        <v>46022</v>
      </c>
      <c r="V300" s="8">
        <v>1</v>
      </c>
      <c r="W300" t="s">
        <v>24</v>
      </c>
      <c r="X300" t="s">
        <v>750</v>
      </c>
      <c r="Y300" t="s">
        <v>10</v>
      </c>
      <c r="Z300" t="s">
        <v>11</v>
      </c>
      <c r="AA300">
        <v>62371</v>
      </c>
      <c r="AB300">
        <v>17037991</v>
      </c>
      <c r="AC300">
        <v>0</v>
      </c>
      <c r="AD300" s="8"/>
    </row>
    <row r="301" spans="1:30" x14ac:dyDescent="0.3">
      <c r="A301" t="s">
        <v>1627</v>
      </c>
      <c r="B301">
        <v>1342245</v>
      </c>
      <c r="D301" t="s">
        <v>7</v>
      </c>
      <c r="E301">
        <v>945269</v>
      </c>
      <c r="F301">
        <v>9015884123</v>
      </c>
      <c r="G301">
        <v>72</v>
      </c>
      <c r="H301" t="s">
        <v>751</v>
      </c>
      <c r="I301">
        <v>0</v>
      </c>
      <c r="J301" t="s">
        <v>752</v>
      </c>
      <c r="K301" t="s">
        <v>8</v>
      </c>
      <c r="L301" t="s">
        <v>18</v>
      </c>
      <c r="M301" t="s">
        <v>9</v>
      </c>
      <c r="N301" t="s">
        <v>14</v>
      </c>
      <c r="O301" s="2">
        <v>0.92</v>
      </c>
      <c r="P301" s="3">
        <v>0</v>
      </c>
      <c r="Q301" s="1">
        <v>46033</v>
      </c>
      <c r="R301" s="1">
        <v>45992</v>
      </c>
      <c r="S301" s="1">
        <v>46022</v>
      </c>
      <c r="V301" s="8">
        <v>1</v>
      </c>
      <c r="W301" t="s">
        <v>24</v>
      </c>
      <c r="X301" t="s">
        <v>753</v>
      </c>
      <c r="Y301" t="s">
        <v>10</v>
      </c>
      <c r="Z301" t="s">
        <v>11</v>
      </c>
      <c r="AA301">
        <v>62371</v>
      </c>
      <c r="AB301">
        <v>19392444</v>
      </c>
      <c r="AC301">
        <v>0</v>
      </c>
      <c r="AD301" s="8"/>
    </row>
    <row r="302" spans="1:30" x14ac:dyDescent="0.3">
      <c r="A302" t="s">
        <v>1627</v>
      </c>
      <c r="B302">
        <v>1354515</v>
      </c>
      <c r="D302" t="s">
        <v>7</v>
      </c>
      <c r="E302">
        <v>945369</v>
      </c>
      <c r="F302">
        <v>9015884123</v>
      </c>
      <c r="G302">
        <v>102</v>
      </c>
      <c r="H302" t="s">
        <v>754</v>
      </c>
      <c r="I302">
        <v>0</v>
      </c>
      <c r="J302" t="s">
        <v>755</v>
      </c>
      <c r="K302" t="s">
        <v>8</v>
      </c>
      <c r="L302" t="s">
        <v>15</v>
      </c>
      <c r="M302" t="s">
        <v>9</v>
      </c>
      <c r="N302" t="s">
        <v>14</v>
      </c>
      <c r="O302" s="2">
        <v>0</v>
      </c>
      <c r="P302" s="3">
        <v>3356.87</v>
      </c>
      <c r="Q302" s="1">
        <v>46033</v>
      </c>
      <c r="R302" s="1">
        <v>45992</v>
      </c>
      <c r="S302" s="1">
        <v>46022</v>
      </c>
      <c r="V302" s="8">
        <v>1</v>
      </c>
      <c r="W302" t="s">
        <v>24</v>
      </c>
      <c r="X302" t="s">
        <v>756</v>
      </c>
      <c r="Y302" t="s">
        <v>17</v>
      </c>
      <c r="Z302" t="s">
        <v>11</v>
      </c>
      <c r="AA302">
        <v>62371</v>
      </c>
      <c r="AB302">
        <v>17822108</v>
      </c>
      <c r="AC302">
        <v>0</v>
      </c>
      <c r="AD302" s="8"/>
    </row>
    <row r="303" spans="1:30" x14ac:dyDescent="0.3">
      <c r="A303" t="s">
        <v>1627</v>
      </c>
      <c r="B303">
        <v>1354731</v>
      </c>
      <c r="D303" t="s">
        <v>7</v>
      </c>
      <c r="E303">
        <v>945321</v>
      </c>
      <c r="F303">
        <v>9015884123</v>
      </c>
      <c r="G303">
        <v>88</v>
      </c>
      <c r="H303" t="s">
        <v>757</v>
      </c>
      <c r="I303">
        <v>0</v>
      </c>
      <c r="J303" t="s">
        <v>758</v>
      </c>
      <c r="K303" t="s">
        <v>8</v>
      </c>
      <c r="L303" t="s">
        <v>15</v>
      </c>
      <c r="M303" t="s">
        <v>9</v>
      </c>
      <c r="N303" t="s">
        <v>14</v>
      </c>
      <c r="O303" s="2">
        <v>0</v>
      </c>
      <c r="P303" s="3">
        <v>7043.4369999999999</v>
      </c>
      <c r="Q303" s="1">
        <v>46033</v>
      </c>
      <c r="R303" s="1">
        <v>45992</v>
      </c>
      <c r="S303" s="1">
        <v>46022</v>
      </c>
      <c r="V303" s="8">
        <v>1</v>
      </c>
      <c r="W303" t="s">
        <v>24</v>
      </c>
      <c r="X303" t="s">
        <v>759</v>
      </c>
      <c r="Y303" t="s">
        <v>10</v>
      </c>
      <c r="Z303" t="s">
        <v>11</v>
      </c>
      <c r="AA303">
        <v>62371</v>
      </c>
      <c r="AB303">
        <v>17679524</v>
      </c>
      <c r="AC303">
        <v>1</v>
      </c>
      <c r="AD303" s="8"/>
    </row>
    <row r="304" spans="1:30" x14ac:dyDescent="0.3">
      <c r="A304" t="s">
        <v>1627</v>
      </c>
      <c r="B304">
        <v>1354736</v>
      </c>
      <c r="D304" t="s">
        <v>7</v>
      </c>
      <c r="E304">
        <v>945356</v>
      </c>
      <c r="F304">
        <v>9015884123</v>
      </c>
      <c r="G304">
        <v>98</v>
      </c>
      <c r="H304" t="s">
        <v>193</v>
      </c>
      <c r="I304">
        <v>0</v>
      </c>
      <c r="J304" t="s">
        <v>194</v>
      </c>
      <c r="K304" t="s">
        <v>8</v>
      </c>
      <c r="L304" t="s">
        <v>18</v>
      </c>
      <c r="M304" t="s">
        <v>9</v>
      </c>
      <c r="N304" t="s">
        <v>14</v>
      </c>
      <c r="O304" s="2">
        <v>-1.32</v>
      </c>
      <c r="P304" s="3">
        <v>0</v>
      </c>
      <c r="Q304" s="1">
        <v>46033</v>
      </c>
      <c r="R304" s="1">
        <v>45992</v>
      </c>
      <c r="S304" s="1">
        <v>46022</v>
      </c>
      <c r="V304" s="8">
        <v>1</v>
      </c>
      <c r="W304" t="s">
        <v>24</v>
      </c>
      <c r="X304" t="s">
        <v>195</v>
      </c>
      <c r="Y304" t="s">
        <v>10</v>
      </c>
      <c r="Z304" t="s">
        <v>11</v>
      </c>
      <c r="AA304">
        <v>62371</v>
      </c>
      <c r="AB304">
        <v>18534189</v>
      </c>
      <c r="AC304">
        <v>1</v>
      </c>
      <c r="AD304" s="8"/>
    </row>
    <row r="305" spans="1:30" x14ac:dyDescent="0.3">
      <c r="A305" t="s">
        <v>1627</v>
      </c>
      <c r="B305">
        <v>1345486</v>
      </c>
      <c r="D305" t="s">
        <v>7</v>
      </c>
      <c r="E305">
        <v>945282</v>
      </c>
      <c r="F305">
        <v>9015884123</v>
      </c>
      <c r="G305">
        <v>76</v>
      </c>
      <c r="H305" t="s">
        <v>760</v>
      </c>
      <c r="I305">
        <v>0</v>
      </c>
      <c r="J305" t="s">
        <v>761</v>
      </c>
      <c r="K305" t="s">
        <v>8</v>
      </c>
      <c r="L305" t="s">
        <v>18</v>
      </c>
      <c r="M305" t="s">
        <v>9</v>
      </c>
      <c r="N305" t="s">
        <v>14</v>
      </c>
      <c r="O305" s="2">
        <v>0.08</v>
      </c>
      <c r="P305" s="3">
        <v>0</v>
      </c>
      <c r="Q305" s="1">
        <v>46033</v>
      </c>
      <c r="R305" s="1">
        <v>45992</v>
      </c>
      <c r="S305" s="1">
        <v>46022</v>
      </c>
      <c r="V305" s="8">
        <v>1</v>
      </c>
      <c r="W305" t="s">
        <v>24</v>
      </c>
      <c r="X305" t="s">
        <v>762</v>
      </c>
      <c r="Y305" t="s">
        <v>10</v>
      </c>
      <c r="Z305" t="s">
        <v>11</v>
      </c>
      <c r="AA305">
        <v>62371</v>
      </c>
      <c r="AB305">
        <v>18508479</v>
      </c>
      <c r="AC305">
        <v>1</v>
      </c>
      <c r="AD305" s="8" t="s">
        <v>1650</v>
      </c>
    </row>
    <row r="306" spans="1:30" x14ac:dyDescent="0.3">
      <c r="A306" t="s">
        <v>1627</v>
      </c>
      <c r="B306">
        <v>1345488</v>
      </c>
      <c r="D306" t="s">
        <v>7</v>
      </c>
      <c r="E306">
        <v>945285</v>
      </c>
      <c r="F306">
        <v>9015884123</v>
      </c>
      <c r="G306">
        <v>77</v>
      </c>
      <c r="H306" t="s">
        <v>742</v>
      </c>
      <c r="I306">
        <v>0</v>
      </c>
      <c r="J306" t="s">
        <v>743</v>
      </c>
      <c r="K306" t="s">
        <v>8</v>
      </c>
      <c r="L306" t="s">
        <v>67</v>
      </c>
      <c r="M306" t="s">
        <v>9</v>
      </c>
      <c r="N306" t="s">
        <v>14</v>
      </c>
      <c r="O306" s="2">
        <v>900070.40000000002</v>
      </c>
      <c r="P306" s="3">
        <v>6319.3230000000003</v>
      </c>
      <c r="Q306" s="1">
        <v>46033</v>
      </c>
      <c r="R306" s="1">
        <v>45992</v>
      </c>
      <c r="S306" s="1">
        <v>46022</v>
      </c>
      <c r="V306" s="8">
        <v>1</v>
      </c>
      <c r="W306" t="s">
        <v>24</v>
      </c>
      <c r="X306" t="s">
        <v>744</v>
      </c>
      <c r="Y306" t="s">
        <v>10</v>
      </c>
      <c r="Z306" t="s">
        <v>11</v>
      </c>
      <c r="AA306">
        <v>62371</v>
      </c>
      <c r="AB306">
        <v>21116819</v>
      </c>
      <c r="AC306">
        <v>0</v>
      </c>
      <c r="AD306" s="8"/>
    </row>
    <row r="307" spans="1:30" x14ac:dyDescent="0.3">
      <c r="A307" t="s">
        <v>1627</v>
      </c>
      <c r="B307">
        <v>1354733</v>
      </c>
      <c r="D307" t="s">
        <v>7</v>
      </c>
      <c r="E307">
        <v>945334</v>
      </c>
      <c r="F307">
        <v>9015884123</v>
      </c>
      <c r="G307">
        <v>91</v>
      </c>
      <c r="H307" t="s">
        <v>763</v>
      </c>
      <c r="I307">
        <v>0</v>
      </c>
      <c r="J307" t="s">
        <v>764</v>
      </c>
      <c r="K307" t="s">
        <v>8</v>
      </c>
      <c r="L307" t="s">
        <v>18</v>
      </c>
      <c r="M307" t="s">
        <v>9</v>
      </c>
      <c r="N307" t="s">
        <v>14</v>
      </c>
      <c r="O307" s="2">
        <v>1.79</v>
      </c>
      <c r="P307" s="3">
        <v>0</v>
      </c>
      <c r="Q307" s="1">
        <v>46033</v>
      </c>
      <c r="R307" s="1">
        <v>45992</v>
      </c>
      <c r="S307" s="1">
        <v>46022</v>
      </c>
      <c r="V307" s="8">
        <v>1</v>
      </c>
      <c r="W307" t="s">
        <v>24</v>
      </c>
      <c r="X307" t="s">
        <v>765</v>
      </c>
      <c r="Y307" t="s">
        <v>10</v>
      </c>
      <c r="Z307" t="s">
        <v>11</v>
      </c>
      <c r="AA307">
        <v>62371</v>
      </c>
      <c r="AB307">
        <v>18816558</v>
      </c>
      <c r="AC307">
        <v>1</v>
      </c>
      <c r="AD307" s="8"/>
    </row>
    <row r="308" spans="1:30" x14ac:dyDescent="0.3">
      <c r="A308" t="s">
        <v>1627</v>
      </c>
      <c r="B308">
        <v>1354736</v>
      </c>
      <c r="D308" t="s">
        <v>7</v>
      </c>
      <c r="E308">
        <v>945356</v>
      </c>
      <c r="F308">
        <v>9015884123</v>
      </c>
      <c r="G308">
        <v>98</v>
      </c>
      <c r="H308" t="s">
        <v>193</v>
      </c>
      <c r="I308">
        <v>0</v>
      </c>
      <c r="J308" t="s">
        <v>194</v>
      </c>
      <c r="K308" t="s">
        <v>8</v>
      </c>
      <c r="L308" t="s">
        <v>15</v>
      </c>
      <c r="M308" t="s">
        <v>9</v>
      </c>
      <c r="N308" t="s">
        <v>14</v>
      </c>
      <c r="O308" s="2">
        <v>0</v>
      </c>
      <c r="P308" s="3">
        <v>5201.1880000000001</v>
      </c>
      <c r="Q308" s="1">
        <v>46033</v>
      </c>
      <c r="R308" s="1">
        <v>45992</v>
      </c>
      <c r="S308" s="1">
        <v>46022</v>
      </c>
      <c r="V308" s="8">
        <v>1</v>
      </c>
      <c r="W308" t="s">
        <v>24</v>
      </c>
      <c r="X308" t="s">
        <v>195</v>
      </c>
      <c r="Y308" t="s">
        <v>10</v>
      </c>
      <c r="Z308" t="s">
        <v>11</v>
      </c>
      <c r="AA308">
        <v>62371</v>
      </c>
      <c r="AB308">
        <v>18534189</v>
      </c>
      <c r="AC308">
        <v>1</v>
      </c>
      <c r="AD308" s="8"/>
    </row>
    <row r="309" spans="1:30" x14ac:dyDescent="0.3">
      <c r="A309" t="s">
        <v>1627</v>
      </c>
      <c r="B309">
        <v>1363454</v>
      </c>
      <c r="D309" t="s">
        <v>7</v>
      </c>
      <c r="E309">
        <v>945922</v>
      </c>
      <c r="F309">
        <v>9015884123</v>
      </c>
      <c r="G309">
        <v>173</v>
      </c>
      <c r="H309" t="s">
        <v>766</v>
      </c>
      <c r="I309">
        <v>0</v>
      </c>
      <c r="J309" t="s">
        <v>767</v>
      </c>
      <c r="K309" t="s">
        <v>8</v>
      </c>
      <c r="L309" t="s">
        <v>15</v>
      </c>
      <c r="M309" t="s">
        <v>9</v>
      </c>
      <c r="N309" t="s">
        <v>14</v>
      </c>
      <c r="O309" s="2">
        <v>0</v>
      </c>
      <c r="P309" s="3">
        <v>3138.1559999999999</v>
      </c>
      <c r="Q309" s="1">
        <v>46033</v>
      </c>
      <c r="R309" s="1">
        <v>45992</v>
      </c>
      <c r="S309" s="1">
        <v>46022</v>
      </c>
      <c r="V309" s="8">
        <v>1</v>
      </c>
      <c r="W309" t="s">
        <v>24</v>
      </c>
      <c r="X309" t="s">
        <v>768</v>
      </c>
      <c r="Y309" t="s">
        <v>17</v>
      </c>
      <c r="Z309" t="s">
        <v>11</v>
      </c>
      <c r="AA309">
        <v>62371</v>
      </c>
      <c r="AB309">
        <v>18359476</v>
      </c>
      <c r="AC309">
        <v>1</v>
      </c>
      <c r="AD309" s="8"/>
    </row>
    <row r="310" spans="1:30" x14ac:dyDescent="0.3">
      <c r="A310" t="s">
        <v>1627</v>
      </c>
      <c r="B310">
        <v>1363124</v>
      </c>
      <c r="D310" t="s">
        <v>7</v>
      </c>
      <c r="E310">
        <v>945904</v>
      </c>
      <c r="F310">
        <v>9015884123</v>
      </c>
      <c r="G310">
        <v>153</v>
      </c>
      <c r="H310" t="s">
        <v>769</v>
      </c>
      <c r="I310">
        <v>0</v>
      </c>
      <c r="J310" t="s">
        <v>770</v>
      </c>
      <c r="K310" t="s">
        <v>8</v>
      </c>
      <c r="L310" t="s">
        <v>15</v>
      </c>
      <c r="M310" t="s">
        <v>9</v>
      </c>
      <c r="N310" t="s">
        <v>14</v>
      </c>
      <c r="O310" s="2">
        <v>0</v>
      </c>
      <c r="P310" s="3">
        <v>2138.2440000000001</v>
      </c>
      <c r="Q310" s="1">
        <v>46033</v>
      </c>
      <c r="R310" s="1">
        <v>45992</v>
      </c>
      <c r="S310" s="1">
        <v>46022</v>
      </c>
      <c r="V310" s="8">
        <v>1</v>
      </c>
      <c r="W310" t="s">
        <v>24</v>
      </c>
      <c r="X310" t="s">
        <v>771</v>
      </c>
      <c r="Y310" t="s">
        <v>17</v>
      </c>
      <c r="Z310" t="s">
        <v>11</v>
      </c>
      <c r="AA310">
        <v>62371</v>
      </c>
      <c r="AB310">
        <v>19861748</v>
      </c>
      <c r="AC310">
        <v>1</v>
      </c>
      <c r="AD310" s="8"/>
    </row>
    <row r="311" spans="1:30" x14ac:dyDescent="0.3">
      <c r="A311" t="s">
        <v>1627</v>
      </c>
      <c r="B311">
        <v>1377966</v>
      </c>
      <c r="D311" t="s">
        <v>7</v>
      </c>
      <c r="E311">
        <v>945942</v>
      </c>
      <c r="F311">
        <v>9015884123</v>
      </c>
      <c r="G311">
        <v>189</v>
      </c>
      <c r="H311" t="s">
        <v>772</v>
      </c>
      <c r="I311">
        <v>0</v>
      </c>
      <c r="J311" t="s">
        <v>773</v>
      </c>
      <c r="K311" t="s">
        <v>8</v>
      </c>
      <c r="L311" t="s">
        <v>15</v>
      </c>
      <c r="M311" t="s">
        <v>9</v>
      </c>
      <c r="N311" t="s">
        <v>14</v>
      </c>
      <c r="O311" s="2">
        <v>0</v>
      </c>
      <c r="P311" s="3">
        <v>3112.3209999999999</v>
      </c>
      <c r="Q311" s="1">
        <v>46033</v>
      </c>
      <c r="R311" s="1">
        <v>45992</v>
      </c>
      <c r="S311" s="1">
        <v>46022</v>
      </c>
      <c r="V311" s="8">
        <v>1</v>
      </c>
      <c r="W311" t="s">
        <v>24</v>
      </c>
      <c r="X311" t="s">
        <v>774</v>
      </c>
      <c r="Y311" t="s">
        <v>17</v>
      </c>
      <c r="Z311" t="s">
        <v>11</v>
      </c>
      <c r="AA311">
        <v>62371</v>
      </c>
      <c r="AB311">
        <v>19409261</v>
      </c>
      <c r="AC311">
        <v>1</v>
      </c>
      <c r="AD311" s="8"/>
    </row>
    <row r="312" spans="1:30" x14ac:dyDescent="0.3">
      <c r="A312" t="s">
        <v>1627</v>
      </c>
      <c r="B312">
        <v>1377542</v>
      </c>
      <c r="D312" t="s">
        <v>7</v>
      </c>
      <c r="E312">
        <v>945952</v>
      </c>
      <c r="F312">
        <v>9015884123</v>
      </c>
      <c r="G312">
        <v>194</v>
      </c>
      <c r="H312" t="s">
        <v>775</v>
      </c>
      <c r="I312">
        <v>0</v>
      </c>
      <c r="J312" t="s">
        <v>776</v>
      </c>
      <c r="K312" t="s">
        <v>8</v>
      </c>
      <c r="L312" t="s">
        <v>18</v>
      </c>
      <c r="M312" t="s">
        <v>9</v>
      </c>
      <c r="N312" t="s">
        <v>14</v>
      </c>
      <c r="O312" s="2">
        <v>-0.57999999999999996</v>
      </c>
      <c r="P312" s="3">
        <v>0</v>
      </c>
      <c r="Q312" s="1">
        <v>46033</v>
      </c>
      <c r="R312" s="1">
        <v>45992</v>
      </c>
      <c r="S312" s="1">
        <v>46022</v>
      </c>
      <c r="V312" s="8">
        <v>1</v>
      </c>
      <c r="W312" t="s">
        <v>24</v>
      </c>
      <c r="X312" t="s">
        <v>777</v>
      </c>
      <c r="Y312" t="s">
        <v>17</v>
      </c>
      <c r="Z312" t="s">
        <v>11</v>
      </c>
      <c r="AA312">
        <v>62371</v>
      </c>
      <c r="AB312">
        <v>19453123</v>
      </c>
      <c r="AC312">
        <v>1</v>
      </c>
      <c r="AD312" s="8"/>
    </row>
    <row r="313" spans="1:30" x14ac:dyDescent="0.3">
      <c r="A313" t="s">
        <v>1627</v>
      </c>
      <c r="B313">
        <v>1380542</v>
      </c>
      <c r="D313" t="s">
        <v>7</v>
      </c>
      <c r="E313">
        <v>945982</v>
      </c>
      <c r="F313">
        <v>9015884123</v>
      </c>
      <c r="G313">
        <v>210</v>
      </c>
      <c r="H313" t="s">
        <v>208</v>
      </c>
      <c r="I313">
        <v>0</v>
      </c>
      <c r="J313" t="s">
        <v>209</v>
      </c>
      <c r="K313" t="s">
        <v>8</v>
      </c>
      <c r="L313" t="s">
        <v>67</v>
      </c>
      <c r="M313" t="s">
        <v>9</v>
      </c>
      <c r="N313" t="s">
        <v>14</v>
      </c>
      <c r="O313" s="2">
        <v>399100.36</v>
      </c>
      <c r="P313" s="3">
        <v>2802.0520000000001</v>
      </c>
      <c r="Q313" s="1">
        <v>46033</v>
      </c>
      <c r="R313" s="1">
        <v>45992</v>
      </c>
      <c r="S313" s="1">
        <v>46022</v>
      </c>
      <c r="V313" s="8">
        <v>1</v>
      </c>
      <c r="W313" t="s">
        <v>24</v>
      </c>
      <c r="X313" t="s">
        <v>210</v>
      </c>
      <c r="Y313" t="s">
        <v>17</v>
      </c>
      <c r="Z313" t="s">
        <v>11</v>
      </c>
      <c r="AA313">
        <v>62371</v>
      </c>
      <c r="AB313">
        <v>18186253</v>
      </c>
      <c r="AC313">
        <v>0</v>
      </c>
      <c r="AD313" s="8"/>
    </row>
    <row r="314" spans="1:30" x14ac:dyDescent="0.3">
      <c r="A314" t="s">
        <v>1627</v>
      </c>
      <c r="B314">
        <v>1380522</v>
      </c>
      <c r="D314" t="s">
        <v>7</v>
      </c>
      <c r="E314">
        <v>945976</v>
      </c>
      <c r="F314">
        <v>9015884123</v>
      </c>
      <c r="G314">
        <v>206</v>
      </c>
      <c r="H314" t="s">
        <v>211</v>
      </c>
      <c r="I314">
        <v>0</v>
      </c>
      <c r="J314" t="s">
        <v>212</v>
      </c>
      <c r="K314" t="s">
        <v>8</v>
      </c>
      <c r="L314" t="s">
        <v>67</v>
      </c>
      <c r="M314" t="s">
        <v>9</v>
      </c>
      <c r="N314" t="s">
        <v>14</v>
      </c>
      <c r="O314" s="2">
        <v>1483150.41</v>
      </c>
      <c r="P314" s="3">
        <v>18051.076000000001</v>
      </c>
      <c r="Q314" s="1">
        <v>46033</v>
      </c>
      <c r="R314" s="1">
        <v>45992</v>
      </c>
      <c r="S314" s="1">
        <v>46022</v>
      </c>
      <c r="V314" s="8">
        <v>2</v>
      </c>
      <c r="W314" t="s">
        <v>24</v>
      </c>
      <c r="X314" t="s">
        <v>213</v>
      </c>
      <c r="Y314" t="s">
        <v>17</v>
      </c>
      <c r="Z314" t="s">
        <v>11</v>
      </c>
      <c r="AA314">
        <v>62371</v>
      </c>
      <c r="AB314">
        <v>18024706</v>
      </c>
      <c r="AC314">
        <v>1</v>
      </c>
      <c r="AD314" s="8"/>
    </row>
    <row r="315" spans="1:30" x14ac:dyDescent="0.3">
      <c r="A315" t="s">
        <v>1627</v>
      </c>
      <c r="B315">
        <v>1380522</v>
      </c>
      <c r="D315" t="s">
        <v>7</v>
      </c>
      <c r="E315">
        <v>945976</v>
      </c>
      <c r="F315">
        <v>9015884123</v>
      </c>
      <c r="G315">
        <v>206</v>
      </c>
      <c r="H315" t="s">
        <v>211</v>
      </c>
      <c r="I315">
        <v>0</v>
      </c>
      <c r="J315" t="s">
        <v>212</v>
      </c>
      <c r="K315" t="s">
        <v>8</v>
      </c>
      <c r="L315" t="s">
        <v>15</v>
      </c>
      <c r="M315" t="s">
        <v>9</v>
      </c>
      <c r="N315" t="s">
        <v>14</v>
      </c>
      <c r="O315" s="2">
        <v>0</v>
      </c>
      <c r="P315" s="3">
        <v>18051.076000000001</v>
      </c>
      <c r="Q315" s="1">
        <v>46033</v>
      </c>
      <c r="R315" s="1">
        <v>45992</v>
      </c>
      <c r="S315" s="1">
        <v>46022</v>
      </c>
      <c r="V315" s="8">
        <v>2</v>
      </c>
      <c r="W315" t="s">
        <v>24</v>
      </c>
      <c r="X315" t="s">
        <v>213</v>
      </c>
      <c r="Y315" t="s">
        <v>17</v>
      </c>
      <c r="Z315" t="s">
        <v>11</v>
      </c>
      <c r="AA315">
        <v>62371</v>
      </c>
      <c r="AB315">
        <v>18024706</v>
      </c>
      <c r="AC315">
        <v>1</v>
      </c>
      <c r="AD315" s="8"/>
    </row>
    <row r="316" spans="1:30" x14ac:dyDescent="0.3">
      <c r="A316" t="s">
        <v>1627</v>
      </c>
      <c r="B316">
        <v>1384733</v>
      </c>
      <c r="D316" t="s">
        <v>7</v>
      </c>
      <c r="E316">
        <v>946045</v>
      </c>
      <c r="F316">
        <v>9015884123</v>
      </c>
      <c r="G316">
        <v>235</v>
      </c>
      <c r="H316" t="s">
        <v>778</v>
      </c>
      <c r="I316">
        <v>0</v>
      </c>
      <c r="J316" t="s">
        <v>779</v>
      </c>
      <c r="K316" t="s">
        <v>8</v>
      </c>
      <c r="L316" t="s">
        <v>67</v>
      </c>
      <c r="M316" t="s">
        <v>9</v>
      </c>
      <c r="N316" t="s">
        <v>14</v>
      </c>
      <c r="O316" s="2">
        <v>741278.55</v>
      </c>
      <c r="P316" s="3">
        <v>5204.4579999999996</v>
      </c>
      <c r="Q316" s="1">
        <v>46033</v>
      </c>
      <c r="R316" s="1">
        <v>45992</v>
      </c>
      <c r="S316" s="1">
        <v>46022</v>
      </c>
      <c r="V316" s="8">
        <v>1</v>
      </c>
      <c r="W316" t="s">
        <v>24</v>
      </c>
      <c r="X316" t="s">
        <v>780</v>
      </c>
      <c r="Y316" t="s">
        <v>17</v>
      </c>
      <c r="Z316" t="s">
        <v>11</v>
      </c>
      <c r="AA316">
        <v>62371</v>
      </c>
      <c r="AB316">
        <v>19749570</v>
      </c>
      <c r="AC316">
        <v>0</v>
      </c>
      <c r="AD316" s="8"/>
    </row>
    <row r="317" spans="1:30" x14ac:dyDescent="0.3">
      <c r="A317" t="s">
        <v>1627</v>
      </c>
      <c r="B317">
        <v>1356149</v>
      </c>
      <c r="D317" t="s">
        <v>7</v>
      </c>
      <c r="E317">
        <v>945383</v>
      </c>
      <c r="F317">
        <v>9015884123</v>
      </c>
      <c r="G317">
        <v>106</v>
      </c>
      <c r="H317" t="s">
        <v>781</v>
      </c>
      <c r="I317">
        <v>0</v>
      </c>
      <c r="J317" t="s">
        <v>782</v>
      </c>
      <c r="K317" t="s">
        <v>8</v>
      </c>
      <c r="L317" t="s">
        <v>18</v>
      </c>
      <c r="M317" t="s">
        <v>9</v>
      </c>
      <c r="N317" t="s">
        <v>14</v>
      </c>
      <c r="O317" s="2">
        <v>-3.16</v>
      </c>
      <c r="P317" s="3">
        <v>0</v>
      </c>
      <c r="Q317" s="1">
        <v>46033</v>
      </c>
      <c r="R317" s="1">
        <v>45992</v>
      </c>
      <c r="S317" s="1">
        <v>46022</v>
      </c>
      <c r="V317" s="8">
        <v>1</v>
      </c>
      <c r="W317" t="s">
        <v>24</v>
      </c>
      <c r="X317" t="s">
        <v>783</v>
      </c>
      <c r="Y317" t="s">
        <v>10</v>
      </c>
      <c r="Z317" t="s">
        <v>11</v>
      </c>
      <c r="AA317">
        <v>62371</v>
      </c>
      <c r="AB317">
        <v>17192106</v>
      </c>
      <c r="AC317">
        <v>1</v>
      </c>
      <c r="AD317" s="8"/>
    </row>
    <row r="318" spans="1:30" x14ac:dyDescent="0.3">
      <c r="A318" t="s">
        <v>1627</v>
      </c>
      <c r="B318">
        <v>1356216</v>
      </c>
      <c r="D318" t="s">
        <v>7</v>
      </c>
      <c r="E318">
        <v>945413</v>
      </c>
      <c r="F318">
        <v>9015884123</v>
      </c>
      <c r="G318">
        <v>116</v>
      </c>
      <c r="H318" t="s">
        <v>223</v>
      </c>
      <c r="I318">
        <v>0</v>
      </c>
      <c r="J318" t="s">
        <v>224</v>
      </c>
      <c r="K318" t="s">
        <v>8</v>
      </c>
      <c r="L318" t="s">
        <v>19</v>
      </c>
      <c r="M318" t="s">
        <v>9</v>
      </c>
      <c r="N318" t="s">
        <v>14</v>
      </c>
      <c r="O318" s="2">
        <v>382.54</v>
      </c>
      <c r="P318" s="3">
        <v>1.9359999999999999</v>
      </c>
      <c r="Q318" s="1">
        <v>46033</v>
      </c>
      <c r="R318" s="1">
        <v>45992</v>
      </c>
      <c r="S318" s="1">
        <v>46022</v>
      </c>
      <c r="V318" s="8">
        <v>1</v>
      </c>
      <c r="W318" t="s">
        <v>24</v>
      </c>
      <c r="X318" t="s">
        <v>225</v>
      </c>
      <c r="Y318" t="s">
        <v>10</v>
      </c>
      <c r="Z318" t="s">
        <v>11</v>
      </c>
      <c r="AA318">
        <v>62371</v>
      </c>
      <c r="AB318">
        <v>17160281</v>
      </c>
      <c r="AC318">
        <v>0</v>
      </c>
      <c r="AD318" s="8"/>
    </row>
    <row r="319" spans="1:30" x14ac:dyDescent="0.3">
      <c r="A319" t="s">
        <v>1627</v>
      </c>
      <c r="B319">
        <v>1356268</v>
      </c>
      <c r="D319" t="s">
        <v>7</v>
      </c>
      <c r="E319">
        <v>945462</v>
      </c>
      <c r="F319">
        <v>9015884123</v>
      </c>
      <c r="G319">
        <v>133</v>
      </c>
      <c r="H319" t="s">
        <v>784</v>
      </c>
      <c r="I319">
        <v>0</v>
      </c>
      <c r="J319" t="s">
        <v>785</v>
      </c>
      <c r="K319" t="s">
        <v>8</v>
      </c>
      <c r="L319" t="s">
        <v>67</v>
      </c>
      <c r="M319" t="s">
        <v>9</v>
      </c>
      <c r="N319" t="s">
        <v>14</v>
      </c>
      <c r="O319" s="2">
        <v>294606.37</v>
      </c>
      <c r="P319" s="3">
        <v>2068.4079999999999</v>
      </c>
      <c r="Q319" s="1">
        <v>46033</v>
      </c>
      <c r="R319" s="1">
        <v>45992</v>
      </c>
      <c r="S319" s="1">
        <v>46022</v>
      </c>
      <c r="V319" s="8">
        <v>1</v>
      </c>
      <c r="W319" t="s">
        <v>24</v>
      </c>
      <c r="X319" t="s">
        <v>786</v>
      </c>
      <c r="Y319" t="s">
        <v>10</v>
      </c>
      <c r="Z319" t="s">
        <v>11</v>
      </c>
      <c r="AA319">
        <v>62371</v>
      </c>
      <c r="AB319">
        <v>18814626</v>
      </c>
      <c r="AC319">
        <v>0</v>
      </c>
      <c r="AD319" s="8"/>
    </row>
    <row r="320" spans="1:30" x14ac:dyDescent="0.3">
      <c r="A320" t="s">
        <v>1627</v>
      </c>
      <c r="B320">
        <v>1356168</v>
      </c>
      <c r="D320" t="s">
        <v>7</v>
      </c>
      <c r="E320">
        <v>945398</v>
      </c>
      <c r="F320">
        <v>9015884123</v>
      </c>
      <c r="G320">
        <v>111</v>
      </c>
      <c r="H320" t="s">
        <v>214</v>
      </c>
      <c r="I320">
        <v>0</v>
      </c>
      <c r="J320" t="s">
        <v>215</v>
      </c>
      <c r="K320" t="s">
        <v>8</v>
      </c>
      <c r="L320" t="s">
        <v>19</v>
      </c>
      <c r="M320" t="s">
        <v>9</v>
      </c>
      <c r="N320" t="s">
        <v>14</v>
      </c>
      <c r="O320" s="2">
        <v>6707.18</v>
      </c>
      <c r="P320" s="3">
        <v>41.109000000000002</v>
      </c>
      <c r="Q320" s="1">
        <v>46033</v>
      </c>
      <c r="R320" s="1">
        <v>45992</v>
      </c>
      <c r="S320" s="1">
        <v>46022</v>
      </c>
      <c r="V320" s="8">
        <v>1</v>
      </c>
      <c r="W320" t="s">
        <v>24</v>
      </c>
      <c r="X320" t="s">
        <v>216</v>
      </c>
      <c r="Y320" t="s">
        <v>10</v>
      </c>
      <c r="Z320" t="s">
        <v>11</v>
      </c>
      <c r="AA320">
        <v>62371</v>
      </c>
      <c r="AB320">
        <v>21107577</v>
      </c>
      <c r="AC320">
        <v>1</v>
      </c>
      <c r="AD320" s="8"/>
    </row>
    <row r="321" spans="1:30" x14ac:dyDescent="0.3">
      <c r="A321" t="s">
        <v>1627</v>
      </c>
      <c r="B321">
        <v>1356366</v>
      </c>
      <c r="D321" t="s">
        <v>7</v>
      </c>
      <c r="E321">
        <v>945470</v>
      </c>
      <c r="F321">
        <v>9015884123</v>
      </c>
      <c r="G321">
        <v>135</v>
      </c>
      <c r="H321" t="s">
        <v>787</v>
      </c>
      <c r="I321">
        <v>0</v>
      </c>
      <c r="J321" t="s">
        <v>788</v>
      </c>
      <c r="K321" t="s">
        <v>8</v>
      </c>
      <c r="L321" t="s">
        <v>15</v>
      </c>
      <c r="M321" t="s">
        <v>9</v>
      </c>
      <c r="N321" t="s">
        <v>14</v>
      </c>
      <c r="O321" s="2">
        <v>0</v>
      </c>
      <c r="P321" s="3">
        <v>2037.7380000000001</v>
      </c>
      <c r="Q321" s="1">
        <v>46033</v>
      </c>
      <c r="R321" s="1">
        <v>45992</v>
      </c>
      <c r="S321" s="1">
        <v>46022</v>
      </c>
      <c r="V321" s="8">
        <v>1</v>
      </c>
      <c r="W321" t="s">
        <v>24</v>
      </c>
      <c r="X321" t="s">
        <v>789</v>
      </c>
      <c r="Y321" t="s">
        <v>10</v>
      </c>
      <c r="Z321" t="s">
        <v>11</v>
      </c>
      <c r="AA321">
        <v>62371</v>
      </c>
      <c r="AB321">
        <v>17032603</v>
      </c>
      <c r="AC321">
        <v>1</v>
      </c>
      <c r="AD321" s="8"/>
    </row>
    <row r="322" spans="1:30" x14ac:dyDescent="0.3">
      <c r="A322" t="s">
        <v>1627</v>
      </c>
      <c r="B322">
        <v>1359838</v>
      </c>
      <c r="D322" t="s">
        <v>7</v>
      </c>
      <c r="E322">
        <v>945478</v>
      </c>
      <c r="F322">
        <v>9015884123</v>
      </c>
      <c r="G322">
        <v>138</v>
      </c>
      <c r="H322" t="s">
        <v>790</v>
      </c>
      <c r="I322">
        <v>0</v>
      </c>
      <c r="J322" t="s">
        <v>791</v>
      </c>
      <c r="K322" t="s">
        <v>8</v>
      </c>
      <c r="L322" t="s">
        <v>15</v>
      </c>
      <c r="M322" t="s">
        <v>9</v>
      </c>
      <c r="N322" t="s">
        <v>14</v>
      </c>
      <c r="O322" s="2">
        <v>0</v>
      </c>
      <c r="P322" s="3">
        <v>3632.3890000000001</v>
      </c>
      <c r="Q322" s="1">
        <v>46033</v>
      </c>
      <c r="R322" s="1">
        <v>45992</v>
      </c>
      <c r="S322" s="1">
        <v>46022</v>
      </c>
      <c r="V322" s="8">
        <v>1</v>
      </c>
      <c r="W322" t="s">
        <v>24</v>
      </c>
      <c r="X322" t="s">
        <v>792</v>
      </c>
      <c r="Y322" t="s">
        <v>10</v>
      </c>
      <c r="Z322" t="s">
        <v>11</v>
      </c>
      <c r="AA322">
        <v>62371</v>
      </c>
      <c r="AB322">
        <v>18369093</v>
      </c>
      <c r="AC322">
        <v>1</v>
      </c>
      <c r="AD322" s="8"/>
    </row>
    <row r="323" spans="1:30" x14ac:dyDescent="0.3">
      <c r="A323" t="s">
        <v>1627</v>
      </c>
      <c r="B323">
        <v>1356173</v>
      </c>
      <c r="D323" t="s">
        <v>7</v>
      </c>
      <c r="E323">
        <v>945401</v>
      </c>
      <c r="F323">
        <v>9015884123</v>
      </c>
      <c r="G323">
        <v>112</v>
      </c>
      <c r="H323" t="s">
        <v>793</v>
      </c>
      <c r="I323">
        <v>0</v>
      </c>
      <c r="J323" t="s">
        <v>794</v>
      </c>
      <c r="K323" t="s">
        <v>8</v>
      </c>
      <c r="L323" t="s">
        <v>19</v>
      </c>
      <c r="M323" t="s">
        <v>9</v>
      </c>
      <c r="N323" t="s">
        <v>14</v>
      </c>
      <c r="O323" s="2">
        <v>768.95</v>
      </c>
      <c r="P323" s="3">
        <v>4.7130000000000001</v>
      </c>
      <c r="Q323" s="1">
        <v>46033</v>
      </c>
      <c r="R323" s="1">
        <v>45992</v>
      </c>
      <c r="S323" s="1">
        <v>46022</v>
      </c>
      <c r="V323" s="8">
        <v>1</v>
      </c>
      <c r="W323" t="s">
        <v>24</v>
      </c>
      <c r="X323" t="s">
        <v>795</v>
      </c>
      <c r="Y323" t="s">
        <v>10</v>
      </c>
      <c r="Z323" t="s">
        <v>11</v>
      </c>
      <c r="AA323">
        <v>62371</v>
      </c>
      <c r="AB323">
        <v>21113537</v>
      </c>
      <c r="AC323">
        <v>1</v>
      </c>
      <c r="AD323" s="8"/>
    </row>
    <row r="324" spans="1:30" x14ac:dyDescent="0.3">
      <c r="A324" t="s">
        <v>1627</v>
      </c>
      <c r="B324">
        <v>1356219</v>
      </c>
      <c r="D324" t="s">
        <v>7</v>
      </c>
      <c r="E324">
        <v>945416</v>
      </c>
      <c r="F324">
        <v>9015884123</v>
      </c>
      <c r="G324">
        <v>117</v>
      </c>
      <c r="H324" t="s">
        <v>796</v>
      </c>
      <c r="I324">
        <v>0</v>
      </c>
      <c r="J324" t="s">
        <v>797</v>
      </c>
      <c r="K324" t="s">
        <v>8</v>
      </c>
      <c r="L324" t="s">
        <v>18</v>
      </c>
      <c r="M324" t="s">
        <v>9</v>
      </c>
      <c r="N324" t="s">
        <v>14</v>
      </c>
      <c r="O324" s="2">
        <v>-1.83</v>
      </c>
      <c r="P324" s="3">
        <v>0</v>
      </c>
      <c r="Q324" s="1">
        <v>46033</v>
      </c>
      <c r="R324" s="1">
        <v>45992</v>
      </c>
      <c r="S324" s="1">
        <v>46022</v>
      </c>
      <c r="V324" s="8">
        <v>1</v>
      </c>
      <c r="W324" t="s">
        <v>24</v>
      </c>
      <c r="X324" t="s">
        <v>798</v>
      </c>
      <c r="Y324" t="s">
        <v>10</v>
      </c>
      <c r="Z324" t="s">
        <v>11</v>
      </c>
      <c r="AA324">
        <v>62371</v>
      </c>
      <c r="AB324">
        <v>17538944</v>
      </c>
      <c r="AC324">
        <v>0</v>
      </c>
      <c r="AD324" s="8"/>
    </row>
    <row r="325" spans="1:30" x14ac:dyDescent="0.3">
      <c r="A325" t="s">
        <v>1627</v>
      </c>
      <c r="B325">
        <v>1356147</v>
      </c>
      <c r="D325" t="s">
        <v>7</v>
      </c>
      <c r="E325">
        <v>945444</v>
      </c>
      <c r="F325">
        <v>9015884123</v>
      </c>
      <c r="G325">
        <v>126</v>
      </c>
      <c r="H325" t="s">
        <v>799</v>
      </c>
      <c r="I325">
        <v>0</v>
      </c>
      <c r="J325" t="s">
        <v>800</v>
      </c>
      <c r="K325" t="s">
        <v>8</v>
      </c>
      <c r="L325" t="s">
        <v>67</v>
      </c>
      <c r="M325" t="s">
        <v>9</v>
      </c>
      <c r="N325" t="s">
        <v>14</v>
      </c>
      <c r="O325" s="2">
        <v>7192076.7400000002</v>
      </c>
      <c r="P325" s="3">
        <v>87533.08</v>
      </c>
      <c r="Q325" s="1">
        <v>46033</v>
      </c>
      <c r="R325" s="1">
        <v>45992</v>
      </c>
      <c r="S325" s="1">
        <v>46022</v>
      </c>
      <c r="V325" s="8">
        <v>2</v>
      </c>
      <c r="W325" t="s">
        <v>24</v>
      </c>
      <c r="X325" t="s">
        <v>801</v>
      </c>
      <c r="Y325" t="s">
        <v>10</v>
      </c>
      <c r="Z325" t="s">
        <v>11</v>
      </c>
      <c r="AA325">
        <v>62371</v>
      </c>
      <c r="AB325">
        <v>17523610</v>
      </c>
      <c r="AC325">
        <v>1</v>
      </c>
      <c r="AD325" s="8"/>
    </row>
    <row r="326" spans="1:30" x14ac:dyDescent="0.3">
      <c r="A326" t="s">
        <v>1627</v>
      </c>
      <c r="B326">
        <v>1359838</v>
      </c>
      <c r="D326" t="s">
        <v>7</v>
      </c>
      <c r="E326">
        <v>945478</v>
      </c>
      <c r="F326">
        <v>9015884123</v>
      </c>
      <c r="G326">
        <v>138</v>
      </c>
      <c r="H326" t="s">
        <v>790</v>
      </c>
      <c r="I326">
        <v>0</v>
      </c>
      <c r="J326" t="s">
        <v>791</v>
      </c>
      <c r="K326" t="s">
        <v>8</v>
      </c>
      <c r="L326" t="s">
        <v>67</v>
      </c>
      <c r="M326" t="s">
        <v>9</v>
      </c>
      <c r="N326" t="s">
        <v>14</v>
      </c>
      <c r="O326" s="2">
        <v>392282.57</v>
      </c>
      <c r="P326" s="3">
        <v>3632.3890000000001</v>
      </c>
      <c r="Q326" s="1">
        <v>46033</v>
      </c>
      <c r="R326" s="1">
        <v>45992</v>
      </c>
      <c r="S326" s="1">
        <v>46022</v>
      </c>
      <c r="V326" s="8">
        <v>1</v>
      </c>
      <c r="W326" t="s">
        <v>24</v>
      </c>
      <c r="X326" t="s">
        <v>792</v>
      </c>
      <c r="Y326" t="s">
        <v>10</v>
      </c>
      <c r="Z326" t="s">
        <v>11</v>
      </c>
      <c r="AA326">
        <v>62371</v>
      </c>
      <c r="AB326">
        <v>18369093</v>
      </c>
      <c r="AC326">
        <v>1</v>
      </c>
      <c r="AD326" s="8"/>
    </row>
    <row r="327" spans="1:30" x14ac:dyDescent="0.3">
      <c r="A327" t="s">
        <v>1627</v>
      </c>
      <c r="B327">
        <v>1356272</v>
      </c>
      <c r="D327" t="s">
        <v>7</v>
      </c>
      <c r="E327">
        <v>945472</v>
      </c>
      <c r="F327">
        <v>9015884123</v>
      </c>
      <c r="G327">
        <v>136</v>
      </c>
      <c r="H327" t="s">
        <v>802</v>
      </c>
      <c r="I327">
        <v>0</v>
      </c>
      <c r="J327" t="s">
        <v>803</v>
      </c>
      <c r="K327" t="s">
        <v>8</v>
      </c>
      <c r="L327" t="s">
        <v>67</v>
      </c>
      <c r="M327" t="s">
        <v>9</v>
      </c>
      <c r="N327" t="s">
        <v>14</v>
      </c>
      <c r="O327" s="2">
        <v>487235.57</v>
      </c>
      <c r="P327" s="3">
        <v>4511.6180000000004</v>
      </c>
      <c r="Q327" s="1">
        <v>46033</v>
      </c>
      <c r="R327" s="1">
        <v>45992</v>
      </c>
      <c r="S327" s="1">
        <v>46022</v>
      </c>
      <c r="V327" s="8">
        <v>1</v>
      </c>
      <c r="W327" t="s">
        <v>24</v>
      </c>
      <c r="X327" t="s">
        <v>804</v>
      </c>
      <c r="Y327" t="s">
        <v>10</v>
      </c>
      <c r="Z327" t="s">
        <v>11</v>
      </c>
      <c r="AA327">
        <v>62371</v>
      </c>
      <c r="AB327">
        <v>20071780</v>
      </c>
      <c r="AC327">
        <v>1</v>
      </c>
      <c r="AD327" s="8"/>
    </row>
    <row r="328" spans="1:30" x14ac:dyDescent="0.3">
      <c r="A328" t="s">
        <v>1627</v>
      </c>
      <c r="B328">
        <v>1356229</v>
      </c>
      <c r="D328" t="s">
        <v>7</v>
      </c>
      <c r="E328">
        <v>945419</v>
      </c>
      <c r="F328">
        <v>9015884123</v>
      </c>
      <c r="G328">
        <v>118</v>
      </c>
      <c r="H328" t="s">
        <v>805</v>
      </c>
      <c r="I328">
        <v>0</v>
      </c>
      <c r="J328" t="s">
        <v>806</v>
      </c>
      <c r="K328" t="s">
        <v>8</v>
      </c>
      <c r="L328" t="s">
        <v>19</v>
      </c>
      <c r="M328" t="s">
        <v>9</v>
      </c>
      <c r="N328" t="s">
        <v>14</v>
      </c>
      <c r="O328" s="2">
        <v>6920.43</v>
      </c>
      <c r="P328" s="3">
        <v>42.415999999999997</v>
      </c>
      <c r="Q328" s="1">
        <v>46033</v>
      </c>
      <c r="R328" s="1">
        <v>45992</v>
      </c>
      <c r="S328" s="1">
        <v>46022</v>
      </c>
      <c r="V328" s="8">
        <v>1</v>
      </c>
      <c r="W328" t="s">
        <v>24</v>
      </c>
      <c r="X328" t="s">
        <v>807</v>
      </c>
      <c r="Y328" t="s">
        <v>10</v>
      </c>
      <c r="Z328" t="s">
        <v>11</v>
      </c>
      <c r="AA328">
        <v>62371</v>
      </c>
      <c r="AB328">
        <v>18533571</v>
      </c>
      <c r="AC328">
        <v>1</v>
      </c>
      <c r="AD328" s="8"/>
    </row>
    <row r="329" spans="1:30" x14ac:dyDescent="0.3">
      <c r="A329" t="s">
        <v>1627</v>
      </c>
      <c r="B329">
        <v>1356241</v>
      </c>
      <c r="D329" t="s">
        <v>7</v>
      </c>
      <c r="E329">
        <v>945430</v>
      </c>
      <c r="F329">
        <v>9015884123</v>
      </c>
      <c r="G329">
        <v>121</v>
      </c>
      <c r="H329" t="s">
        <v>808</v>
      </c>
      <c r="I329">
        <v>0</v>
      </c>
      <c r="J329" t="s">
        <v>809</v>
      </c>
      <c r="K329" t="s">
        <v>8</v>
      </c>
      <c r="L329" t="s">
        <v>18</v>
      </c>
      <c r="M329" t="s">
        <v>9</v>
      </c>
      <c r="N329" t="s">
        <v>14</v>
      </c>
      <c r="O329" s="2">
        <v>-1.84</v>
      </c>
      <c r="P329" s="3">
        <v>0</v>
      </c>
      <c r="Q329" s="1">
        <v>46033</v>
      </c>
      <c r="R329" s="1">
        <v>45992</v>
      </c>
      <c r="S329" s="1">
        <v>46022</v>
      </c>
      <c r="V329" s="8">
        <v>1</v>
      </c>
      <c r="W329" t="s">
        <v>24</v>
      </c>
      <c r="X329" t="s">
        <v>810</v>
      </c>
      <c r="Y329" t="s">
        <v>10</v>
      </c>
      <c r="Z329" t="s">
        <v>11</v>
      </c>
      <c r="AA329">
        <v>62371</v>
      </c>
      <c r="AB329">
        <v>21250581</v>
      </c>
      <c r="AC329">
        <v>1</v>
      </c>
      <c r="AD329" s="8"/>
    </row>
    <row r="330" spans="1:30" x14ac:dyDescent="0.3">
      <c r="A330" t="s">
        <v>1627</v>
      </c>
      <c r="B330">
        <v>1359839</v>
      </c>
      <c r="D330" t="s">
        <v>7</v>
      </c>
      <c r="E330">
        <v>945481</v>
      </c>
      <c r="F330">
        <v>9015884123</v>
      </c>
      <c r="G330">
        <v>139</v>
      </c>
      <c r="H330" t="s">
        <v>220</v>
      </c>
      <c r="I330">
        <v>0</v>
      </c>
      <c r="J330" t="s">
        <v>221</v>
      </c>
      <c r="K330" t="s">
        <v>8</v>
      </c>
      <c r="L330" t="s">
        <v>19</v>
      </c>
      <c r="M330" t="s">
        <v>9</v>
      </c>
      <c r="N330" t="s">
        <v>14</v>
      </c>
      <c r="O330" s="2">
        <v>63850.39</v>
      </c>
      <c r="P330" s="3">
        <v>323.14299999999997</v>
      </c>
      <c r="Q330" s="1">
        <v>46033</v>
      </c>
      <c r="R330" s="1">
        <v>45992</v>
      </c>
      <c r="S330" s="1">
        <v>46022</v>
      </c>
      <c r="V330" s="8">
        <v>1</v>
      </c>
      <c r="W330" t="s">
        <v>24</v>
      </c>
      <c r="X330" t="s">
        <v>222</v>
      </c>
      <c r="Y330" t="s">
        <v>10</v>
      </c>
      <c r="Z330" t="s">
        <v>11</v>
      </c>
      <c r="AA330">
        <v>62371</v>
      </c>
      <c r="AB330">
        <v>17173001</v>
      </c>
      <c r="AC330">
        <v>0</v>
      </c>
      <c r="AD330" s="8"/>
    </row>
    <row r="331" spans="1:30" x14ac:dyDescent="0.3">
      <c r="A331" t="s">
        <v>1627</v>
      </c>
      <c r="B331">
        <v>1403977</v>
      </c>
      <c r="D331" t="s">
        <v>7</v>
      </c>
      <c r="E331">
        <v>946150</v>
      </c>
      <c r="F331">
        <v>9015884123</v>
      </c>
      <c r="G331">
        <v>269</v>
      </c>
      <c r="H331" t="s">
        <v>226</v>
      </c>
      <c r="I331">
        <v>0</v>
      </c>
      <c r="J331" t="s">
        <v>227</v>
      </c>
      <c r="K331" t="s">
        <v>8</v>
      </c>
      <c r="L331" t="s">
        <v>18</v>
      </c>
      <c r="M331" t="s">
        <v>9</v>
      </c>
      <c r="N331" t="s">
        <v>14</v>
      </c>
      <c r="O331" s="2">
        <v>0.35</v>
      </c>
      <c r="P331" s="3">
        <v>0</v>
      </c>
      <c r="Q331" s="1">
        <v>46033</v>
      </c>
      <c r="R331" s="1">
        <v>45992</v>
      </c>
      <c r="S331" s="1">
        <v>46022</v>
      </c>
      <c r="V331" s="8">
        <v>1</v>
      </c>
      <c r="W331" t="s">
        <v>24</v>
      </c>
      <c r="X331" t="s">
        <v>228</v>
      </c>
      <c r="Y331" t="s">
        <v>17</v>
      </c>
      <c r="Z331" t="s">
        <v>11</v>
      </c>
      <c r="AA331">
        <v>62371</v>
      </c>
      <c r="AB331">
        <v>21139542</v>
      </c>
      <c r="AC331">
        <v>1</v>
      </c>
      <c r="AD331" s="8"/>
    </row>
    <row r="332" spans="1:30" x14ac:dyDescent="0.3">
      <c r="A332" t="s">
        <v>1627</v>
      </c>
      <c r="B332">
        <v>1403981</v>
      </c>
      <c r="D332" t="s">
        <v>7</v>
      </c>
      <c r="E332">
        <v>946221</v>
      </c>
      <c r="F332">
        <v>9015884123</v>
      </c>
      <c r="G332">
        <v>292</v>
      </c>
      <c r="H332" t="s">
        <v>811</v>
      </c>
      <c r="I332">
        <v>0</v>
      </c>
      <c r="J332" t="s">
        <v>812</v>
      </c>
      <c r="K332" t="s">
        <v>8</v>
      </c>
      <c r="L332" t="s">
        <v>15</v>
      </c>
      <c r="M332" t="s">
        <v>9</v>
      </c>
      <c r="N332" t="s">
        <v>14</v>
      </c>
      <c r="O332" s="2">
        <v>0</v>
      </c>
      <c r="P332" s="3">
        <v>0</v>
      </c>
      <c r="Q332" s="1">
        <v>46033</v>
      </c>
      <c r="R332" s="1">
        <v>45992</v>
      </c>
      <c r="S332" s="1">
        <v>46022</v>
      </c>
      <c r="V332" s="8">
        <v>1</v>
      </c>
      <c r="W332" t="s">
        <v>24</v>
      </c>
      <c r="X332" t="s">
        <v>813</v>
      </c>
      <c r="Y332" t="s">
        <v>17</v>
      </c>
      <c r="Z332" t="s">
        <v>11</v>
      </c>
      <c r="AA332">
        <v>62371</v>
      </c>
      <c r="AB332">
        <v>19461199</v>
      </c>
      <c r="AC332">
        <v>0</v>
      </c>
      <c r="AD332" s="8"/>
    </row>
    <row r="333" spans="1:30" x14ac:dyDescent="0.3">
      <c r="A333" t="s">
        <v>1627</v>
      </c>
      <c r="B333">
        <v>1407563</v>
      </c>
      <c r="D333" t="s">
        <v>7</v>
      </c>
      <c r="E333">
        <v>946309</v>
      </c>
      <c r="F333">
        <v>9015884123</v>
      </c>
      <c r="G333">
        <v>326</v>
      </c>
      <c r="H333" t="s">
        <v>250</v>
      </c>
      <c r="I333">
        <v>0</v>
      </c>
      <c r="J333" t="s">
        <v>251</v>
      </c>
      <c r="K333" t="s">
        <v>8</v>
      </c>
      <c r="L333" t="s">
        <v>67</v>
      </c>
      <c r="M333" t="s">
        <v>9</v>
      </c>
      <c r="N333" t="s">
        <v>14</v>
      </c>
      <c r="O333" s="2">
        <v>234553.85</v>
      </c>
      <c r="P333" s="3">
        <v>1646.7840000000001</v>
      </c>
      <c r="Q333" s="1">
        <v>46033</v>
      </c>
      <c r="R333" s="1">
        <v>45992</v>
      </c>
      <c r="S333" s="1">
        <v>46022</v>
      </c>
      <c r="V333" s="8">
        <v>1</v>
      </c>
      <c r="W333" t="s">
        <v>24</v>
      </c>
      <c r="X333" t="s">
        <v>252</v>
      </c>
      <c r="Y333" t="s">
        <v>17</v>
      </c>
      <c r="Z333" t="s">
        <v>11</v>
      </c>
      <c r="AA333">
        <v>62371</v>
      </c>
      <c r="AB333">
        <v>19447166</v>
      </c>
      <c r="AC333">
        <v>0</v>
      </c>
      <c r="AD333" s="8"/>
    </row>
    <row r="334" spans="1:30" x14ac:dyDescent="0.3">
      <c r="A334" t="s">
        <v>1627</v>
      </c>
      <c r="B334">
        <v>1408945</v>
      </c>
      <c r="D334" t="s">
        <v>7</v>
      </c>
      <c r="E334">
        <v>946350</v>
      </c>
      <c r="F334">
        <v>9015884123</v>
      </c>
      <c r="G334">
        <v>348</v>
      </c>
      <c r="H334" t="s">
        <v>814</v>
      </c>
      <c r="I334">
        <v>0</v>
      </c>
      <c r="J334" t="s">
        <v>815</v>
      </c>
      <c r="K334" t="s">
        <v>8</v>
      </c>
      <c r="L334" t="s">
        <v>15</v>
      </c>
      <c r="M334" t="s">
        <v>9</v>
      </c>
      <c r="N334" t="s">
        <v>14</v>
      </c>
      <c r="O334" s="2">
        <v>0</v>
      </c>
      <c r="P334" s="3">
        <v>781.48</v>
      </c>
      <c r="Q334" s="1">
        <v>46033</v>
      </c>
      <c r="R334" s="1">
        <v>45992</v>
      </c>
      <c r="S334" s="1">
        <v>46022</v>
      </c>
      <c r="V334" s="8">
        <v>1</v>
      </c>
      <c r="W334" t="s">
        <v>24</v>
      </c>
      <c r="X334" t="s">
        <v>816</v>
      </c>
      <c r="Y334" t="s">
        <v>21</v>
      </c>
      <c r="Z334" t="s">
        <v>11</v>
      </c>
      <c r="AA334">
        <v>62371</v>
      </c>
      <c r="AB334">
        <v>17678354</v>
      </c>
      <c r="AC334">
        <v>0</v>
      </c>
      <c r="AD334" s="8"/>
    </row>
    <row r="335" spans="1:30" x14ac:dyDescent="0.3">
      <c r="A335" t="s">
        <v>1627</v>
      </c>
      <c r="B335">
        <v>1408950</v>
      </c>
      <c r="D335" t="s">
        <v>7</v>
      </c>
      <c r="E335">
        <v>946365</v>
      </c>
      <c r="F335">
        <v>9015884123</v>
      </c>
      <c r="G335">
        <v>355</v>
      </c>
      <c r="H335" t="s">
        <v>241</v>
      </c>
      <c r="I335">
        <v>0</v>
      </c>
      <c r="J335" t="s">
        <v>242</v>
      </c>
      <c r="K335" t="s">
        <v>8</v>
      </c>
      <c r="L335" t="s">
        <v>19</v>
      </c>
      <c r="M335" t="s">
        <v>9</v>
      </c>
      <c r="N335" t="s">
        <v>14</v>
      </c>
      <c r="O335" s="2">
        <v>1978.49</v>
      </c>
      <c r="P335" s="3">
        <v>10.013</v>
      </c>
      <c r="Q335" s="1">
        <v>46033</v>
      </c>
      <c r="R335" s="1">
        <v>45992</v>
      </c>
      <c r="S335" s="1">
        <v>46022</v>
      </c>
      <c r="V335" s="8">
        <v>1</v>
      </c>
      <c r="W335" t="s">
        <v>24</v>
      </c>
      <c r="X335" t="s">
        <v>243</v>
      </c>
      <c r="Y335" t="s">
        <v>17</v>
      </c>
      <c r="Z335" t="s">
        <v>11</v>
      </c>
      <c r="AA335">
        <v>62371</v>
      </c>
      <c r="AB335">
        <v>18414344</v>
      </c>
      <c r="AC335">
        <v>0</v>
      </c>
      <c r="AD335" s="8"/>
    </row>
    <row r="336" spans="1:30" x14ac:dyDescent="0.3">
      <c r="A336" t="s">
        <v>1627</v>
      </c>
      <c r="B336">
        <v>1412841</v>
      </c>
      <c r="D336" t="s">
        <v>7</v>
      </c>
      <c r="E336">
        <v>946418</v>
      </c>
      <c r="F336">
        <v>9015884123</v>
      </c>
      <c r="G336">
        <v>379</v>
      </c>
      <c r="H336" t="s">
        <v>265</v>
      </c>
      <c r="I336">
        <v>0</v>
      </c>
      <c r="J336" t="s">
        <v>266</v>
      </c>
      <c r="K336" t="s">
        <v>8</v>
      </c>
      <c r="L336" t="s">
        <v>67</v>
      </c>
      <c r="M336" t="s">
        <v>9</v>
      </c>
      <c r="N336" t="s">
        <v>14</v>
      </c>
      <c r="O336" s="2">
        <v>338185.99</v>
      </c>
      <c r="P336" s="3">
        <v>3131.4749999999999</v>
      </c>
      <c r="Q336" s="1">
        <v>46033</v>
      </c>
      <c r="R336" s="1">
        <v>45992</v>
      </c>
      <c r="S336" s="1">
        <v>46022</v>
      </c>
      <c r="V336" s="8">
        <v>1</v>
      </c>
      <c r="W336" t="s">
        <v>24</v>
      </c>
      <c r="X336" t="s">
        <v>267</v>
      </c>
      <c r="Y336" t="s">
        <v>17</v>
      </c>
      <c r="Z336" t="s">
        <v>11</v>
      </c>
      <c r="AA336">
        <v>62371</v>
      </c>
      <c r="AB336">
        <v>19748260</v>
      </c>
      <c r="AC336">
        <v>1</v>
      </c>
      <c r="AD336" s="8"/>
    </row>
    <row r="337" spans="1:30" x14ac:dyDescent="0.3">
      <c r="A337" t="s">
        <v>1627</v>
      </c>
      <c r="B337">
        <v>1415117</v>
      </c>
      <c r="D337" t="s">
        <v>7</v>
      </c>
      <c r="E337">
        <v>946496</v>
      </c>
      <c r="F337">
        <v>9015884123</v>
      </c>
      <c r="G337">
        <v>403</v>
      </c>
      <c r="H337" t="s">
        <v>247</v>
      </c>
      <c r="I337">
        <v>0</v>
      </c>
      <c r="J337" t="s">
        <v>248</v>
      </c>
      <c r="K337" t="s">
        <v>8</v>
      </c>
      <c r="L337" t="s">
        <v>19</v>
      </c>
      <c r="M337" t="s">
        <v>9</v>
      </c>
      <c r="N337" t="s">
        <v>14</v>
      </c>
      <c r="O337" s="2">
        <v>12868.95</v>
      </c>
      <c r="P337" s="3">
        <v>65.129000000000005</v>
      </c>
      <c r="Q337" s="1">
        <v>46033</v>
      </c>
      <c r="R337" s="1">
        <v>45992</v>
      </c>
      <c r="S337" s="1">
        <v>46022</v>
      </c>
      <c r="V337" s="8">
        <v>1</v>
      </c>
      <c r="W337" t="s">
        <v>24</v>
      </c>
      <c r="X337" t="s">
        <v>249</v>
      </c>
      <c r="Y337" t="s">
        <v>20</v>
      </c>
      <c r="Z337" t="s">
        <v>11</v>
      </c>
      <c r="AA337">
        <v>62371</v>
      </c>
      <c r="AB337">
        <v>17929206</v>
      </c>
      <c r="AC337">
        <v>0</v>
      </c>
      <c r="AD337" s="8"/>
    </row>
    <row r="338" spans="1:30" x14ac:dyDescent="0.3">
      <c r="A338" t="s">
        <v>1627</v>
      </c>
      <c r="B338">
        <v>1415366</v>
      </c>
      <c r="D338" t="s">
        <v>7</v>
      </c>
      <c r="E338">
        <v>946550</v>
      </c>
      <c r="F338">
        <v>9015884123</v>
      </c>
      <c r="G338">
        <v>420</v>
      </c>
      <c r="H338" t="s">
        <v>817</v>
      </c>
      <c r="I338">
        <v>0</v>
      </c>
      <c r="J338" t="s">
        <v>818</v>
      </c>
      <c r="K338" t="s">
        <v>8</v>
      </c>
      <c r="L338" t="s">
        <v>19</v>
      </c>
      <c r="M338" t="s">
        <v>9</v>
      </c>
      <c r="N338" t="s">
        <v>14</v>
      </c>
      <c r="O338" s="2">
        <v>317623.15999999997</v>
      </c>
      <c r="P338" s="3">
        <v>2495.5059999999999</v>
      </c>
      <c r="Q338" s="1">
        <v>46033</v>
      </c>
      <c r="R338" s="1">
        <v>45992</v>
      </c>
      <c r="S338" s="1">
        <v>46022</v>
      </c>
      <c r="V338" s="8">
        <v>2</v>
      </c>
      <c r="W338" t="s">
        <v>24</v>
      </c>
      <c r="X338" t="s">
        <v>819</v>
      </c>
      <c r="Y338" t="s">
        <v>17</v>
      </c>
      <c r="Z338" t="s">
        <v>11</v>
      </c>
      <c r="AA338">
        <v>62371</v>
      </c>
      <c r="AB338">
        <v>18384714</v>
      </c>
      <c r="AC338">
        <v>1</v>
      </c>
      <c r="AD338" s="8"/>
    </row>
    <row r="339" spans="1:30" x14ac:dyDescent="0.3">
      <c r="A339" t="s">
        <v>1627</v>
      </c>
      <c r="B339">
        <v>1418388</v>
      </c>
      <c r="D339" t="s">
        <v>7</v>
      </c>
      <c r="E339">
        <v>946615</v>
      </c>
      <c r="F339">
        <v>9015884123</v>
      </c>
      <c r="G339">
        <v>440</v>
      </c>
      <c r="H339" t="s">
        <v>271</v>
      </c>
      <c r="I339">
        <v>0</v>
      </c>
      <c r="J339" t="s">
        <v>272</v>
      </c>
      <c r="K339" t="s">
        <v>8</v>
      </c>
      <c r="L339" t="s">
        <v>67</v>
      </c>
      <c r="M339" t="s">
        <v>9</v>
      </c>
      <c r="N339" t="s">
        <v>14</v>
      </c>
      <c r="O339" s="2">
        <v>303735.09000000003</v>
      </c>
      <c r="P339" s="3">
        <v>2132.5</v>
      </c>
      <c r="Q339" s="1">
        <v>46033</v>
      </c>
      <c r="R339" s="1">
        <v>45992</v>
      </c>
      <c r="S339" s="1">
        <v>46022</v>
      </c>
      <c r="V339" s="8">
        <v>1</v>
      </c>
      <c r="W339" t="s">
        <v>24</v>
      </c>
      <c r="X339" t="s">
        <v>273</v>
      </c>
      <c r="Y339" t="s">
        <v>17</v>
      </c>
      <c r="Z339" t="s">
        <v>11</v>
      </c>
      <c r="AA339">
        <v>62371</v>
      </c>
      <c r="AB339">
        <v>19558432</v>
      </c>
      <c r="AC339">
        <v>0</v>
      </c>
      <c r="AD339" s="8"/>
    </row>
    <row r="340" spans="1:30" x14ac:dyDescent="0.3">
      <c r="A340" t="s">
        <v>1627</v>
      </c>
      <c r="B340">
        <v>1408942</v>
      </c>
      <c r="D340" t="s">
        <v>7</v>
      </c>
      <c r="E340">
        <v>946345</v>
      </c>
      <c r="F340">
        <v>9015884123</v>
      </c>
      <c r="G340">
        <v>346</v>
      </c>
      <c r="H340" t="s">
        <v>820</v>
      </c>
      <c r="I340">
        <v>0</v>
      </c>
      <c r="J340" t="s">
        <v>821</v>
      </c>
      <c r="K340" t="s">
        <v>8</v>
      </c>
      <c r="L340" t="s">
        <v>67</v>
      </c>
      <c r="M340" t="s">
        <v>9</v>
      </c>
      <c r="N340" t="s">
        <v>14</v>
      </c>
      <c r="O340" s="2">
        <v>273923.98</v>
      </c>
      <c r="P340" s="3">
        <v>2536.433</v>
      </c>
      <c r="Q340" s="1">
        <v>46033</v>
      </c>
      <c r="R340" s="1">
        <v>45992</v>
      </c>
      <c r="S340" s="1">
        <v>46022</v>
      </c>
      <c r="V340" s="8">
        <v>1</v>
      </c>
      <c r="W340" t="s">
        <v>24</v>
      </c>
      <c r="X340" t="s">
        <v>822</v>
      </c>
      <c r="Y340" t="s">
        <v>17</v>
      </c>
      <c r="Z340" t="s">
        <v>11</v>
      </c>
      <c r="AA340">
        <v>62371</v>
      </c>
      <c r="AB340">
        <v>21374339</v>
      </c>
      <c r="AC340">
        <v>1</v>
      </c>
      <c r="AD340" s="8"/>
    </row>
    <row r="341" spans="1:30" x14ac:dyDescent="0.3">
      <c r="A341" t="s">
        <v>1627</v>
      </c>
      <c r="B341">
        <v>1408951</v>
      </c>
      <c r="D341" t="s">
        <v>7</v>
      </c>
      <c r="E341">
        <v>946367</v>
      </c>
      <c r="F341">
        <v>9015884123</v>
      </c>
      <c r="G341">
        <v>356</v>
      </c>
      <c r="H341" t="s">
        <v>262</v>
      </c>
      <c r="I341">
        <v>0</v>
      </c>
      <c r="J341" t="s">
        <v>263</v>
      </c>
      <c r="K341" t="s">
        <v>8</v>
      </c>
      <c r="L341" t="s">
        <v>15</v>
      </c>
      <c r="M341" t="s">
        <v>9</v>
      </c>
      <c r="N341" t="s">
        <v>14</v>
      </c>
      <c r="O341" s="2">
        <v>0</v>
      </c>
      <c r="P341" s="3">
        <v>1217.3399999999999</v>
      </c>
      <c r="Q341" s="1">
        <v>46033</v>
      </c>
      <c r="R341" s="1">
        <v>45992</v>
      </c>
      <c r="S341" s="1">
        <v>46022</v>
      </c>
      <c r="V341" s="8">
        <v>1</v>
      </c>
      <c r="W341" t="s">
        <v>24</v>
      </c>
      <c r="X341" t="s">
        <v>264</v>
      </c>
      <c r="Y341" t="s">
        <v>17</v>
      </c>
      <c r="Z341" t="s">
        <v>11</v>
      </c>
      <c r="AA341">
        <v>62371</v>
      </c>
      <c r="AB341">
        <v>17736438</v>
      </c>
      <c r="AC341">
        <v>0</v>
      </c>
      <c r="AD341" s="8"/>
    </row>
    <row r="342" spans="1:30" x14ac:dyDescent="0.3">
      <c r="A342" t="s">
        <v>1627</v>
      </c>
      <c r="B342">
        <v>1417714</v>
      </c>
      <c r="D342" t="s">
        <v>7</v>
      </c>
      <c r="E342">
        <v>946591</v>
      </c>
      <c r="F342">
        <v>9015884123</v>
      </c>
      <c r="G342">
        <v>432</v>
      </c>
      <c r="H342" t="s">
        <v>823</v>
      </c>
      <c r="I342">
        <v>0</v>
      </c>
      <c r="J342" t="s">
        <v>824</v>
      </c>
      <c r="K342" t="s">
        <v>8</v>
      </c>
      <c r="L342" t="s">
        <v>15</v>
      </c>
      <c r="M342" t="s">
        <v>9</v>
      </c>
      <c r="N342" t="s">
        <v>14</v>
      </c>
      <c r="O342" s="2">
        <v>0</v>
      </c>
      <c r="P342" s="3">
        <v>2839.0659999999998</v>
      </c>
      <c r="Q342" s="1">
        <v>46033</v>
      </c>
      <c r="R342" s="1">
        <v>45992</v>
      </c>
      <c r="S342" s="1">
        <v>46022</v>
      </c>
      <c r="V342" s="8">
        <v>1</v>
      </c>
      <c r="W342" t="s">
        <v>24</v>
      </c>
      <c r="X342" t="s">
        <v>825</v>
      </c>
      <c r="Y342" t="s">
        <v>17</v>
      </c>
      <c r="Z342" t="s">
        <v>11</v>
      </c>
      <c r="AA342">
        <v>62371</v>
      </c>
      <c r="AB342">
        <v>17752477</v>
      </c>
      <c r="AC342">
        <v>0</v>
      </c>
      <c r="AD342" s="8"/>
    </row>
    <row r="343" spans="1:30" x14ac:dyDescent="0.3">
      <c r="A343" t="s">
        <v>1627</v>
      </c>
      <c r="B343">
        <v>1444625</v>
      </c>
      <c r="D343" t="s">
        <v>7</v>
      </c>
      <c r="E343">
        <v>946871</v>
      </c>
      <c r="F343">
        <v>9015884123</v>
      </c>
      <c r="G343">
        <v>523</v>
      </c>
      <c r="H343" t="s">
        <v>826</v>
      </c>
      <c r="I343">
        <v>0</v>
      </c>
      <c r="J343" t="s">
        <v>827</v>
      </c>
      <c r="K343" t="s">
        <v>8</v>
      </c>
      <c r="L343" t="s">
        <v>15</v>
      </c>
      <c r="M343" t="s">
        <v>9</v>
      </c>
      <c r="N343" t="s">
        <v>14</v>
      </c>
      <c r="O343" s="2">
        <v>0</v>
      </c>
      <c r="P343" s="3">
        <v>3060.2719999999999</v>
      </c>
      <c r="Q343" s="1">
        <v>46033</v>
      </c>
      <c r="R343" s="1">
        <v>45992</v>
      </c>
      <c r="S343" s="1">
        <v>46022</v>
      </c>
      <c r="V343" s="8">
        <v>1</v>
      </c>
      <c r="W343" t="s">
        <v>24</v>
      </c>
      <c r="X343" t="s">
        <v>828</v>
      </c>
      <c r="Y343" t="s">
        <v>17</v>
      </c>
      <c r="Z343" t="s">
        <v>11</v>
      </c>
      <c r="AA343">
        <v>62371</v>
      </c>
      <c r="AB343">
        <v>19847786</v>
      </c>
      <c r="AC343">
        <v>1</v>
      </c>
      <c r="AD343" s="8"/>
    </row>
    <row r="344" spans="1:30" x14ac:dyDescent="0.3">
      <c r="A344" t="s">
        <v>1627</v>
      </c>
      <c r="B344">
        <v>1444625</v>
      </c>
      <c r="D344" t="s">
        <v>7</v>
      </c>
      <c r="E344">
        <v>946871</v>
      </c>
      <c r="F344">
        <v>9015884123</v>
      </c>
      <c r="G344">
        <v>523</v>
      </c>
      <c r="H344" t="s">
        <v>826</v>
      </c>
      <c r="I344">
        <v>0</v>
      </c>
      <c r="J344" t="s">
        <v>827</v>
      </c>
      <c r="K344" t="s">
        <v>8</v>
      </c>
      <c r="L344" t="s">
        <v>67</v>
      </c>
      <c r="M344" t="s">
        <v>9</v>
      </c>
      <c r="N344" t="s">
        <v>14</v>
      </c>
      <c r="O344" s="2">
        <v>330496.37</v>
      </c>
      <c r="P344" s="3">
        <v>3060.2719999999999</v>
      </c>
      <c r="Q344" s="1">
        <v>46033</v>
      </c>
      <c r="R344" s="1">
        <v>45992</v>
      </c>
      <c r="S344" s="1">
        <v>46022</v>
      </c>
      <c r="V344" s="8">
        <v>1</v>
      </c>
      <c r="W344" t="s">
        <v>24</v>
      </c>
      <c r="X344" t="s">
        <v>828</v>
      </c>
      <c r="Y344" t="s">
        <v>17</v>
      </c>
      <c r="Z344" t="s">
        <v>11</v>
      </c>
      <c r="AA344">
        <v>62371</v>
      </c>
      <c r="AB344">
        <v>19847786</v>
      </c>
      <c r="AC344">
        <v>1</v>
      </c>
      <c r="AD344" s="8"/>
    </row>
    <row r="345" spans="1:30" x14ac:dyDescent="0.3">
      <c r="A345" t="s">
        <v>1627</v>
      </c>
      <c r="B345">
        <v>1413687</v>
      </c>
      <c r="D345" t="s">
        <v>7</v>
      </c>
      <c r="E345">
        <v>946424</v>
      </c>
      <c r="F345">
        <v>9015884123</v>
      </c>
      <c r="G345">
        <v>381</v>
      </c>
      <c r="H345" t="s">
        <v>829</v>
      </c>
      <c r="I345">
        <v>0</v>
      </c>
      <c r="J345" t="s">
        <v>830</v>
      </c>
      <c r="K345" t="s">
        <v>8</v>
      </c>
      <c r="L345" t="s">
        <v>19</v>
      </c>
      <c r="M345" t="s">
        <v>9</v>
      </c>
      <c r="N345" t="s">
        <v>14</v>
      </c>
      <c r="O345" s="2">
        <v>7624.28</v>
      </c>
      <c r="P345" s="3">
        <v>38.585999999999999</v>
      </c>
      <c r="Q345" s="1">
        <v>46033</v>
      </c>
      <c r="R345" s="1">
        <v>45992</v>
      </c>
      <c r="S345" s="1">
        <v>46022</v>
      </c>
      <c r="V345" s="8">
        <v>1</v>
      </c>
      <c r="W345" t="s">
        <v>24</v>
      </c>
      <c r="X345" t="s">
        <v>831</v>
      </c>
      <c r="Y345" t="s">
        <v>832</v>
      </c>
      <c r="Z345" t="s">
        <v>11</v>
      </c>
      <c r="AA345">
        <v>62371</v>
      </c>
      <c r="AB345">
        <v>21453429</v>
      </c>
      <c r="AC345">
        <v>0</v>
      </c>
      <c r="AD345" s="8"/>
    </row>
    <row r="346" spans="1:30" x14ac:dyDescent="0.3">
      <c r="A346" t="s">
        <v>1627</v>
      </c>
      <c r="B346">
        <v>1363498</v>
      </c>
      <c r="D346" t="s">
        <v>7</v>
      </c>
      <c r="E346">
        <v>945908</v>
      </c>
      <c r="F346">
        <v>9015884123</v>
      </c>
      <c r="G346">
        <v>157</v>
      </c>
      <c r="H346" t="s">
        <v>833</v>
      </c>
      <c r="I346">
        <v>0</v>
      </c>
      <c r="J346" t="s">
        <v>834</v>
      </c>
      <c r="K346" t="s">
        <v>8</v>
      </c>
      <c r="L346" t="s">
        <v>18</v>
      </c>
      <c r="M346" t="s">
        <v>9</v>
      </c>
      <c r="N346" t="s">
        <v>14</v>
      </c>
      <c r="O346" s="2">
        <v>-1.45</v>
      </c>
      <c r="P346" s="3">
        <v>0</v>
      </c>
      <c r="Q346" s="1">
        <v>46033</v>
      </c>
      <c r="R346" s="1">
        <v>45992</v>
      </c>
      <c r="S346" s="1">
        <v>46022</v>
      </c>
      <c r="V346" s="8">
        <v>1</v>
      </c>
      <c r="W346" t="s">
        <v>24</v>
      </c>
      <c r="X346" t="s">
        <v>835</v>
      </c>
      <c r="Y346" t="s">
        <v>10</v>
      </c>
      <c r="Z346" t="s">
        <v>11</v>
      </c>
      <c r="AA346">
        <v>62371</v>
      </c>
      <c r="AB346">
        <v>21247627</v>
      </c>
      <c r="AC346">
        <v>1</v>
      </c>
      <c r="AD346" s="8"/>
    </row>
    <row r="347" spans="1:30" x14ac:dyDescent="0.3">
      <c r="A347" t="s">
        <v>1627</v>
      </c>
      <c r="B347">
        <v>1340403</v>
      </c>
      <c r="D347" t="s">
        <v>7</v>
      </c>
      <c r="E347">
        <v>945238</v>
      </c>
      <c r="F347">
        <v>9015884123</v>
      </c>
      <c r="G347">
        <v>63</v>
      </c>
      <c r="H347" t="s">
        <v>836</v>
      </c>
      <c r="I347">
        <v>0</v>
      </c>
      <c r="J347" t="s">
        <v>837</v>
      </c>
      <c r="K347" t="s">
        <v>8</v>
      </c>
      <c r="L347" t="s">
        <v>18</v>
      </c>
      <c r="M347" t="s">
        <v>9</v>
      </c>
      <c r="N347" t="s">
        <v>14</v>
      </c>
      <c r="O347" s="2">
        <v>0.83</v>
      </c>
      <c r="P347" s="3">
        <v>0</v>
      </c>
      <c r="Q347" s="1">
        <v>46033</v>
      </c>
      <c r="R347" s="1">
        <v>45992</v>
      </c>
      <c r="S347" s="1">
        <v>46022</v>
      </c>
      <c r="V347" s="8">
        <v>1</v>
      </c>
      <c r="W347" t="s">
        <v>24</v>
      </c>
      <c r="X347" t="s">
        <v>838</v>
      </c>
      <c r="Y347" t="s">
        <v>17</v>
      </c>
      <c r="Z347" t="s">
        <v>11</v>
      </c>
      <c r="AA347">
        <v>62371</v>
      </c>
      <c r="AB347">
        <v>18958210</v>
      </c>
      <c r="AC347">
        <v>0</v>
      </c>
      <c r="AD347" s="8"/>
    </row>
    <row r="348" spans="1:30" x14ac:dyDescent="0.3">
      <c r="A348" t="s">
        <v>1627</v>
      </c>
      <c r="B348">
        <v>1363541</v>
      </c>
      <c r="D348" t="s">
        <v>7</v>
      </c>
      <c r="E348">
        <v>945921</v>
      </c>
      <c r="F348">
        <v>9015884123</v>
      </c>
      <c r="G348">
        <v>172</v>
      </c>
      <c r="H348" t="s">
        <v>839</v>
      </c>
      <c r="I348">
        <v>0</v>
      </c>
      <c r="J348" t="s">
        <v>840</v>
      </c>
      <c r="K348" t="s">
        <v>8</v>
      </c>
      <c r="L348" t="s">
        <v>18</v>
      </c>
      <c r="M348" t="s">
        <v>9</v>
      </c>
      <c r="N348" t="s">
        <v>14</v>
      </c>
      <c r="O348" s="2">
        <v>0.06</v>
      </c>
      <c r="P348" s="3">
        <v>0</v>
      </c>
      <c r="Q348" s="1">
        <v>46033</v>
      </c>
      <c r="R348" s="1">
        <v>45992</v>
      </c>
      <c r="S348" s="1">
        <v>46022</v>
      </c>
      <c r="V348" s="8">
        <v>1</v>
      </c>
      <c r="W348" t="s">
        <v>24</v>
      </c>
      <c r="X348" t="s">
        <v>841</v>
      </c>
      <c r="Y348" t="s">
        <v>10</v>
      </c>
      <c r="Z348" t="s">
        <v>11</v>
      </c>
      <c r="AA348">
        <v>62371</v>
      </c>
      <c r="AB348">
        <v>21107604</v>
      </c>
      <c r="AC348">
        <v>1</v>
      </c>
      <c r="AD348" s="8"/>
    </row>
    <row r="349" spans="1:30" x14ac:dyDescent="0.3">
      <c r="A349" t="s">
        <v>1627</v>
      </c>
      <c r="B349">
        <v>1363562</v>
      </c>
      <c r="D349" t="s">
        <v>7</v>
      </c>
      <c r="E349">
        <v>945925</v>
      </c>
      <c r="F349">
        <v>9015884123</v>
      </c>
      <c r="G349">
        <v>176</v>
      </c>
      <c r="H349" t="s">
        <v>842</v>
      </c>
      <c r="I349">
        <v>0</v>
      </c>
      <c r="J349" t="s">
        <v>843</v>
      </c>
      <c r="K349" t="s">
        <v>8</v>
      </c>
      <c r="L349" t="s">
        <v>15</v>
      </c>
      <c r="M349" t="s">
        <v>9</v>
      </c>
      <c r="N349" t="s">
        <v>14</v>
      </c>
      <c r="O349" s="2">
        <v>0</v>
      </c>
      <c r="P349" s="3">
        <v>5985.625</v>
      </c>
      <c r="Q349" s="1">
        <v>46033</v>
      </c>
      <c r="R349" s="1">
        <v>45992</v>
      </c>
      <c r="S349" s="1">
        <v>46022</v>
      </c>
      <c r="V349" s="8">
        <v>1</v>
      </c>
      <c r="W349" t="s">
        <v>24</v>
      </c>
      <c r="X349" t="s">
        <v>844</v>
      </c>
      <c r="Y349" t="s">
        <v>10</v>
      </c>
      <c r="Z349" t="s">
        <v>11</v>
      </c>
      <c r="AA349">
        <v>62371</v>
      </c>
      <c r="AB349">
        <v>17682334</v>
      </c>
      <c r="AC349">
        <v>0</v>
      </c>
      <c r="AD349" s="8"/>
    </row>
    <row r="350" spans="1:30" x14ac:dyDescent="0.3">
      <c r="A350" t="s">
        <v>1627</v>
      </c>
      <c r="B350">
        <v>1363557</v>
      </c>
      <c r="D350" t="s">
        <v>7</v>
      </c>
      <c r="E350">
        <v>945926</v>
      </c>
      <c r="F350">
        <v>9015884123</v>
      </c>
      <c r="G350">
        <v>177</v>
      </c>
      <c r="H350" t="s">
        <v>845</v>
      </c>
      <c r="I350">
        <v>0</v>
      </c>
      <c r="J350" t="s">
        <v>846</v>
      </c>
      <c r="K350" t="s">
        <v>8</v>
      </c>
      <c r="L350" t="s">
        <v>67</v>
      </c>
      <c r="M350" t="s">
        <v>9</v>
      </c>
      <c r="N350" t="s">
        <v>14</v>
      </c>
      <c r="O350" s="2">
        <v>494630.85</v>
      </c>
      <c r="P350" s="3">
        <v>3472.7640000000001</v>
      </c>
      <c r="Q350" s="1">
        <v>46033</v>
      </c>
      <c r="R350" s="1">
        <v>45992</v>
      </c>
      <c r="S350" s="1">
        <v>46022</v>
      </c>
      <c r="V350" s="8">
        <v>1</v>
      </c>
      <c r="W350" t="s">
        <v>24</v>
      </c>
      <c r="X350" t="s">
        <v>847</v>
      </c>
      <c r="Y350" t="s">
        <v>10</v>
      </c>
      <c r="Z350" t="s">
        <v>11</v>
      </c>
      <c r="AA350">
        <v>62371</v>
      </c>
      <c r="AB350">
        <v>17682333</v>
      </c>
      <c r="AC350">
        <v>0</v>
      </c>
      <c r="AD350" s="8"/>
    </row>
    <row r="351" spans="1:30" x14ac:dyDescent="0.3">
      <c r="A351" t="s">
        <v>1627</v>
      </c>
      <c r="B351">
        <v>1420087</v>
      </c>
      <c r="D351" t="s">
        <v>7</v>
      </c>
      <c r="E351">
        <v>946677</v>
      </c>
      <c r="F351">
        <v>9015884123</v>
      </c>
      <c r="G351">
        <v>461</v>
      </c>
      <c r="H351" t="s">
        <v>290</v>
      </c>
      <c r="I351">
        <v>0</v>
      </c>
      <c r="J351" t="s">
        <v>291</v>
      </c>
      <c r="K351" t="s">
        <v>8</v>
      </c>
      <c r="L351" t="s">
        <v>19</v>
      </c>
      <c r="M351" t="s">
        <v>9</v>
      </c>
      <c r="N351" t="s">
        <v>14</v>
      </c>
      <c r="O351" s="2">
        <v>3355.9</v>
      </c>
      <c r="P351" s="3">
        <v>16.984000000000002</v>
      </c>
      <c r="Q351" s="1">
        <v>46033</v>
      </c>
      <c r="R351" s="1">
        <v>45992</v>
      </c>
      <c r="S351" s="1">
        <v>46022</v>
      </c>
      <c r="V351" s="8">
        <v>1</v>
      </c>
      <c r="W351" t="s">
        <v>24</v>
      </c>
      <c r="X351" t="s">
        <v>292</v>
      </c>
      <c r="Y351" t="s">
        <v>289</v>
      </c>
      <c r="Z351" t="s">
        <v>11</v>
      </c>
      <c r="AA351">
        <v>62371</v>
      </c>
      <c r="AB351">
        <v>18195166</v>
      </c>
      <c r="AC351">
        <v>0</v>
      </c>
      <c r="AD351" s="8"/>
    </row>
    <row r="352" spans="1:30" x14ac:dyDescent="0.3">
      <c r="A352" t="s">
        <v>1627</v>
      </c>
      <c r="B352">
        <v>1406119</v>
      </c>
      <c r="D352" t="s">
        <v>7</v>
      </c>
      <c r="E352">
        <v>946285</v>
      </c>
      <c r="F352">
        <v>9015884123</v>
      </c>
      <c r="G352">
        <v>315</v>
      </c>
      <c r="H352" t="s">
        <v>848</v>
      </c>
      <c r="I352">
        <v>0</v>
      </c>
      <c r="J352" t="s">
        <v>849</v>
      </c>
      <c r="K352" t="s">
        <v>8</v>
      </c>
      <c r="L352" t="s">
        <v>15</v>
      </c>
      <c r="M352" t="s">
        <v>9</v>
      </c>
      <c r="N352" t="s">
        <v>14</v>
      </c>
      <c r="O352" s="2">
        <v>0</v>
      </c>
      <c r="P352" s="3">
        <v>2951.0160000000001</v>
      </c>
      <c r="Q352" s="1">
        <v>46033</v>
      </c>
      <c r="R352" s="1">
        <v>45992</v>
      </c>
      <c r="S352" s="1">
        <v>46022</v>
      </c>
      <c r="V352" s="8">
        <v>1</v>
      </c>
      <c r="W352" t="s">
        <v>24</v>
      </c>
      <c r="X352" t="s">
        <v>850</v>
      </c>
      <c r="Y352" t="s">
        <v>289</v>
      </c>
      <c r="Z352" t="s">
        <v>11</v>
      </c>
      <c r="AA352">
        <v>62371</v>
      </c>
      <c r="AB352">
        <v>18405658</v>
      </c>
      <c r="AC352">
        <v>1</v>
      </c>
      <c r="AD352" s="8"/>
    </row>
    <row r="353" spans="1:30" x14ac:dyDescent="0.3">
      <c r="A353" t="s">
        <v>1627</v>
      </c>
      <c r="B353">
        <v>1415120</v>
      </c>
      <c r="D353" t="s">
        <v>7</v>
      </c>
      <c r="E353">
        <v>946499</v>
      </c>
      <c r="F353">
        <v>9015884123</v>
      </c>
      <c r="G353">
        <v>404</v>
      </c>
      <c r="H353" t="s">
        <v>311</v>
      </c>
      <c r="I353">
        <v>0</v>
      </c>
      <c r="J353" t="s">
        <v>312</v>
      </c>
      <c r="K353" t="s">
        <v>8</v>
      </c>
      <c r="L353" t="s">
        <v>15</v>
      </c>
      <c r="M353" t="s">
        <v>9</v>
      </c>
      <c r="N353" t="s">
        <v>14</v>
      </c>
      <c r="O353" s="2">
        <v>0</v>
      </c>
      <c r="P353" s="3">
        <v>2715.489</v>
      </c>
      <c r="Q353" s="1">
        <v>46033</v>
      </c>
      <c r="R353" s="1">
        <v>45992</v>
      </c>
      <c r="S353" s="1">
        <v>46022</v>
      </c>
      <c r="V353" s="8">
        <v>1</v>
      </c>
      <c r="W353" t="s">
        <v>24</v>
      </c>
      <c r="X353" t="s">
        <v>313</v>
      </c>
      <c r="Y353" t="s">
        <v>39</v>
      </c>
      <c r="Z353" t="s">
        <v>11</v>
      </c>
      <c r="AA353">
        <v>62371</v>
      </c>
      <c r="AB353">
        <v>17910517</v>
      </c>
      <c r="AC353">
        <v>0</v>
      </c>
      <c r="AD353" s="8"/>
    </row>
    <row r="354" spans="1:30" x14ac:dyDescent="0.3">
      <c r="A354" t="s">
        <v>1627</v>
      </c>
      <c r="B354">
        <v>1418863</v>
      </c>
      <c r="D354" t="s">
        <v>7</v>
      </c>
      <c r="E354">
        <v>946641</v>
      </c>
      <c r="F354">
        <v>9015884123</v>
      </c>
      <c r="G354">
        <v>449</v>
      </c>
      <c r="H354" t="s">
        <v>851</v>
      </c>
      <c r="I354">
        <v>0</v>
      </c>
      <c r="J354" t="s">
        <v>852</v>
      </c>
      <c r="K354" t="s">
        <v>8</v>
      </c>
      <c r="L354" t="s">
        <v>18</v>
      </c>
      <c r="M354" t="s">
        <v>9</v>
      </c>
      <c r="N354" t="s">
        <v>14</v>
      </c>
      <c r="O354" s="2">
        <v>4.57</v>
      </c>
      <c r="P354" s="3">
        <v>0</v>
      </c>
      <c r="Q354" s="1">
        <v>46033</v>
      </c>
      <c r="R354" s="1">
        <v>45992</v>
      </c>
      <c r="S354" s="1">
        <v>46022</v>
      </c>
      <c r="V354" s="8">
        <v>1</v>
      </c>
      <c r="W354" t="s">
        <v>24</v>
      </c>
      <c r="X354" t="s">
        <v>853</v>
      </c>
      <c r="Y354" t="s">
        <v>854</v>
      </c>
      <c r="Z354" t="s">
        <v>11</v>
      </c>
      <c r="AA354">
        <v>62371</v>
      </c>
      <c r="AB354">
        <v>17627041</v>
      </c>
      <c r="AC354">
        <v>0</v>
      </c>
      <c r="AD354" s="8"/>
    </row>
    <row r="355" spans="1:30" x14ac:dyDescent="0.3">
      <c r="A355" t="s">
        <v>1627</v>
      </c>
      <c r="B355">
        <v>1376593</v>
      </c>
      <c r="D355" t="s">
        <v>7</v>
      </c>
      <c r="E355">
        <v>945938</v>
      </c>
      <c r="F355">
        <v>9015884123</v>
      </c>
      <c r="G355">
        <v>187</v>
      </c>
      <c r="H355" t="s">
        <v>855</v>
      </c>
      <c r="I355">
        <v>0</v>
      </c>
      <c r="J355" t="s">
        <v>856</v>
      </c>
      <c r="K355" t="s">
        <v>8</v>
      </c>
      <c r="L355" t="s">
        <v>15</v>
      </c>
      <c r="M355" t="s">
        <v>9</v>
      </c>
      <c r="N355" t="s">
        <v>14</v>
      </c>
      <c r="O355" s="2">
        <v>0</v>
      </c>
      <c r="P355" s="3">
        <v>37401.47</v>
      </c>
      <c r="Q355" s="1">
        <v>46033</v>
      </c>
      <c r="R355" s="1">
        <v>45992</v>
      </c>
      <c r="S355" s="1">
        <v>46022</v>
      </c>
      <c r="V355" s="8">
        <v>2</v>
      </c>
      <c r="W355" t="s">
        <v>24</v>
      </c>
      <c r="X355" t="s">
        <v>857</v>
      </c>
      <c r="Y355" t="s">
        <v>10</v>
      </c>
      <c r="Z355" t="s">
        <v>11</v>
      </c>
      <c r="AA355">
        <v>62371</v>
      </c>
      <c r="AB355">
        <v>19812239</v>
      </c>
      <c r="AC355">
        <v>1</v>
      </c>
      <c r="AD355" s="8"/>
    </row>
    <row r="356" spans="1:30" x14ac:dyDescent="0.3">
      <c r="A356" t="s">
        <v>1627</v>
      </c>
      <c r="B356">
        <v>1411985</v>
      </c>
      <c r="D356" t="s">
        <v>7</v>
      </c>
      <c r="E356">
        <v>946370</v>
      </c>
      <c r="F356">
        <v>9015884123</v>
      </c>
      <c r="G356">
        <v>358</v>
      </c>
      <c r="H356" t="s">
        <v>858</v>
      </c>
      <c r="I356">
        <v>0</v>
      </c>
      <c r="J356" t="s">
        <v>859</v>
      </c>
      <c r="K356" t="s">
        <v>8</v>
      </c>
      <c r="L356" t="s">
        <v>67</v>
      </c>
      <c r="M356" t="s">
        <v>9</v>
      </c>
      <c r="N356" t="s">
        <v>14</v>
      </c>
      <c r="O356" s="2">
        <v>159186.81</v>
      </c>
      <c r="P356" s="3">
        <v>1117.6379999999999</v>
      </c>
      <c r="Q356" s="1">
        <v>46033</v>
      </c>
      <c r="R356" s="1">
        <v>45992</v>
      </c>
      <c r="S356" s="1">
        <v>46022</v>
      </c>
      <c r="V356" s="8">
        <v>1</v>
      </c>
      <c r="W356" t="s">
        <v>24</v>
      </c>
      <c r="X356" t="s">
        <v>860</v>
      </c>
      <c r="Y356" t="s">
        <v>861</v>
      </c>
      <c r="Z356" t="s">
        <v>11</v>
      </c>
      <c r="AA356">
        <v>62371</v>
      </c>
      <c r="AB356">
        <v>21427989</v>
      </c>
      <c r="AC356">
        <v>0</v>
      </c>
      <c r="AD356" s="8"/>
    </row>
    <row r="357" spans="1:30" x14ac:dyDescent="0.3">
      <c r="A357" t="s">
        <v>1627</v>
      </c>
      <c r="B357">
        <v>1408500</v>
      </c>
      <c r="D357" t="s">
        <v>7</v>
      </c>
      <c r="E357">
        <v>946332</v>
      </c>
      <c r="F357">
        <v>9015884123</v>
      </c>
      <c r="G357">
        <v>339</v>
      </c>
      <c r="H357" t="s">
        <v>862</v>
      </c>
      <c r="I357">
        <v>0</v>
      </c>
      <c r="J357" t="s">
        <v>863</v>
      </c>
      <c r="K357" t="s">
        <v>8</v>
      </c>
      <c r="L357" t="s">
        <v>18</v>
      </c>
      <c r="M357" t="s">
        <v>9</v>
      </c>
      <c r="N357" t="s">
        <v>14</v>
      </c>
      <c r="O357" s="2">
        <v>3.15</v>
      </c>
      <c r="P357" s="3">
        <v>0</v>
      </c>
      <c r="Q357" s="1">
        <v>46033</v>
      </c>
      <c r="R357" s="1">
        <v>45992</v>
      </c>
      <c r="S357" s="1">
        <v>46022</v>
      </c>
      <c r="V357" s="8">
        <v>1</v>
      </c>
      <c r="W357" t="s">
        <v>24</v>
      </c>
      <c r="X357" t="s">
        <v>864</v>
      </c>
      <c r="Y357" t="s">
        <v>41</v>
      </c>
      <c r="Z357" t="s">
        <v>11</v>
      </c>
      <c r="AA357">
        <v>62371</v>
      </c>
      <c r="AB357">
        <v>17708078</v>
      </c>
      <c r="AC357">
        <v>0</v>
      </c>
      <c r="AD357" s="8"/>
    </row>
    <row r="358" spans="1:30" x14ac:dyDescent="0.3">
      <c r="A358" t="s">
        <v>1627</v>
      </c>
      <c r="B358">
        <v>1418637</v>
      </c>
      <c r="D358" t="s">
        <v>7</v>
      </c>
      <c r="E358">
        <v>946648</v>
      </c>
      <c r="F358">
        <v>9015884123</v>
      </c>
      <c r="G358">
        <v>451</v>
      </c>
      <c r="H358" t="s">
        <v>301</v>
      </c>
      <c r="I358">
        <v>0</v>
      </c>
      <c r="J358" t="s">
        <v>302</v>
      </c>
      <c r="K358" t="s">
        <v>8</v>
      </c>
      <c r="L358" t="s">
        <v>67</v>
      </c>
      <c r="M358" t="s">
        <v>9</v>
      </c>
      <c r="N358" t="s">
        <v>14</v>
      </c>
      <c r="O358" s="2">
        <v>182139.36</v>
      </c>
      <c r="P358" s="3">
        <v>1278.7860000000001</v>
      </c>
      <c r="Q358" s="1">
        <v>46033</v>
      </c>
      <c r="R358" s="1">
        <v>45992</v>
      </c>
      <c r="S358" s="1">
        <v>46022</v>
      </c>
      <c r="V358" s="8">
        <v>1</v>
      </c>
      <c r="W358" t="s">
        <v>24</v>
      </c>
      <c r="X358" t="s">
        <v>303</v>
      </c>
      <c r="Y358" t="s">
        <v>300</v>
      </c>
      <c r="Z358" t="s">
        <v>11</v>
      </c>
      <c r="AA358">
        <v>62371</v>
      </c>
      <c r="AB358">
        <v>17955985</v>
      </c>
      <c r="AC358">
        <v>0</v>
      </c>
      <c r="AD358" s="8"/>
    </row>
    <row r="359" spans="1:30" x14ac:dyDescent="0.3">
      <c r="A359" t="s">
        <v>1627</v>
      </c>
      <c r="B359">
        <v>1450127</v>
      </c>
      <c r="D359" t="s">
        <v>7</v>
      </c>
      <c r="E359">
        <v>949232</v>
      </c>
      <c r="F359">
        <v>9015884123</v>
      </c>
      <c r="G359">
        <v>538</v>
      </c>
      <c r="H359" t="s">
        <v>865</v>
      </c>
      <c r="I359">
        <v>0</v>
      </c>
      <c r="J359" t="s">
        <v>866</v>
      </c>
      <c r="K359" t="s">
        <v>8</v>
      </c>
      <c r="L359" t="s">
        <v>67</v>
      </c>
      <c r="M359" t="s">
        <v>9</v>
      </c>
      <c r="N359" t="s">
        <v>14</v>
      </c>
      <c r="O359" s="2">
        <v>66273.73</v>
      </c>
      <c r="P359" s="3">
        <v>806.60199999999998</v>
      </c>
      <c r="Q359" s="1">
        <v>46035</v>
      </c>
      <c r="R359" s="1">
        <v>46020</v>
      </c>
      <c r="S359" s="1">
        <v>46022</v>
      </c>
      <c r="V359" s="8">
        <v>2</v>
      </c>
      <c r="W359" t="s">
        <v>24</v>
      </c>
      <c r="X359" t="s">
        <v>867</v>
      </c>
      <c r="Y359" t="s">
        <v>37</v>
      </c>
      <c r="Z359" t="s">
        <v>11</v>
      </c>
      <c r="AA359">
        <v>62371</v>
      </c>
      <c r="AB359">
        <v>21142284</v>
      </c>
      <c r="AC359">
        <v>0</v>
      </c>
      <c r="AD359" s="8"/>
    </row>
    <row r="360" spans="1:30" x14ac:dyDescent="0.3">
      <c r="A360" t="s">
        <v>1627</v>
      </c>
      <c r="B360">
        <v>1320924</v>
      </c>
      <c r="D360" t="s">
        <v>7</v>
      </c>
      <c r="E360">
        <v>945188</v>
      </c>
      <c r="F360">
        <v>9015884123</v>
      </c>
      <c r="G360">
        <v>46</v>
      </c>
      <c r="H360" t="s">
        <v>868</v>
      </c>
      <c r="I360">
        <v>0</v>
      </c>
      <c r="J360" t="s">
        <v>869</v>
      </c>
      <c r="K360" t="s">
        <v>8</v>
      </c>
      <c r="L360" t="s">
        <v>19</v>
      </c>
      <c r="M360" t="s">
        <v>9</v>
      </c>
      <c r="N360" t="s">
        <v>14</v>
      </c>
      <c r="O360" s="2">
        <v>4409.8500000000004</v>
      </c>
      <c r="P360" s="3">
        <v>22.318000000000001</v>
      </c>
      <c r="Q360" s="1">
        <v>46033</v>
      </c>
      <c r="R360" s="1">
        <v>45992</v>
      </c>
      <c r="S360" s="1">
        <v>46022</v>
      </c>
      <c r="V360" s="8">
        <v>1</v>
      </c>
      <c r="W360" t="s">
        <v>24</v>
      </c>
      <c r="X360" t="s">
        <v>870</v>
      </c>
      <c r="Y360" t="s">
        <v>39</v>
      </c>
      <c r="Z360" t="s">
        <v>11</v>
      </c>
      <c r="AA360">
        <v>62371</v>
      </c>
      <c r="AB360">
        <v>17913520</v>
      </c>
      <c r="AC360">
        <v>0</v>
      </c>
      <c r="AD360" s="8"/>
    </row>
    <row r="361" spans="1:30" x14ac:dyDescent="0.3">
      <c r="A361" t="s">
        <v>1627</v>
      </c>
      <c r="B361">
        <v>1377666</v>
      </c>
      <c r="D361" t="s">
        <v>7</v>
      </c>
      <c r="E361">
        <v>945950</v>
      </c>
      <c r="F361">
        <v>9015884123</v>
      </c>
      <c r="G361">
        <v>193</v>
      </c>
      <c r="H361" t="s">
        <v>871</v>
      </c>
      <c r="I361">
        <v>0</v>
      </c>
      <c r="J361" t="s">
        <v>872</v>
      </c>
      <c r="K361" t="s">
        <v>8</v>
      </c>
      <c r="L361" t="s">
        <v>67</v>
      </c>
      <c r="M361" t="s">
        <v>9</v>
      </c>
      <c r="N361" t="s">
        <v>14</v>
      </c>
      <c r="O361" s="2">
        <v>1074104.7</v>
      </c>
      <c r="P361" s="3">
        <v>7541.2039999999997</v>
      </c>
      <c r="Q361" s="1">
        <v>46033</v>
      </c>
      <c r="R361" s="1">
        <v>45992</v>
      </c>
      <c r="S361" s="1">
        <v>46022</v>
      </c>
      <c r="V361" s="8">
        <v>1</v>
      </c>
      <c r="W361" t="s">
        <v>24</v>
      </c>
      <c r="X361" t="s">
        <v>873</v>
      </c>
      <c r="Y361" t="s">
        <v>10</v>
      </c>
      <c r="Z361" t="s">
        <v>11</v>
      </c>
      <c r="AA361">
        <v>62371</v>
      </c>
      <c r="AB361">
        <v>19371215</v>
      </c>
      <c r="AC361">
        <v>0</v>
      </c>
      <c r="AD361" s="8"/>
    </row>
    <row r="362" spans="1:30" x14ac:dyDescent="0.3">
      <c r="A362" t="s">
        <v>1627</v>
      </c>
      <c r="B362">
        <v>1399956</v>
      </c>
      <c r="D362" t="s">
        <v>7</v>
      </c>
      <c r="E362">
        <v>946099</v>
      </c>
      <c r="F362">
        <v>9015884123</v>
      </c>
      <c r="G362">
        <v>253</v>
      </c>
      <c r="H362" t="s">
        <v>874</v>
      </c>
      <c r="I362">
        <v>0</v>
      </c>
      <c r="J362" t="s">
        <v>875</v>
      </c>
      <c r="K362" t="s">
        <v>8</v>
      </c>
      <c r="L362" t="s">
        <v>67</v>
      </c>
      <c r="M362" t="s">
        <v>9</v>
      </c>
      <c r="N362" t="s">
        <v>14</v>
      </c>
      <c r="O362" s="2">
        <v>259175.11</v>
      </c>
      <c r="P362" s="3">
        <v>2399.864</v>
      </c>
      <c r="Q362" s="1">
        <v>46033</v>
      </c>
      <c r="R362" s="1">
        <v>45992</v>
      </c>
      <c r="S362" s="1">
        <v>46022</v>
      </c>
      <c r="V362" s="8">
        <v>1</v>
      </c>
      <c r="W362" t="s">
        <v>24</v>
      </c>
      <c r="X362" t="s">
        <v>876</v>
      </c>
      <c r="Y362" t="s">
        <v>326</v>
      </c>
      <c r="Z362" t="s">
        <v>11</v>
      </c>
      <c r="AA362">
        <v>62371</v>
      </c>
      <c r="AB362">
        <v>18436958</v>
      </c>
      <c r="AC362">
        <v>1</v>
      </c>
      <c r="AD362" s="8"/>
    </row>
    <row r="363" spans="1:30" x14ac:dyDescent="0.3">
      <c r="A363" t="s">
        <v>1627</v>
      </c>
      <c r="B363">
        <v>1411985</v>
      </c>
      <c r="D363" t="s">
        <v>7</v>
      </c>
      <c r="E363">
        <v>946370</v>
      </c>
      <c r="F363">
        <v>9015884123</v>
      </c>
      <c r="G363">
        <v>358</v>
      </c>
      <c r="H363" t="s">
        <v>858</v>
      </c>
      <c r="I363">
        <v>0</v>
      </c>
      <c r="J363" t="s">
        <v>859</v>
      </c>
      <c r="K363" t="s">
        <v>8</v>
      </c>
      <c r="L363" t="s">
        <v>15</v>
      </c>
      <c r="M363" t="s">
        <v>9</v>
      </c>
      <c r="N363" t="s">
        <v>14</v>
      </c>
      <c r="O363" s="2">
        <v>0</v>
      </c>
      <c r="P363" s="3">
        <v>1117.6379999999999</v>
      </c>
      <c r="Q363" s="1">
        <v>46033</v>
      </c>
      <c r="R363" s="1">
        <v>45992</v>
      </c>
      <c r="S363" s="1">
        <v>46022</v>
      </c>
      <c r="V363" s="8">
        <v>1</v>
      </c>
      <c r="W363" t="s">
        <v>24</v>
      </c>
      <c r="X363" t="s">
        <v>860</v>
      </c>
      <c r="Y363" t="s">
        <v>861</v>
      </c>
      <c r="Z363" t="s">
        <v>11</v>
      </c>
      <c r="AA363">
        <v>62371</v>
      </c>
      <c r="AB363">
        <v>21427989</v>
      </c>
      <c r="AC363">
        <v>0</v>
      </c>
      <c r="AD363" s="8"/>
    </row>
    <row r="364" spans="1:30" x14ac:dyDescent="0.3">
      <c r="A364" t="s">
        <v>1627</v>
      </c>
      <c r="B364">
        <v>1415114</v>
      </c>
      <c r="D364" t="s">
        <v>7</v>
      </c>
      <c r="E364">
        <v>946493</v>
      </c>
      <c r="F364">
        <v>9015884123</v>
      </c>
      <c r="G364">
        <v>402</v>
      </c>
      <c r="H364" t="s">
        <v>333</v>
      </c>
      <c r="I364">
        <v>0</v>
      </c>
      <c r="J364" t="s">
        <v>334</v>
      </c>
      <c r="K364" t="s">
        <v>8</v>
      </c>
      <c r="L364" t="s">
        <v>18</v>
      </c>
      <c r="M364" t="s">
        <v>9</v>
      </c>
      <c r="N364" t="s">
        <v>14</v>
      </c>
      <c r="O364" s="2">
        <v>0.16</v>
      </c>
      <c r="P364" s="3">
        <v>0</v>
      </c>
      <c r="Q364" s="1">
        <v>46033</v>
      </c>
      <c r="R364" s="1">
        <v>45992</v>
      </c>
      <c r="S364" s="1">
        <v>46022</v>
      </c>
      <c r="V364" s="8">
        <v>1</v>
      </c>
      <c r="W364" t="s">
        <v>24</v>
      </c>
      <c r="X364" t="s">
        <v>335</v>
      </c>
      <c r="Y364" t="s">
        <v>336</v>
      </c>
      <c r="Z364" t="s">
        <v>11</v>
      </c>
      <c r="AA364">
        <v>62371</v>
      </c>
      <c r="AB364">
        <v>19445714</v>
      </c>
      <c r="AC364">
        <v>0</v>
      </c>
      <c r="AD364" s="8"/>
    </row>
    <row r="365" spans="1:30" x14ac:dyDescent="0.3">
      <c r="A365" t="s">
        <v>1627</v>
      </c>
      <c r="B365">
        <v>1383084</v>
      </c>
      <c r="D365" t="s">
        <v>7</v>
      </c>
      <c r="E365">
        <v>946003</v>
      </c>
      <c r="F365">
        <v>9015884123</v>
      </c>
      <c r="G365">
        <v>219</v>
      </c>
      <c r="H365" t="s">
        <v>877</v>
      </c>
      <c r="I365">
        <v>0</v>
      </c>
      <c r="J365" t="s">
        <v>878</v>
      </c>
      <c r="K365" t="s">
        <v>8</v>
      </c>
      <c r="L365" t="s">
        <v>67</v>
      </c>
      <c r="M365" t="s">
        <v>9</v>
      </c>
      <c r="N365" t="s">
        <v>14</v>
      </c>
      <c r="O365" s="2">
        <v>180434.01</v>
      </c>
      <c r="P365" s="3">
        <v>1670.751</v>
      </c>
      <c r="Q365" s="1">
        <v>46033</v>
      </c>
      <c r="R365" s="1">
        <v>45992</v>
      </c>
      <c r="S365" s="1">
        <v>46022</v>
      </c>
      <c r="V365" s="8">
        <v>1</v>
      </c>
      <c r="W365" t="s">
        <v>24</v>
      </c>
      <c r="X365" t="s">
        <v>879</v>
      </c>
      <c r="Y365" t="s">
        <v>10</v>
      </c>
      <c r="Z365" t="s">
        <v>11</v>
      </c>
      <c r="AA365">
        <v>62371</v>
      </c>
      <c r="AB365">
        <v>19781239</v>
      </c>
      <c r="AC365">
        <v>1</v>
      </c>
      <c r="AD365" s="8"/>
    </row>
    <row r="366" spans="1:30" x14ac:dyDescent="0.3">
      <c r="A366" t="s">
        <v>1627</v>
      </c>
      <c r="B366">
        <v>1383085</v>
      </c>
      <c r="D366" t="s">
        <v>7</v>
      </c>
      <c r="E366">
        <v>946006</v>
      </c>
      <c r="F366">
        <v>9015884123</v>
      </c>
      <c r="G366">
        <v>220</v>
      </c>
      <c r="H366" t="s">
        <v>880</v>
      </c>
      <c r="I366">
        <v>0</v>
      </c>
      <c r="J366" t="s">
        <v>881</v>
      </c>
      <c r="K366" t="s">
        <v>8</v>
      </c>
      <c r="L366" t="s">
        <v>19</v>
      </c>
      <c r="M366" t="s">
        <v>9</v>
      </c>
      <c r="N366" t="s">
        <v>14</v>
      </c>
      <c r="O366" s="2">
        <v>16579.73</v>
      </c>
      <c r="P366" s="3">
        <v>83.909000000000006</v>
      </c>
      <c r="Q366" s="1">
        <v>46033</v>
      </c>
      <c r="R366" s="1">
        <v>45992</v>
      </c>
      <c r="S366" s="1">
        <v>46022</v>
      </c>
      <c r="V366" s="8">
        <v>1</v>
      </c>
      <c r="W366" t="s">
        <v>24</v>
      </c>
      <c r="X366" t="s">
        <v>882</v>
      </c>
      <c r="Y366" t="s">
        <v>10</v>
      </c>
      <c r="Z366" t="s">
        <v>11</v>
      </c>
      <c r="AA366">
        <v>62371</v>
      </c>
      <c r="AB366">
        <v>18640898</v>
      </c>
      <c r="AC366">
        <v>0</v>
      </c>
      <c r="AD366" s="8"/>
    </row>
    <row r="367" spans="1:30" x14ac:dyDescent="0.3">
      <c r="A367" t="s">
        <v>1627</v>
      </c>
      <c r="B367">
        <v>1380609</v>
      </c>
      <c r="D367" t="s">
        <v>7</v>
      </c>
      <c r="E367">
        <v>945996</v>
      </c>
      <c r="F367">
        <v>9015884123</v>
      </c>
      <c r="G367">
        <v>216</v>
      </c>
      <c r="H367" t="s">
        <v>360</v>
      </c>
      <c r="I367">
        <v>0</v>
      </c>
      <c r="J367" t="s">
        <v>361</v>
      </c>
      <c r="K367" t="s">
        <v>8</v>
      </c>
      <c r="L367" t="s">
        <v>67</v>
      </c>
      <c r="M367" t="s">
        <v>9</v>
      </c>
      <c r="N367" t="s">
        <v>14</v>
      </c>
      <c r="O367" s="2">
        <v>343643.24</v>
      </c>
      <c r="P367" s="3">
        <v>2412.692</v>
      </c>
      <c r="Q367" s="1">
        <v>46033</v>
      </c>
      <c r="R367" s="1">
        <v>45992</v>
      </c>
      <c r="S367" s="1">
        <v>46022</v>
      </c>
      <c r="V367" s="8">
        <v>1</v>
      </c>
      <c r="W367" t="s">
        <v>24</v>
      </c>
      <c r="X367" t="s">
        <v>362</v>
      </c>
      <c r="Y367" t="s">
        <v>10</v>
      </c>
      <c r="Z367" t="s">
        <v>11</v>
      </c>
      <c r="AA367">
        <v>62371</v>
      </c>
      <c r="AB367">
        <v>19534549</v>
      </c>
      <c r="AC367">
        <v>0</v>
      </c>
      <c r="AD367" s="8"/>
    </row>
    <row r="368" spans="1:30" x14ac:dyDescent="0.3">
      <c r="A368" t="s">
        <v>1627</v>
      </c>
      <c r="B368">
        <v>1380609</v>
      </c>
      <c r="D368" t="s">
        <v>7</v>
      </c>
      <c r="E368">
        <v>945996</v>
      </c>
      <c r="F368">
        <v>9015884123</v>
      </c>
      <c r="G368">
        <v>216</v>
      </c>
      <c r="H368" t="s">
        <v>360</v>
      </c>
      <c r="I368">
        <v>0</v>
      </c>
      <c r="J368" t="s">
        <v>361</v>
      </c>
      <c r="K368" t="s">
        <v>8</v>
      </c>
      <c r="L368" t="s">
        <v>19</v>
      </c>
      <c r="M368" t="s">
        <v>9</v>
      </c>
      <c r="N368" t="s">
        <v>14</v>
      </c>
      <c r="O368" s="2">
        <v>57304.77</v>
      </c>
      <c r="P368" s="3">
        <v>290.01600000000002</v>
      </c>
      <c r="Q368" s="1">
        <v>46033</v>
      </c>
      <c r="R368" s="1">
        <v>45992</v>
      </c>
      <c r="S368" s="1">
        <v>46022</v>
      </c>
      <c r="V368" s="8">
        <v>1</v>
      </c>
      <c r="W368" t="s">
        <v>24</v>
      </c>
      <c r="X368" t="s">
        <v>362</v>
      </c>
      <c r="Y368" t="s">
        <v>10</v>
      </c>
      <c r="Z368" t="s">
        <v>11</v>
      </c>
      <c r="AA368">
        <v>62371</v>
      </c>
      <c r="AB368">
        <v>19534549</v>
      </c>
      <c r="AC368">
        <v>0</v>
      </c>
      <c r="AD368" s="8"/>
    </row>
    <row r="369" spans="1:30" x14ac:dyDescent="0.3">
      <c r="A369" t="s">
        <v>1627</v>
      </c>
      <c r="B369">
        <v>1413690</v>
      </c>
      <c r="D369" t="s">
        <v>7</v>
      </c>
      <c r="E369">
        <v>946432</v>
      </c>
      <c r="F369">
        <v>9015884123</v>
      </c>
      <c r="G369">
        <v>384</v>
      </c>
      <c r="H369" t="s">
        <v>346</v>
      </c>
      <c r="I369">
        <v>0</v>
      </c>
      <c r="J369" t="s">
        <v>347</v>
      </c>
      <c r="K369" t="s">
        <v>8</v>
      </c>
      <c r="L369" t="s">
        <v>18</v>
      </c>
      <c r="M369" t="s">
        <v>9</v>
      </c>
      <c r="N369" t="s">
        <v>14</v>
      </c>
      <c r="O369" s="2">
        <v>1.49</v>
      </c>
      <c r="P369" s="3">
        <v>0</v>
      </c>
      <c r="Q369" s="1">
        <v>46033</v>
      </c>
      <c r="R369" s="1">
        <v>45992</v>
      </c>
      <c r="S369" s="1">
        <v>46022</v>
      </c>
      <c r="V369" s="8">
        <v>1</v>
      </c>
      <c r="W369" t="s">
        <v>24</v>
      </c>
      <c r="X369" t="s">
        <v>348</v>
      </c>
      <c r="Y369" t="s">
        <v>349</v>
      </c>
      <c r="Z369" t="s">
        <v>11</v>
      </c>
      <c r="AA369">
        <v>62371</v>
      </c>
      <c r="AB369">
        <v>17613052</v>
      </c>
      <c r="AC369">
        <v>0</v>
      </c>
      <c r="AD369" s="8"/>
    </row>
    <row r="370" spans="1:30" x14ac:dyDescent="0.3">
      <c r="A370" t="s">
        <v>1627</v>
      </c>
      <c r="B370">
        <v>1413690</v>
      </c>
      <c r="D370" t="s">
        <v>7</v>
      </c>
      <c r="E370">
        <v>946432</v>
      </c>
      <c r="F370">
        <v>9015884123</v>
      </c>
      <c r="G370">
        <v>384</v>
      </c>
      <c r="H370" t="s">
        <v>346</v>
      </c>
      <c r="I370">
        <v>0</v>
      </c>
      <c r="J370" t="s">
        <v>347</v>
      </c>
      <c r="K370" t="s">
        <v>8</v>
      </c>
      <c r="L370" t="s">
        <v>19</v>
      </c>
      <c r="M370" t="s">
        <v>9</v>
      </c>
      <c r="N370" t="s">
        <v>14</v>
      </c>
      <c r="O370" s="2">
        <v>9304</v>
      </c>
      <c r="P370" s="3">
        <v>47.087000000000003</v>
      </c>
      <c r="Q370" s="1">
        <v>46033</v>
      </c>
      <c r="R370" s="1">
        <v>45992</v>
      </c>
      <c r="S370" s="1">
        <v>46022</v>
      </c>
      <c r="V370" s="8">
        <v>1</v>
      </c>
      <c r="W370" t="s">
        <v>24</v>
      </c>
      <c r="X370" t="s">
        <v>348</v>
      </c>
      <c r="Y370" t="s">
        <v>349</v>
      </c>
      <c r="Z370" t="s">
        <v>11</v>
      </c>
      <c r="AA370">
        <v>62371</v>
      </c>
      <c r="AB370">
        <v>17613052</v>
      </c>
      <c r="AC370">
        <v>0</v>
      </c>
      <c r="AD370" s="8"/>
    </row>
    <row r="371" spans="1:30" x14ac:dyDescent="0.3">
      <c r="A371" t="s">
        <v>1627</v>
      </c>
      <c r="B371">
        <v>1383086</v>
      </c>
      <c r="D371" t="s">
        <v>7</v>
      </c>
      <c r="E371">
        <v>946008</v>
      </c>
      <c r="F371">
        <v>9015884123</v>
      </c>
      <c r="G371">
        <v>221</v>
      </c>
      <c r="H371" t="s">
        <v>883</v>
      </c>
      <c r="I371">
        <v>0</v>
      </c>
      <c r="J371" t="s">
        <v>884</v>
      </c>
      <c r="K371" t="s">
        <v>8</v>
      </c>
      <c r="L371" t="s">
        <v>15</v>
      </c>
      <c r="M371" t="s">
        <v>9</v>
      </c>
      <c r="N371" t="s">
        <v>14</v>
      </c>
      <c r="O371" s="2">
        <v>0</v>
      </c>
      <c r="P371" s="3">
        <v>1435.971</v>
      </c>
      <c r="Q371" s="1">
        <v>46033</v>
      </c>
      <c r="R371" s="1">
        <v>45992</v>
      </c>
      <c r="S371" s="1">
        <v>46022</v>
      </c>
      <c r="V371" s="8">
        <v>1</v>
      </c>
      <c r="W371" t="s">
        <v>24</v>
      </c>
      <c r="X371" t="s">
        <v>885</v>
      </c>
      <c r="Y371" t="s">
        <v>10</v>
      </c>
      <c r="Z371" t="s">
        <v>11</v>
      </c>
      <c r="AA371">
        <v>62371</v>
      </c>
      <c r="AB371">
        <v>19669186</v>
      </c>
      <c r="AC371">
        <v>0</v>
      </c>
      <c r="AD371" s="8"/>
    </row>
    <row r="372" spans="1:30" x14ac:dyDescent="0.3">
      <c r="A372" t="s">
        <v>1627</v>
      </c>
      <c r="B372">
        <v>1380609</v>
      </c>
      <c r="D372" t="s">
        <v>7</v>
      </c>
      <c r="E372">
        <v>945996</v>
      </c>
      <c r="F372">
        <v>9015884123</v>
      </c>
      <c r="G372">
        <v>216</v>
      </c>
      <c r="H372" t="s">
        <v>360</v>
      </c>
      <c r="I372">
        <v>0</v>
      </c>
      <c r="J372" t="s">
        <v>361</v>
      </c>
      <c r="K372" t="s">
        <v>8</v>
      </c>
      <c r="L372" t="s">
        <v>15</v>
      </c>
      <c r="M372" t="s">
        <v>9</v>
      </c>
      <c r="N372" t="s">
        <v>14</v>
      </c>
      <c r="O372" s="2">
        <v>0</v>
      </c>
      <c r="P372" s="3">
        <v>2412.692</v>
      </c>
      <c r="Q372" s="1">
        <v>46033</v>
      </c>
      <c r="R372" s="1">
        <v>45992</v>
      </c>
      <c r="S372" s="1">
        <v>46022</v>
      </c>
      <c r="V372" s="8">
        <v>1</v>
      </c>
      <c r="W372" t="s">
        <v>24</v>
      </c>
      <c r="X372" t="s">
        <v>362</v>
      </c>
      <c r="Y372" t="s">
        <v>10</v>
      </c>
      <c r="Z372" t="s">
        <v>11</v>
      </c>
      <c r="AA372">
        <v>62371</v>
      </c>
      <c r="AB372">
        <v>19534549</v>
      </c>
      <c r="AC372">
        <v>0</v>
      </c>
      <c r="AD372" s="8"/>
    </row>
    <row r="373" spans="1:30" x14ac:dyDescent="0.3">
      <c r="A373" t="s">
        <v>1627</v>
      </c>
      <c r="B373">
        <v>1383086</v>
      </c>
      <c r="D373" t="s">
        <v>7</v>
      </c>
      <c r="E373">
        <v>946008</v>
      </c>
      <c r="F373">
        <v>9015884123</v>
      </c>
      <c r="G373">
        <v>221</v>
      </c>
      <c r="H373" t="s">
        <v>883</v>
      </c>
      <c r="I373">
        <v>0</v>
      </c>
      <c r="J373" t="s">
        <v>884</v>
      </c>
      <c r="K373" t="s">
        <v>8</v>
      </c>
      <c r="L373" t="s">
        <v>67</v>
      </c>
      <c r="M373" t="s">
        <v>9</v>
      </c>
      <c r="N373" t="s">
        <v>14</v>
      </c>
      <c r="O373" s="2">
        <v>204527.45</v>
      </c>
      <c r="P373" s="3">
        <v>1435.971</v>
      </c>
      <c r="Q373" s="1">
        <v>46033</v>
      </c>
      <c r="R373" s="1">
        <v>45992</v>
      </c>
      <c r="S373" s="1">
        <v>46022</v>
      </c>
      <c r="V373" s="8">
        <v>1</v>
      </c>
      <c r="W373" t="s">
        <v>24</v>
      </c>
      <c r="X373" t="s">
        <v>885</v>
      </c>
      <c r="Y373" t="s">
        <v>10</v>
      </c>
      <c r="Z373" t="s">
        <v>11</v>
      </c>
      <c r="AA373">
        <v>62371</v>
      </c>
      <c r="AB373">
        <v>19669186</v>
      </c>
      <c r="AC373">
        <v>0</v>
      </c>
      <c r="AD373" s="8"/>
    </row>
    <row r="374" spans="1:30" x14ac:dyDescent="0.3">
      <c r="A374" t="s">
        <v>1627</v>
      </c>
      <c r="B374">
        <v>1386094</v>
      </c>
      <c r="D374" t="s">
        <v>7</v>
      </c>
      <c r="E374">
        <v>946049</v>
      </c>
      <c r="F374">
        <v>9015884123</v>
      </c>
      <c r="G374">
        <v>236</v>
      </c>
      <c r="H374" t="s">
        <v>886</v>
      </c>
      <c r="I374">
        <v>0</v>
      </c>
      <c r="J374" t="s">
        <v>887</v>
      </c>
      <c r="K374" t="s">
        <v>8</v>
      </c>
      <c r="L374" t="s">
        <v>15</v>
      </c>
      <c r="M374" t="s">
        <v>9</v>
      </c>
      <c r="N374" t="s">
        <v>14</v>
      </c>
      <c r="O374" s="2">
        <v>0</v>
      </c>
      <c r="P374" s="3">
        <v>6158.3019999999997</v>
      </c>
      <c r="Q374" s="1">
        <v>46033</v>
      </c>
      <c r="R374" s="1">
        <v>45992</v>
      </c>
      <c r="S374" s="1">
        <v>46022</v>
      </c>
      <c r="V374" s="8">
        <v>1</v>
      </c>
      <c r="W374" t="s">
        <v>24</v>
      </c>
      <c r="X374" t="s">
        <v>888</v>
      </c>
      <c r="Y374" t="s">
        <v>10</v>
      </c>
      <c r="Z374" t="s">
        <v>11</v>
      </c>
      <c r="AA374">
        <v>62371</v>
      </c>
      <c r="AB374">
        <v>17653498</v>
      </c>
      <c r="AC374">
        <v>0</v>
      </c>
      <c r="AD374" s="8"/>
    </row>
    <row r="375" spans="1:30" x14ac:dyDescent="0.3">
      <c r="A375" t="s">
        <v>1627</v>
      </c>
      <c r="B375">
        <v>1395800</v>
      </c>
      <c r="D375" t="s">
        <v>7</v>
      </c>
      <c r="E375">
        <v>946082</v>
      </c>
      <c r="F375">
        <v>9015884123</v>
      </c>
      <c r="G375">
        <v>247</v>
      </c>
      <c r="H375" t="s">
        <v>370</v>
      </c>
      <c r="I375">
        <v>0</v>
      </c>
      <c r="J375" t="s">
        <v>371</v>
      </c>
      <c r="K375" t="s">
        <v>8</v>
      </c>
      <c r="L375" t="s">
        <v>67</v>
      </c>
      <c r="M375" t="s">
        <v>9</v>
      </c>
      <c r="N375" t="s">
        <v>14</v>
      </c>
      <c r="O375" s="2">
        <v>1043713.67</v>
      </c>
      <c r="P375" s="3">
        <v>7327.8310000000001</v>
      </c>
      <c r="Q375" s="1">
        <v>46033</v>
      </c>
      <c r="R375" s="1">
        <v>45992</v>
      </c>
      <c r="S375" s="1">
        <v>46022</v>
      </c>
      <c r="V375" s="8">
        <v>1</v>
      </c>
      <c r="W375" t="s">
        <v>24</v>
      </c>
      <c r="X375" t="s">
        <v>372</v>
      </c>
      <c r="Y375" t="s">
        <v>10</v>
      </c>
      <c r="Z375" t="s">
        <v>11</v>
      </c>
      <c r="AA375">
        <v>62371</v>
      </c>
      <c r="AB375">
        <v>18807823</v>
      </c>
      <c r="AC375">
        <v>0</v>
      </c>
      <c r="AD375" s="8"/>
    </row>
    <row r="376" spans="1:30" x14ac:dyDescent="0.3">
      <c r="A376" t="s">
        <v>1627</v>
      </c>
      <c r="B376">
        <v>1400914</v>
      </c>
      <c r="D376" t="s">
        <v>7</v>
      </c>
      <c r="E376">
        <v>946091</v>
      </c>
      <c r="F376">
        <v>9015884123</v>
      </c>
      <c r="G376">
        <v>250</v>
      </c>
      <c r="H376" t="s">
        <v>889</v>
      </c>
      <c r="I376">
        <v>0</v>
      </c>
      <c r="J376" t="s">
        <v>890</v>
      </c>
      <c r="K376" t="s">
        <v>8</v>
      </c>
      <c r="L376" t="s">
        <v>67</v>
      </c>
      <c r="M376" t="s">
        <v>9</v>
      </c>
      <c r="N376" t="s">
        <v>14</v>
      </c>
      <c r="O376" s="2">
        <v>4529256.33</v>
      </c>
      <c r="P376" s="3">
        <v>55124.517</v>
      </c>
      <c r="Q376" s="1">
        <v>46033</v>
      </c>
      <c r="R376" s="1">
        <v>45992</v>
      </c>
      <c r="S376" s="1">
        <v>46022</v>
      </c>
      <c r="V376" s="8">
        <v>2</v>
      </c>
      <c r="W376" t="s">
        <v>24</v>
      </c>
      <c r="X376" t="s">
        <v>891</v>
      </c>
      <c r="Y376" t="s">
        <v>10</v>
      </c>
      <c r="Z376" t="s">
        <v>11</v>
      </c>
      <c r="AA376">
        <v>62371</v>
      </c>
      <c r="AB376">
        <v>17184893</v>
      </c>
      <c r="AC376">
        <v>1</v>
      </c>
      <c r="AD376" s="8"/>
    </row>
    <row r="377" spans="1:30" x14ac:dyDescent="0.3">
      <c r="A377" t="s">
        <v>1627</v>
      </c>
      <c r="B377">
        <v>1395783</v>
      </c>
      <c r="D377" t="s">
        <v>7</v>
      </c>
      <c r="E377">
        <v>946058</v>
      </c>
      <c r="F377">
        <v>9015884123</v>
      </c>
      <c r="G377">
        <v>240</v>
      </c>
      <c r="H377" t="s">
        <v>373</v>
      </c>
      <c r="I377">
        <v>0</v>
      </c>
      <c r="J377" t="s">
        <v>374</v>
      </c>
      <c r="K377" t="s">
        <v>8</v>
      </c>
      <c r="L377" t="s">
        <v>18</v>
      </c>
      <c r="M377" t="s">
        <v>9</v>
      </c>
      <c r="N377" t="s">
        <v>14</v>
      </c>
      <c r="O377" s="2">
        <v>2.2000000000000002</v>
      </c>
      <c r="P377" s="3">
        <v>0</v>
      </c>
      <c r="Q377" s="1">
        <v>46033</v>
      </c>
      <c r="R377" s="1">
        <v>45992</v>
      </c>
      <c r="S377" s="1">
        <v>46022</v>
      </c>
      <c r="V377" s="8">
        <v>1</v>
      </c>
      <c r="W377" t="s">
        <v>24</v>
      </c>
      <c r="X377" t="s">
        <v>375</v>
      </c>
      <c r="Y377" t="s">
        <v>10</v>
      </c>
      <c r="Z377" t="s">
        <v>11</v>
      </c>
      <c r="AA377">
        <v>62371</v>
      </c>
      <c r="AB377">
        <v>19374766</v>
      </c>
      <c r="AC377">
        <v>1</v>
      </c>
      <c r="AD377" s="8"/>
    </row>
    <row r="378" spans="1:30" x14ac:dyDescent="0.3">
      <c r="A378" t="s">
        <v>1627</v>
      </c>
      <c r="B378">
        <v>1403721</v>
      </c>
      <c r="D378" t="s">
        <v>7</v>
      </c>
      <c r="E378">
        <v>946142</v>
      </c>
      <c r="F378">
        <v>9015884123</v>
      </c>
      <c r="G378">
        <v>267</v>
      </c>
      <c r="H378" t="s">
        <v>391</v>
      </c>
      <c r="I378">
        <v>0</v>
      </c>
      <c r="J378" t="s">
        <v>392</v>
      </c>
      <c r="K378" t="s">
        <v>8</v>
      </c>
      <c r="L378" t="s">
        <v>18</v>
      </c>
      <c r="M378" t="s">
        <v>9</v>
      </c>
      <c r="N378" t="s">
        <v>14</v>
      </c>
      <c r="O378" s="2">
        <v>0.06</v>
      </c>
      <c r="P378" s="3">
        <v>0</v>
      </c>
      <c r="Q378" s="1">
        <v>46033</v>
      </c>
      <c r="R378" s="1">
        <v>45992</v>
      </c>
      <c r="S378" s="1">
        <v>46022</v>
      </c>
      <c r="V378" s="8">
        <v>1</v>
      </c>
      <c r="W378" t="s">
        <v>24</v>
      </c>
      <c r="X378" t="s">
        <v>393</v>
      </c>
      <c r="Y378" t="s">
        <v>10</v>
      </c>
      <c r="Z378" t="s">
        <v>11</v>
      </c>
      <c r="AA378">
        <v>62371</v>
      </c>
      <c r="AB378">
        <v>21113181</v>
      </c>
      <c r="AC378">
        <v>1</v>
      </c>
      <c r="AD378" s="8"/>
    </row>
    <row r="379" spans="1:30" x14ac:dyDescent="0.3">
      <c r="A379" t="s">
        <v>1627</v>
      </c>
      <c r="B379">
        <v>1403726</v>
      </c>
      <c r="D379" t="s">
        <v>7</v>
      </c>
      <c r="E379">
        <v>946154</v>
      </c>
      <c r="F379">
        <v>9015884123</v>
      </c>
      <c r="G379">
        <v>270</v>
      </c>
      <c r="H379" t="s">
        <v>892</v>
      </c>
      <c r="I379">
        <v>0</v>
      </c>
      <c r="J379" t="s">
        <v>893</v>
      </c>
      <c r="K379" t="s">
        <v>8</v>
      </c>
      <c r="L379" t="s">
        <v>19</v>
      </c>
      <c r="M379" t="s">
        <v>9</v>
      </c>
      <c r="N379" t="s">
        <v>14</v>
      </c>
      <c r="O379" s="2">
        <v>11359.55</v>
      </c>
      <c r="P379" s="3">
        <v>57.49</v>
      </c>
      <c r="Q379" s="1">
        <v>46033</v>
      </c>
      <c r="R379" s="1">
        <v>45992</v>
      </c>
      <c r="S379" s="1">
        <v>46022</v>
      </c>
      <c r="V379" s="8">
        <v>1</v>
      </c>
      <c r="W379" t="s">
        <v>24</v>
      </c>
      <c r="X379" t="s">
        <v>894</v>
      </c>
      <c r="Y379" t="s">
        <v>10</v>
      </c>
      <c r="Z379" t="s">
        <v>11</v>
      </c>
      <c r="AA379">
        <v>62371</v>
      </c>
      <c r="AB379">
        <v>19397223</v>
      </c>
      <c r="AC379">
        <v>0</v>
      </c>
      <c r="AD379" s="8"/>
    </row>
    <row r="380" spans="1:30" x14ac:dyDescent="0.3">
      <c r="A380" t="s">
        <v>1627</v>
      </c>
      <c r="B380">
        <v>1403735</v>
      </c>
      <c r="D380" t="s">
        <v>7</v>
      </c>
      <c r="E380">
        <v>946169</v>
      </c>
      <c r="F380">
        <v>9015884123</v>
      </c>
      <c r="G380">
        <v>274</v>
      </c>
      <c r="H380" t="s">
        <v>394</v>
      </c>
      <c r="I380">
        <v>0</v>
      </c>
      <c r="J380" t="s">
        <v>395</v>
      </c>
      <c r="K380" t="s">
        <v>8</v>
      </c>
      <c r="L380" t="s">
        <v>18</v>
      </c>
      <c r="M380" t="s">
        <v>9</v>
      </c>
      <c r="N380" t="s">
        <v>14</v>
      </c>
      <c r="O380" s="2">
        <v>-4.7699999999999996</v>
      </c>
      <c r="P380" s="3">
        <v>0</v>
      </c>
      <c r="Q380" s="1">
        <v>46033</v>
      </c>
      <c r="R380" s="1">
        <v>45992</v>
      </c>
      <c r="S380" s="1">
        <v>46022</v>
      </c>
      <c r="V380" s="8">
        <v>1</v>
      </c>
      <c r="W380" t="s">
        <v>24</v>
      </c>
      <c r="X380" t="s">
        <v>396</v>
      </c>
      <c r="Y380" t="s">
        <v>10</v>
      </c>
      <c r="Z380" t="s">
        <v>11</v>
      </c>
      <c r="AA380">
        <v>62371</v>
      </c>
      <c r="AB380">
        <v>19417863</v>
      </c>
      <c r="AC380">
        <v>1</v>
      </c>
      <c r="AD380" s="8"/>
    </row>
    <row r="381" spans="1:30" x14ac:dyDescent="0.3">
      <c r="A381" t="s">
        <v>1627</v>
      </c>
      <c r="B381">
        <v>1403797</v>
      </c>
      <c r="D381" t="s">
        <v>7</v>
      </c>
      <c r="E381">
        <v>946173</v>
      </c>
      <c r="F381">
        <v>9015884123</v>
      </c>
      <c r="G381">
        <v>275</v>
      </c>
      <c r="H381" t="s">
        <v>895</v>
      </c>
      <c r="I381">
        <v>0</v>
      </c>
      <c r="J381" t="s">
        <v>896</v>
      </c>
      <c r="K381" t="s">
        <v>8</v>
      </c>
      <c r="L381" t="s">
        <v>15</v>
      </c>
      <c r="M381" t="s">
        <v>9</v>
      </c>
      <c r="N381" t="s">
        <v>14</v>
      </c>
      <c r="O381" s="2">
        <v>0</v>
      </c>
      <c r="P381" s="3">
        <v>40053.302000000003</v>
      </c>
      <c r="Q381" s="1">
        <v>46033</v>
      </c>
      <c r="R381" s="1">
        <v>45992</v>
      </c>
      <c r="S381" s="1">
        <v>46022</v>
      </c>
      <c r="V381" s="8">
        <v>1</v>
      </c>
      <c r="W381" t="s">
        <v>24</v>
      </c>
      <c r="X381" t="s">
        <v>897</v>
      </c>
      <c r="Y381" t="s">
        <v>10</v>
      </c>
      <c r="Z381" t="s">
        <v>11</v>
      </c>
      <c r="AA381">
        <v>62371</v>
      </c>
      <c r="AB381">
        <v>19315017</v>
      </c>
      <c r="AC381">
        <v>0</v>
      </c>
      <c r="AD381" s="8"/>
    </row>
    <row r="382" spans="1:30" x14ac:dyDescent="0.3">
      <c r="A382" t="s">
        <v>1627</v>
      </c>
      <c r="B382">
        <v>1403812</v>
      </c>
      <c r="D382" t="s">
        <v>7</v>
      </c>
      <c r="E382">
        <v>946214</v>
      </c>
      <c r="F382">
        <v>9015884123</v>
      </c>
      <c r="G382">
        <v>290</v>
      </c>
      <c r="H382" t="s">
        <v>898</v>
      </c>
      <c r="I382">
        <v>0</v>
      </c>
      <c r="J382" t="s">
        <v>899</v>
      </c>
      <c r="K382" t="s">
        <v>8</v>
      </c>
      <c r="L382" t="s">
        <v>18</v>
      </c>
      <c r="M382" t="s">
        <v>9</v>
      </c>
      <c r="N382" t="s">
        <v>14</v>
      </c>
      <c r="O382" s="2">
        <v>-2.41</v>
      </c>
      <c r="P382" s="3">
        <v>0</v>
      </c>
      <c r="Q382" s="1">
        <v>46033</v>
      </c>
      <c r="R382" s="1">
        <v>45992</v>
      </c>
      <c r="S382" s="1">
        <v>46022</v>
      </c>
      <c r="V382" s="8">
        <v>1</v>
      </c>
      <c r="W382" t="s">
        <v>24</v>
      </c>
      <c r="X382" t="s">
        <v>900</v>
      </c>
      <c r="Y382" t="s">
        <v>10</v>
      </c>
      <c r="Z382" t="s">
        <v>11</v>
      </c>
      <c r="AA382">
        <v>62371</v>
      </c>
      <c r="AB382">
        <v>18547299</v>
      </c>
      <c r="AC382">
        <v>1</v>
      </c>
      <c r="AD382" s="8"/>
    </row>
    <row r="383" spans="1:30" x14ac:dyDescent="0.3">
      <c r="A383" t="s">
        <v>1627</v>
      </c>
      <c r="B383">
        <v>1403726</v>
      </c>
      <c r="D383" t="s">
        <v>7</v>
      </c>
      <c r="E383">
        <v>946154</v>
      </c>
      <c r="F383">
        <v>9015884123</v>
      </c>
      <c r="G383">
        <v>270</v>
      </c>
      <c r="H383" t="s">
        <v>892</v>
      </c>
      <c r="I383">
        <v>0</v>
      </c>
      <c r="J383" t="s">
        <v>893</v>
      </c>
      <c r="K383" t="s">
        <v>8</v>
      </c>
      <c r="L383" t="s">
        <v>18</v>
      </c>
      <c r="M383" t="s">
        <v>9</v>
      </c>
      <c r="N383" t="s">
        <v>14</v>
      </c>
      <c r="O383" s="2">
        <v>-1.89</v>
      </c>
      <c r="P383" s="3">
        <v>0</v>
      </c>
      <c r="Q383" s="1">
        <v>46033</v>
      </c>
      <c r="R383" s="1">
        <v>45992</v>
      </c>
      <c r="S383" s="1">
        <v>46022</v>
      </c>
      <c r="V383" s="8">
        <v>1</v>
      </c>
      <c r="W383" t="s">
        <v>24</v>
      </c>
      <c r="X383" t="s">
        <v>894</v>
      </c>
      <c r="Y383" t="s">
        <v>10</v>
      </c>
      <c r="Z383" t="s">
        <v>11</v>
      </c>
      <c r="AA383">
        <v>62371</v>
      </c>
      <c r="AB383">
        <v>19397223</v>
      </c>
      <c r="AC383">
        <v>0</v>
      </c>
      <c r="AD383" s="8"/>
    </row>
    <row r="384" spans="1:30" x14ac:dyDescent="0.3">
      <c r="A384" t="s">
        <v>1627</v>
      </c>
      <c r="B384">
        <v>1403810</v>
      </c>
      <c r="D384" t="s">
        <v>7</v>
      </c>
      <c r="E384">
        <v>946206</v>
      </c>
      <c r="F384">
        <v>9015884123</v>
      </c>
      <c r="G384">
        <v>288</v>
      </c>
      <c r="H384" t="s">
        <v>901</v>
      </c>
      <c r="I384">
        <v>0</v>
      </c>
      <c r="J384" t="s">
        <v>902</v>
      </c>
      <c r="K384" t="s">
        <v>8</v>
      </c>
      <c r="L384" t="s">
        <v>18</v>
      </c>
      <c r="M384" t="s">
        <v>9</v>
      </c>
      <c r="N384" t="s">
        <v>14</v>
      </c>
      <c r="O384" s="2">
        <v>3.64</v>
      </c>
      <c r="P384" s="3">
        <v>0</v>
      </c>
      <c r="Q384" s="1">
        <v>46033</v>
      </c>
      <c r="R384" s="1">
        <v>45992</v>
      </c>
      <c r="S384" s="1">
        <v>46022</v>
      </c>
      <c r="V384" s="8">
        <v>1</v>
      </c>
      <c r="W384" t="s">
        <v>24</v>
      </c>
      <c r="X384" t="s">
        <v>903</v>
      </c>
      <c r="Y384" t="s">
        <v>10</v>
      </c>
      <c r="Z384" t="s">
        <v>11</v>
      </c>
      <c r="AA384">
        <v>62371</v>
      </c>
      <c r="AB384">
        <v>21406892</v>
      </c>
      <c r="AC384">
        <v>1</v>
      </c>
      <c r="AD384" s="8"/>
    </row>
    <row r="385" spans="1:30" x14ac:dyDescent="0.3">
      <c r="A385" t="s">
        <v>1627</v>
      </c>
      <c r="B385">
        <v>1406204</v>
      </c>
      <c r="D385" t="s">
        <v>7</v>
      </c>
      <c r="E385">
        <v>946300</v>
      </c>
      <c r="F385">
        <v>9015884123</v>
      </c>
      <c r="G385">
        <v>322</v>
      </c>
      <c r="H385" t="s">
        <v>415</v>
      </c>
      <c r="I385">
        <v>0</v>
      </c>
      <c r="J385" t="s">
        <v>416</v>
      </c>
      <c r="K385" t="s">
        <v>8</v>
      </c>
      <c r="L385" t="s">
        <v>67</v>
      </c>
      <c r="M385" t="s">
        <v>9</v>
      </c>
      <c r="N385" t="s">
        <v>14</v>
      </c>
      <c r="O385" s="2">
        <v>925328.97</v>
      </c>
      <c r="P385" s="3">
        <v>8568.1980000000003</v>
      </c>
      <c r="Q385" s="1">
        <v>46033</v>
      </c>
      <c r="R385" s="1">
        <v>45992</v>
      </c>
      <c r="S385" s="1">
        <v>46022</v>
      </c>
      <c r="V385" s="8">
        <v>1</v>
      </c>
      <c r="W385" t="s">
        <v>24</v>
      </c>
      <c r="X385" t="s">
        <v>417</v>
      </c>
      <c r="Y385" t="s">
        <v>10</v>
      </c>
      <c r="Z385" t="s">
        <v>11</v>
      </c>
      <c r="AA385">
        <v>62371</v>
      </c>
      <c r="AB385">
        <v>21431607</v>
      </c>
      <c r="AC385">
        <v>1</v>
      </c>
      <c r="AD385" s="8"/>
    </row>
    <row r="386" spans="1:30" x14ac:dyDescent="0.3">
      <c r="A386" t="s">
        <v>1627</v>
      </c>
      <c r="B386">
        <v>1406172</v>
      </c>
      <c r="D386" t="s">
        <v>7</v>
      </c>
      <c r="E386">
        <v>946279</v>
      </c>
      <c r="F386">
        <v>9015884123</v>
      </c>
      <c r="G386">
        <v>312</v>
      </c>
      <c r="H386" t="s">
        <v>904</v>
      </c>
      <c r="I386">
        <v>0</v>
      </c>
      <c r="J386" t="s">
        <v>905</v>
      </c>
      <c r="K386" t="s">
        <v>8</v>
      </c>
      <c r="L386" t="s">
        <v>19</v>
      </c>
      <c r="M386" t="s">
        <v>9</v>
      </c>
      <c r="N386" t="s">
        <v>14</v>
      </c>
      <c r="O386" s="2">
        <v>677765.2</v>
      </c>
      <c r="P386" s="3">
        <v>4154.0919999999996</v>
      </c>
      <c r="Q386" s="1">
        <v>46033</v>
      </c>
      <c r="R386" s="1">
        <v>45992</v>
      </c>
      <c r="S386" s="1">
        <v>46022</v>
      </c>
      <c r="V386" s="8">
        <v>1</v>
      </c>
      <c r="W386" t="s">
        <v>24</v>
      </c>
      <c r="X386" t="s">
        <v>906</v>
      </c>
      <c r="Y386" t="s">
        <v>10</v>
      </c>
      <c r="Z386" t="s">
        <v>11</v>
      </c>
      <c r="AA386">
        <v>62371</v>
      </c>
      <c r="AB386">
        <v>18171106</v>
      </c>
      <c r="AC386">
        <v>1</v>
      </c>
      <c r="AD386" s="8"/>
    </row>
    <row r="387" spans="1:30" x14ac:dyDescent="0.3">
      <c r="A387" t="s">
        <v>1627</v>
      </c>
      <c r="B387">
        <v>1407503</v>
      </c>
      <c r="D387" t="s">
        <v>7</v>
      </c>
      <c r="E387">
        <v>946311</v>
      </c>
      <c r="F387">
        <v>9015884123</v>
      </c>
      <c r="G387">
        <v>327</v>
      </c>
      <c r="H387" t="s">
        <v>907</v>
      </c>
      <c r="I387">
        <v>0</v>
      </c>
      <c r="J387" t="s">
        <v>908</v>
      </c>
      <c r="K387" t="s">
        <v>8</v>
      </c>
      <c r="L387" t="s">
        <v>19</v>
      </c>
      <c r="M387" t="s">
        <v>9</v>
      </c>
      <c r="N387" t="s">
        <v>14</v>
      </c>
      <c r="O387" s="2">
        <v>547.53</v>
      </c>
      <c r="P387" s="3">
        <v>2.7709999999999999</v>
      </c>
      <c r="Q387" s="1">
        <v>46033</v>
      </c>
      <c r="R387" s="1">
        <v>45992</v>
      </c>
      <c r="S387" s="1">
        <v>46022</v>
      </c>
      <c r="V387" s="8">
        <v>1</v>
      </c>
      <c r="W387" t="s">
        <v>24</v>
      </c>
      <c r="X387" t="s">
        <v>909</v>
      </c>
      <c r="Y387" t="s">
        <v>10</v>
      </c>
      <c r="Z387" t="s">
        <v>11</v>
      </c>
      <c r="AA387">
        <v>62371</v>
      </c>
      <c r="AB387">
        <v>19383328</v>
      </c>
      <c r="AC387">
        <v>0</v>
      </c>
      <c r="AD387" s="8"/>
    </row>
    <row r="388" spans="1:30" x14ac:dyDescent="0.3">
      <c r="A388" t="s">
        <v>1627</v>
      </c>
      <c r="B388">
        <v>1407517</v>
      </c>
      <c r="D388" t="s">
        <v>7</v>
      </c>
      <c r="E388">
        <v>946323</v>
      </c>
      <c r="F388">
        <v>9015884123</v>
      </c>
      <c r="G388">
        <v>334</v>
      </c>
      <c r="H388" t="s">
        <v>910</v>
      </c>
      <c r="I388">
        <v>0</v>
      </c>
      <c r="J388" t="s">
        <v>911</v>
      </c>
      <c r="K388" t="s">
        <v>8</v>
      </c>
      <c r="L388" t="s">
        <v>18</v>
      </c>
      <c r="M388" t="s">
        <v>9</v>
      </c>
      <c r="N388" t="s">
        <v>14</v>
      </c>
      <c r="O388" s="2">
        <v>1.7</v>
      </c>
      <c r="P388" s="3">
        <v>0</v>
      </c>
      <c r="Q388" s="1">
        <v>46033</v>
      </c>
      <c r="R388" s="1">
        <v>45992</v>
      </c>
      <c r="S388" s="1">
        <v>46022</v>
      </c>
      <c r="V388" s="8">
        <v>1</v>
      </c>
      <c r="W388" t="s">
        <v>24</v>
      </c>
      <c r="X388" t="s">
        <v>912</v>
      </c>
      <c r="Y388" t="s">
        <v>10</v>
      </c>
      <c r="Z388" t="s">
        <v>11</v>
      </c>
      <c r="AA388">
        <v>62371</v>
      </c>
      <c r="AB388">
        <v>19379503</v>
      </c>
      <c r="AC388">
        <v>0</v>
      </c>
      <c r="AD388" s="8"/>
    </row>
    <row r="389" spans="1:30" x14ac:dyDescent="0.3">
      <c r="A389" t="s">
        <v>1627</v>
      </c>
      <c r="B389">
        <v>1412137</v>
      </c>
      <c r="D389" t="s">
        <v>7</v>
      </c>
      <c r="E389">
        <v>946377</v>
      </c>
      <c r="F389">
        <v>9015884123</v>
      </c>
      <c r="G389">
        <v>362</v>
      </c>
      <c r="H389" t="s">
        <v>913</v>
      </c>
      <c r="I389">
        <v>0</v>
      </c>
      <c r="J389" t="s">
        <v>914</v>
      </c>
      <c r="K389" t="s">
        <v>8</v>
      </c>
      <c r="L389" t="s">
        <v>67</v>
      </c>
      <c r="M389" t="s">
        <v>9</v>
      </c>
      <c r="N389" t="s">
        <v>14</v>
      </c>
      <c r="O389" s="2">
        <v>2021431.42</v>
      </c>
      <c r="P389" s="3">
        <v>24602.367999999999</v>
      </c>
      <c r="Q389" s="1">
        <v>46033</v>
      </c>
      <c r="R389" s="1">
        <v>45992</v>
      </c>
      <c r="S389" s="1">
        <v>46022</v>
      </c>
      <c r="V389" s="8">
        <v>2</v>
      </c>
      <c r="W389" t="s">
        <v>24</v>
      </c>
      <c r="X389" t="s">
        <v>915</v>
      </c>
      <c r="Y389" t="s">
        <v>10</v>
      </c>
      <c r="Z389" t="s">
        <v>11</v>
      </c>
      <c r="AA389">
        <v>62371</v>
      </c>
      <c r="AB389">
        <v>19374742</v>
      </c>
      <c r="AC389">
        <v>1</v>
      </c>
      <c r="AD389" s="8"/>
    </row>
    <row r="390" spans="1:30" x14ac:dyDescent="0.3">
      <c r="A390" t="s">
        <v>1627</v>
      </c>
      <c r="B390">
        <v>1412139</v>
      </c>
      <c r="D390" t="s">
        <v>7</v>
      </c>
      <c r="E390">
        <v>946382</v>
      </c>
      <c r="F390">
        <v>9015884123</v>
      </c>
      <c r="G390">
        <v>365</v>
      </c>
      <c r="H390" t="s">
        <v>448</v>
      </c>
      <c r="I390">
        <v>0</v>
      </c>
      <c r="J390" t="s">
        <v>449</v>
      </c>
      <c r="K390" t="s">
        <v>8</v>
      </c>
      <c r="L390" t="s">
        <v>67</v>
      </c>
      <c r="M390" t="s">
        <v>9</v>
      </c>
      <c r="N390" t="s">
        <v>14</v>
      </c>
      <c r="O390" s="2">
        <v>745714.44</v>
      </c>
      <c r="P390" s="3">
        <v>5235.6019999999999</v>
      </c>
      <c r="Q390" s="1">
        <v>46033</v>
      </c>
      <c r="R390" s="1">
        <v>45992</v>
      </c>
      <c r="S390" s="1">
        <v>46022</v>
      </c>
      <c r="V390" s="8">
        <v>1</v>
      </c>
      <c r="W390" t="s">
        <v>24</v>
      </c>
      <c r="X390" t="s">
        <v>450</v>
      </c>
      <c r="Y390" t="s">
        <v>10</v>
      </c>
      <c r="Z390" t="s">
        <v>11</v>
      </c>
      <c r="AA390">
        <v>62371</v>
      </c>
      <c r="AB390">
        <v>19394384</v>
      </c>
      <c r="AC390">
        <v>0</v>
      </c>
      <c r="AD390" s="8"/>
    </row>
    <row r="391" spans="1:30" x14ac:dyDescent="0.3">
      <c r="A391" t="s">
        <v>1627</v>
      </c>
      <c r="B391">
        <v>1415509</v>
      </c>
      <c r="D391" t="s">
        <v>7</v>
      </c>
      <c r="E391">
        <v>946509</v>
      </c>
      <c r="F391">
        <v>9015884123</v>
      </c>
      <c r="G391">
        <v>408</v>
      </c>
      <c r="H391" t="s">
        <v>916</v>
      </c>
      <c r="I391">
        <v>0</v>
      </c>
      <c r="J391" t="s">
        <v>917</v>
      </c>
      <c r="K391" t="s">
        <v>8</v>
      </c>
      <c r="L391" t="s">
        <v>18</v>
      </c>
      <c r="M391" t="s">
        <v>9</v>
      </c>
      <c r="N391" t="s">
        <v>14</v>
      </c>
      <c r="O391" s="2">
        <v>-1.94</v>
      </c>
      <c r="P391" s="3">
        <v>0</v>
      </c>
      <c r="Q391" s="1">
        <v>46033</v>
      </c>
      <c r="R391" s="1">
        <v>45992</v>
      </c>
      <c r="S391" s="1">
        <v>46022</v>
      </c>
      <c r="V391" s="8">
        <v>1</v>
      </c>
      <c r="W391" t="s">
        <v>24</v>
      </c>
      <c r="X391" t="s">
        <v>918</v>
      </c>
      <c r="Y391" t="s">
        <v>10</v>
      </c>
      <c r="Z391" t="s">
        <v>11</v>
      </c>
      <c r="AA391">
        <v>62371</v>
      </c>
      <c r="AB391">
        <v>21493271</v>
      </c>
      <c r="AC391">
        <v>1</v>
      </c>
      <c r="AD391" s="8"/>
    </row>
    <row r="392" spans="1:30" x14ac:dyDescent="0.3">
      <c r="A392" t="s">
        <v>1627</v>
      </c>
      <c r="B392">
        <v>1415525</v>
      </c>
      <c r="D392" t="s">
        <v>7</v>
      </c>
      <c r="E392">
        <v>946512</v>
      </c>
      <c r="F392">
        <v>9015884123</v>
      </c>
      <c r="G392">
        <v>409</v>
      </c>
      <c r="H392" t="s">
        <v>445</v>
      </c>
      <c r="I392">
        <v>0</v>
      </c>
      <c r="J392" t="s">
        <v>446</v>
      </c>
      <c r="K392" t="s">
        <v>8</v>
      </c>
      <c r="L392" t="s">
        <v>15</v>
      </c>
      <c r="M392" t="s">
        <v>9</v>
      </c>
      <c r="N392" t="s">
        <v>14</v>
      </c>
      <c r="O392" s="2">
        <v>0</v>
      </c>
      <c r="P392" s="3">
        <v>1219.809</v>
      </c>
      <c r="Q392" s="1">
        <v>46033</v>
      </c>
      <c r="R392" s="1">
        <v>45992</v>
      </c>
      <c r="S392" s="1">
        <v>46022</v>
      </c>
      <c r="V392" s="8">
        <v>1</v>
      </c>
      <c r="W392" t="s">
        <v>24</v>
      </c>
      <c r="X392" t="s">
        <v>447</v>
      </c>
      <c r="Y392" t="s">
        <v>10</v>
      </c>
      <c r="Z392" t="s">
        <v>11</v>
      </c>
      <c r="AA392">
        <v>62371</v>
      </c>
      <c r="AB392">
        <v>17160258</v>
      </c>
      <c r="AC392">
        <v>1</v>
      </c>
      <c r="AD392" s="8"/>
    </row>
    <row r="393" spans="1:30" x14ac:dyDescent="0.3">
      <c r="A393" t="s">
        <v>1627</v>
      </c>
      <c r="B393">
        <v>1415525</v>
      </c>
      <c r="D393" t="s">
        <v>7</v>
      </c>
      <c r="E393">
        <v>946512</v>
      </c>
      <c r="F393">
        <v>9015884123</v>
      </c>
      <c r="G393">
        <v>409</v>
      </c>
      <c r="H393" t="s">
        <v>445</v>
      </c>
      <c r="I393">
        <v>0</v>
      </c>
      <c r="J393" t="s">
        <v>446</v>
      </c>
      <c r="K393" t="s">
        <v>8</v>
      </c>
      <c r="L393" t="s">
        <v>19</v>
      </c>
      <c r="M393" t="s">
        <v>9</v>
      </c>
      <c r="N393" t="s">
        <v>14</v>
      </c>
      <c r="O393" s="2">
        <v>4391.18</v>
      </c>
      <c r="P393" s="3">
        <v>26.914000000000001</v>
      </c>
      <c r="Q393" s="1">
        <v>46033</v>
      </c>
      <c r="R393" s="1">
        <v>45992</v>
      </c>
      <c r="S393" s="1">
        <v>46022</v>
      </c>
      <c r="V393" s="8">
        <v>1</v>
      </c>
      <c r="W393" t="s">
        <v>24</v>
      </c>
      <c r="X393" t="s">
        <v>447</v>
      </c>
      <c r="Y393" t="s">
        <v>10</v>
      </c>
      <c r="Z393" t="s">
        <v>11</v>
      </c>
      <c r="AA393">
        <v>62371</v>
      </c>
      <c r="AB393">
        <v>17160258</v>
      </c>
      <c r="AC393">
        <v>1</v>
      </c>
      <c r="AD393" s="8"/>
    </row>
    <row r="394" spans="1:30" x14ac:dyDescent="0.3">
      <c r="A394" t="s">
        <v>1627</v>
      </c>
      <c r="B394">
        <v>1412653</v>
      </c>
      <c r="D394" t="s">
        <v>7</v>
      </c>
      <c r="E394">
        <v>946411</v>
      </c>
      <c r="F394">
        <v>9015884123</v>
      </c>
      <c r="G394">
        <v>377</v>
      </c>
      <c r="H394" t="s">
        <v>442</v>
      </c>
      <c r="I394">
        <v>0</v>
      </c>
      <c r="J394" t="s">
        <v>443</v>
      </c>
      <c r="K394" t="s">
        <v>8</v>
      </c>
      <c r="L394" t="s">
        <v>15</v>
      </c>
      <c r="M394" t="s">
        <v>9</v>
      </c>
      <c r="N394" t="s">
        <v>14</v>
      </c>
      <c r="O394" s="2">
        <v>0</v>
      </c>
      <c r="P394" s="3">
        <v>681.83699999999999</v>
      </c>
      <c r="Q394" s="1">
        <v>46033</v>
      </c>
      <c r="R394" s="1">
        <v>45992</v>
      </c>
      <c r="S394" s="1">
        <v>46022</v>
      </c>
      <c r="V394" s="8">
        <v>1</v>
      </c>
      <c r="W394" t="s">
        <v>24</v>
      </c>
      <c r="X394" t="s">
        <v>444</v>
      </c>
      <c r="Y394" t="s">
        <v>10</v>
      </c>
      <c r="Z394" t="s">
        <v>11</v>
      </c>
      <c r="AA394">
        <v>62371</v>
      </c>
      <c r="AB394">
        <v>18366704</v>
      </c>
      <c r="AC394">
        <v>1</v>
      </c>
      <c r="AD394" s="8"/>
    </row>
    <row r="395" spans="1:30" x14ac:dyDescent="0.3">
      <c r="A395" t="s">
        <v>1627</v>
      </c>
      <c r="B395">
        <v>1412141</v>
      </c>
      <c r="D395" t="s">
        <v>7</v>
      </c>
      <c r="E395">
        <v>946388</v>
      </c>
      <c r="F395">
        <v>9015884123</v>
      </c>
      <c r="G395">
        <v>368</v>
      </c>
      <c r="H395" t="s">
        <v>919</v>
      </c>
      <c r="I395">
        <v>0</v>
      </c>
      <c r="J395" t="s">
        <v>920</v>
      </c>
      <c r="K395" t="s">
        <v>8</v>
      </c>
      <c r="L395" t="s">
        <v>19</v>
      </c>
      <c r="M395" t="s">
        <v>9</v>
      </c>
      <c r="N395" t="s">
        <v>14</v>
      </c>
      <c r="O395" s="2">
        <v>51626.77</v>
      </c>
      <c r="P395" s="3">
        <v>261.27999999999997</v>
      </c>
      <c r="Q395" s="1">
        <v>46033</v>
      </c>
      <c r="R395" s="1">
        <v>45992</v>
      </c>
      <c r="S395" s="1">
        <v>46022</v>
      </c>
      <c r="V395" s="8">
        <v>1</v>
      </c>
      <c r="W395" t="s">
        <v>24</v>
      </c>
      <c r="X395" t="s">
        <v>921</v>
      </c>
      <c r="Y395" t="s">
        <v>10</v>
      </c>
      <c r="Z395" t="s">
        <v>11</v>
      </c>
      <c r="AA395">
        <v>62371</v>
      </c>
      <c r="AB395">
        <v>18664152</v>
      </c>
      <c r="AC395">
        <v>0</v>
      </c>
      <c r="AD395" s="8"/>
    </row>
    <row r="396" spans="1:30" x14ac:dyDescent="0.3">
      <c r="A396" t="s">
        <v>1627</v>
      </c>
      <c r="B396">
        <v>1415379</v>
      </c>
      <c r="D396" t="s">
        <v>7</v>
      </c>
      <c r="E396">
        <v>946452</v>
      </c>
      <c r="F396">
        <v>9015884123</v>
      </c>
      <c r="G396">
        <v>390</v>
      </c>
      <c r="H396" t="s">
        <v>460</v>
      </c>
      <c r="I396">
        <v>0</v>
      </c>
      <c r="J396" t="s">
        <v>461</v>
      </c>
      <c r="K396" t="s">
        <v>8</v>
      </c>
      <c r="L396" t="s">
        <v>18</v>
      </c>
      <c r="M396" t="s">
        <v>9</v>
      </c>
      <c r="N396" t="s">
        <v>14</v>
      </c>
      <c r="O396" s="2">
        <v>1.57</v>
      </c>
      <c r="P396" s="3">
        <v>0</v>
      </c>
      <c r="Q396" s="1">
        <v>46033</v>
      </c>
      <c r="R396" s="1">
        <v>45992</v>
      </c>
      <c r="S396" s="1">
        <v>46022</v>
      </c>
      <c r="V396" s="8">
        <v>1</v>
      </c>
      <c r="W396" t="s">
        <v>24</v>
      </c>
      <c r="X396" t="s">
        <v>462</v>
      </c>
      <c r="Y396" t="s">
        <v>10</v>
      </c>
      <c r="Z396" t="s">
        <v>11</v>
      </c>
      <c r="AA396">
        <v>62371</v>
      </c>
      <c r="AB396">
        <v>17041405</v>
      </c>
      <c r="AC396">
        <v>0</v>
      </c>
      <c r="AD396" s="8"/>
    </row>
    <row r="397" spans="1:30" x14ac:dyDescent="0.3">
      <c r="A397" t="s">
        <v>1627</v>
      </c>
      <c r="B397">
        <v>1415526</v>
      </c>
      <c r="D397" t="s">
        <v>7</v>
      </c>
      <c r="E397">
        <v>946515</v>
      </c>
      <c r="F397">
        <v>9015884123</v>
      </c>
      <c r="G397">
        <v>410</v>
      </c>
      <c r="H397" t="s">
        <v>922</v>
      </c>
      <c r="I397">
        <v>0</v>
      </c>
      <c r="J397" t="s">
        <v>923</v>
      </c>
      <c r="K397" t="s">
        <v>8</v>
      </c>
      <c r="L397" t="s">
        <v>19</v>
      </c>
      <c r="M397" t="s">
        <v>9</v>
      </c>
      <c r="N397" t="s">
        <v>14</v>
      </c>
      <c r="O397" s="2">
        <v>6162.73</v>
      </c>
      <c r="P397" s="3">
        <v>37.771999999999998</v>
      </c>
      <c r="Q397" s="1">
        <v>46033</v>
      </c>
      <c r="R397" s="1">
        <v>45992</v>
      </c>
      <c r="S397" s="1">
        <v>46022</v>
      </c>
      <c r="V397" s="8">
        <v>1</v>
      </c>
      <c r="W397" t="s">
        <v>24</v>
      </c>
      <c r="X397" t="s">
        <v>924</v>
      </c>
      <c r="Y397" t="s">
        <v>189</v>
      </c>
      <c r="Z397" t="s">
        <v>11</v>
      </c>
      <c r="AA397">
        <v>62371</v>
      </c>
      <c r="AB397">
        <v>21145461</v>
      </c>
      <c r="AC397">
        <v>1</v>
      </c>
      <c r="AD397" s="8"/>
    </row>
    <row r="398" spans="1:30" x14ac:dyDescent="0.3">
      <c r="A398" t="s">
        <v>1627</v>
      </c>
      <c r="B398">
        <v>1415539</v>
      </c>
      <c r="D398" t="s">
        <v>7</v>
      </c>
      <c r="E398">
        <v>946557</v>
      </c>
      <c r="F398">
        <v>9015884123</v>
      </c>
      <c r="G398">
        <v>422</v>
      </c>
      <c r="H398" t="s">
        <v>925</v>
      </c>
      <c r="I398">
        <v>0</v>
      </c>
      <c r="J398" t="s">
        <v>926</v>
      </c>
      <c r="K398" t="s">
        <v>8</v>
      </c>
      <c r="L398" t="s">
        <v>67</v>
      </c>
      <c r="M398" t="s">
        <v>9</v>
      </c>
      <c r="N398" t="s">
        <v>14</v>
      </c>
      <c r="O398" s="2">
        <v>7076200.54</v>
      </c>
      <c r="P398" s="3">
        <v>86122.778000000006</v>
      </c>
      <c r="Q398" s="1">
        <v>46033</v>
      </c>
      <c r="R398" s="1">
        <v>45992</v>
      </c>
      <c r="S398" s="1">
        <v>46022</v>
      </c>
      <c r="V398" s="8">
        <v>2</v>
      </c>
      <c r="W398" t="s">
        <v>24</v>
      </c>
      <c r="X398" t="s">
        <v>927</v>
      </c>
      <c r="Y398" t="s">
        <v>10</v>
      </c>
      <c r="Z398" t="s">
        <v>11</v>
      </c>
      <c r="AA398">
        <v>62371</v>
      </c>
      <c r="AB398">
        <v>21378050</v>
      </c>
      <c r="AC398">
        <v>1</v>
      </c>
      <c r="AD398" s="8"/>
    </row>
    <row r="399" spans="1:30" x14ac:dyDescent="0.3">
      <c r="A399" t="s">
        <v>1627</v>
      </c>
      <c r="B399">
        <v>1413683</v>
      </c>
      <c r="D399" t="s">
        <v>7</v>
      </c>
      <c r="E399">
        <v>946573</v>
      </c>
      <c r="F399">
        <v>9015884123</v>
      </c>
      <c r="G399">
        <v>427</v>
      </c>
      <c r="H399" t="s">
        <v>466</v>
      </c>
      <c r="I399">
        <v>0</v>
      </c>
      <c r="J399" t="s">
        <v>467</v>
      </c>
      <c r="K399" t="s">
        <v>8</v>
      </c>
      <c r="L399" t="s">
        <v>67</v>
      </c>
      <c r="M399" t="s">
        <v>9</v>
      </c>
      <c r="N399" t="s">
        <v>14</v>
      </c>
      <c r="O399" s="2">
        <v>312700.15000000002</v>
      </c>
      <c r="P399" s="3">
        <v>2195.4430000000002</v>
      </c>
      <c r="Q399" s="1">
        <v>46033</v>
      </c>
      <c r="R399" s="1">
        <v>45992</v>
      </c>
      <c r="S399" s="1">
        <v>46022</v>
      </c>
      <c r="V399" s="8">
        <v>1</v>
      </c>
      <c r="W399" t="s">
        <v>24</v>
      </c>
      <c r="X399" t="s">
        <v>468</v>
      </c>
      <c r="Y399" t="s">
        <v>10</v>
      </c>
      <c r="Z399" t="s">
        <v>11</v>
      </c>
      <c r="AA399">
        <v>62371</v>
      </c>
      <c r="AB399">
        <v>17066681</v>
      </c>
      <c r="AC399">
        <v>0</v>
      </c>
      <c r="AD399" s="8"/>
    </row>
    <row r="400" spans="1:30" x14ac:dyDescent="0.3">
      <c r="A400" t="s">
        <v>1627</v>
      </c>
      <c r="B400">
        <v>1416891</v>
      </c>
      <c r="D400" t="s">
        <v>7</v>
      </c>
      <c r="E400">
        <v>946583</v>
      </c>
      <c r="F400">
        <v>9015884123</v>
      </c>
      <c r="G400">
        <v>430</v>
      </c>
      <c r="H400" t="s">
        <v>928</v>
      </c>
      <c r="I400">
        <v>0</v>
      </c>
      <c r="J400" t="s">
        <v>929</v>
      </c>
      <c r="K400" t="s">
        <v>8</v>
      </c>
      <c r="L400" t="s">
        <v>15</v>
      </c>
      <c r="M400" t="s">
        <v>9</v>
      </c>
      <c r="N400" t="s">
        <v>14</v>
      </c>
      <c r="O400" s="2">
        <v>0</v>
      </c>
      <c r="P400" s="3">
        <v>1442.3119999999999</v>
      </c>
      <c r="Q400" s="1">
        <v>46033</v>
      </c>
      <c r="R400" s="1">
        <v>45992</v>
      </c>
      <c r="S400" s="1">
        <v>46022</v>
      </c>
      <c r="V400" s="8">
        <v>1</v>
      </c>
      <c r="W400" t="s">
        <v>24</v>
      </c>
      <c r="X400" t="s">
        <v>930</v>
      </c>
      <c r="Y400" t="s">
        <v>10</v>
      </c>
      <c r="Z400" t="s">
        <v>11</v>
      </c>
      <c r="AA400">
        <v>62371</v>
      </c>
      <c r="AB400">
        <v>17032628</v>
      </c>
      <c r="AC400">
        <v>1</v>
      </c>
      <c r="AD400" s="8"/>
    </row>
    <row r="401" spans="1:30" x14ac:dyDescent="0.3">
      <c r="A401" t="s">
        <v>1627</v>
      </c>
      <c r="B401">
        <v>1415538</v>
      </c>
      <c r="D401" t="s">
        <v>7</v>
      </c>
      <c r="E401">
        <v>946547</v>
      </c>
      <c r="F401">
        <v>9015884123</v>
      </c>
      <c r="G401">
        <v>419</v>
      </c>
      <c r="H401" t="s">
        <v>931</v>
      </c>
      <c r="I401">
        <v>0</v>
      </c>
      <c r="J401" t="s">
        <v>932</v>
      </c>
      <c r="K401" t="s">
        <v>8</v>
      </c>
      <c r="L401" t="s">
        <v>19</v>
      </c>
      <c r="M401" t="s">
        <v>9</v>
      </c>
      <c r="N401" t="s">
        <v>14</v>
      </c>
      <c r="O401" s="2">
        <v>13398.56</v>
      </c>
      <c r="P401" s="3">
        <v>105.27</v>
      </c>
      <c r="Q401" s="1">
        <v>46033</v>
      </c>
      <c r="R401" s="1">
        <v>45992</v>
      </c>
      <c r="S401" s="1">
        <v>46022</v>
      </c>
      <c r="V401" s="8">
        <v>2</v>
      </c>
      <c r="W401" t="s">
        <v>24</v>
      </c>
      <c r="X401" t="s">
        <v>933</v>
      </c>
      <c r="Y401" t="s">
        <v>10</v>
      </c>
      <c r="Z401" t="s">
        <v>11</v>
      </c>
      <c r="AA401">
        <v>62371</v>
      </c>
      <c r="AB401">
        <v>18326236</v>
      </c>
      <c r="AC401">
        <v>1</v>
      </c>
      <c r="AD401" s="8"/>
    </row>
    <row r="402" spans="1:30" x14ac:dyDescent="0.3">
      <c r="A402" t="s">
        <v>1627</v>
      </c>
      <c r="B402">
        <v>1418010</v>
      </c>
      <c r="D402" t="s">
        <v>7</v>
      </c>
      <c r="E402">
        <v>946618</v>
      </c>
      <c r="F402">
        <v>9015884123</v>
      </c>
      <c r="G402">
        <v>441</v>
      </c>
      <c r="H402" t="s">
        <v>463</v>
      </c>
      <c r="I402">
        <v>0</v>
      </c>
      <c r="J402" t="s">
        <v>464</v>
      </c>
      <c r="K402" t="s">
        <v>8</v>
      </c>
      <c r="L402" t="s">
        <v>18</v>
      </c>
      <c r="M402" t="s">
        <v>9</v>
      </c>
      <c r="N402" t="s">
        <v>14</v>
      </c>
      <c r="O402" s="2">
        <v>-2.69</v>
      </c>
      <c r="P402" s="3">
        <v>0</v>
      </c>
      <c r="Q402" s="1">
        <v>46033</v>
      </c>
      <c r="R402" s="1">
        <v>45992</v>
      </c>
      <c r="S402" s="1">
        <v>46022</v>
      </c>
      <c r="V402" s="8">
        <v>1</v>
      </c>
      <c r="W402" t="s">
        <v>24</v>
      </c>
      <c r="X402" t="s">
        <v>465</v>
      </c>
      <c r="Y402" t="s">
        <v>10</v>
      </c>
      <c r="Z402" t="s">
        <v>11</v>
      </c>
      <c r="AA402">
        <v>62371</v>
      </c>
      <c r="AB402">
        <v>17037607</v>
      </c>
      <c r="AC402">
        <v>1</v>
      </c>
      <c r="AD402" s="8"/>
    </row>
    <row r="403" spans="1:30" x14ac:dyDescent="0.3">
      <c r="A403" t="s">
        <v>1627</v>
      </c>
      <c r="B403">
        <v>1418013</v>
      </c>
      <c r="D403" t="s">
        <v>7</v>
      </c>
      <c r="E403">
        <v>946628</v>
      </c>
      <c r="F403">
        <v>9015884123</v>
      </c>
      <c r="G403">
        <v>444</v>
      </c>
      <c r="H403" t="s">
        <v>472</v>
      </c>
      <c r="I403">
        <v>0</v>
      </c>
      <c r="J403" t="s">
        <v>473</v>
      </c>
      <c r="K403" t="s">
        <v>8</v>
      </c>
      <c r="L403" t="s">
        <v>19</v>
      </c>
      <c r="M403" t="s">
        <v>9</v>
      </c>
      <c r="N403" t="s">
        <v>14</v>
      </c>
      <c r="O403" s="2">
        <v>41785.72</v>
      </c>
      <c r="P403" s="3">
        <v>211.47499999999999</v>
      </c>
      <c r="Q403" s="1">
        <v>46033</v>
      </c>
      <c r="R403" s="1">
        <v>45992</v>
      </c>
      <c r="S403" s="1">
        <v>46022</v>
      </c>
      <c r="V403" s="8">
        <v>1</v>
      </c>
      <c r="W403" t="s">
        <v>24</v>
      </c>
      <c r="X403" t="s">
        <v>474</v>
      </c>
      <c r="Y403" t="s">
        <v>10</v>
      </c>
      <c r="Z403" t="s">
        <v>11</v>
      </c>
      <c r="AA403">
        <v>62371</v>
      </c>
      <c r="AB403">
        <v>19389799</v>
      </c>
      <c r="AC403">
        <v>0</v>
      </c>
      <c r="AD403" s="8"/>
    </row>
    <row r="404" spans="1:30" x14ac:dyDescent="0.3">
      <c r="A404" t="s">
        <v>1627</v>
      </c>
      <c r="B404">
        <v>1413879</v>
      </c>
      <c r="D404" t="s">
        <v>7</v>
      </c>
      <c r="E404">
        <v>946572</v>
      </c>
      <c r="F404">
        <v>9015884123</v>
      </c>
      <c r="G404">
        <v>426</v>
      </c>
      <c r="H404" t="s">
        <v>934</v>
      </c>
      <c r="I404">
        <v>0</v>
      </c>
      <c r="J404" t="s">
        <v>935</v>
      </c>
      <c r="K404" t="s">
        <v>8</v>
      </c>
      <c r="L404" t="s">
        <v>67</v>
      </c>
      <c r="M404" t="s">
        <v>9</v>
      </c>
      <c r="N404" t="s">
        <v>14</v>
      </c>
      <c r="O404" s="2">
        <v>199229</v>
      </c>
      <c r="P404" s="3">
        <v>1398.771</v>
      </c>
      <c r="Q404" s="1">
        <v>46033</v>
      </c>
      <c r="R404" s="1">
        <v>45992</v>
      </c>
      <c r="S404" s="1">
        <v>46022</v>
      </c>
      <c r="V404" s="8">
        <v>1</v>
      </c>
      <c r="W404" t="s">
        <v>24</v>
      </c>
      <c r="X404" t="s">
        <v>936</v>
      </c>
      <c r="Y404" t="s">
        <v>369</v>
      </c>
      <c r="Z404" t="s">
        <v>11</v>
      </c>
      <c r="AA404">
        <v>62371</v>
      </c>
      <c r="AB404">
        <v>18355282</v>
      </c>
      <c r="AC404">
        <v>0</v>
      </c>
      <c r="AD404" s="8"/>
    </row>
    <row r="405" spans="1:30" x14ac:dyDescent="0.3">
      <c r="A405" t="s">
        <v>1627</v>
      </c>
      <c r="B405">
        <v>1413879</v>
      </c>
      <c r="D405" t="s">
        <v>7</v>
      </c>
      <c r="E405">
        <v>946572</v>
      </c>
      <c r="F405">
        <v>9015884123</v>
      </c>
      <c r="G405">
        <v>426</v>
      </c>
      <c r="H405" t="s">
        <v>934</v>
      </c>
      <c r="I405">
        <v>0</v>
      </c>
      <c r="J405" t="s">
        <v>935</v>
      </c>
      <c r="K405" t="s">
        <v>8</v>
      </c>
      <c r="L405" t="s">
        <v>19</v>
      </c>
      <c r="M405" t="s">
        <v>9</v>
      </c>
      <c r="N405" t="s">
        <v>14</v>
      </c>
      <c r="O405" s="2">
        <v>27.66</v>
      </c>
      <c r="P405" s="3">
        <v>0.14000000000000001</v>
      </c>
      <c r="Q405" s="1">
        <v>46033</v>
      </c>
      <c r="R405" s="1">
        <v>45992</v>
      </c>
      <c r="S405" s="1">
        <v>46022</v>
      </c>
      <c r="V405" s="8">
        <v>1</v>
      </c>
      <c r="W405" t="s">
        <v>24</v>
      </c>
      <c r="X405" t="s">
        <v>936</v>
      </c>
      <c r="Y405" t="s">
        <v>369</v>
      </c>
      <c r="Z405" t="s">
        <v>11</v>
      </c>
      <c r="AA405">
        <v>62371</v>
      </c>
      <c r="AB405">
        <v>18355282</v>
      </c>
      <c r="AC405">
        <v>0</v>
      </c>
      <c r="AD405" s="8"/>
    </row>
    <row r="406" spans="1:30" x14ac:dyDescent="0.3">
      <c r="A406" t="s">
        <v>1627</v>
      </c>
      <c r="B406">
        <v>1418882</v>
      </c>
      <c r="D406" t="s">
        <v>7</v>
      </c>
      <c r="E406">
        <v>946658</v>
      </c>
      <c r="F406">
        <v>9015884123</v>
      </c>
      <c r="G406">
        <v>455</v>
      </c>
      <c r="H406" t="s">
        <v>937</v>
      </c>
      <c r="I406">
        <v>0</v>
      </c>
      <c r="J406" t="s">
        <v>938</v>
      </c>
      <c r="K406" t="s">
        <v>8</v>
      </c>
      <c r="L406" t="s">
        <v>18</v>
      </c>
      <c r="M406" t="s">
        <v>9</v>
      </c>
      <c r="N406" t="s">
        <v>14</v>
      </c>
      <c r="O406" s="2">
        <v>1.56</v>
      </c>
      <c r="P406" s="3">
        <v>0</v>
      </c>
      <c r="Q406" s="1">
        <v>46033</v>
      </c>
      <c r="R406" s="1">
        <v>45992</v>
      </c>
      <c r="S406" s="1">
        <v>46022</v>
      </c>
      <c r="V406" s="8">
        <v>1</v>
      </c>
      <c r="W406" t="s">
        <v>24</v>
      </c>
      <c r="X406" t="s">
        <v>939</v>
      </c>
      <c r="Y406" t="s">
        <v>10</v>
      </c>
      <c r="Z406" t="s">
        <v>11</v>
      </c>
      <c r="AA406">
        <v>62371</v>
      </c>
      <c r="AB406">
        <v>17052542</v>
      </c>
      <c r="AC406">
        <v>1</v>
      </c>
      <c r="AD406" s="8"/>
    </row>
    <row r="407" spans="1:30" x14ac:dyDescent="0.3">
      <c r="A407" t="s">
        <v>1627</v>
      </c>
      <c r="B407">
        <v>1417112</v>
      </c>
      <c r="D407" t="s">
        <v>7</v>
      </c>
      <c r="E407">
        <v>946602</v>
      </c>
      <c r="F407">
        <v>9015884123</v>
      </c>
      <c r="G407">
        <v>436</v>
      </c>
      <c r="H407" t="s">
        <v>940</v>
      </c>
      <c r="I407">
        <v>0</v>
      </c>
      <c r="J407" t="s">
        <v>941</v>
      </c>
      <c r="K407" t="s">
        <v>8</v>
      </c>
      <c r="L407" t="s">
        <v>18</v>
      </c>
      <c r="M407" t="s">
        <v>9</v>
      </c>
      <c r="N407" t="s">
        <v>14</v>
      </c>
      <c r="O407" s="2">
        <v>0.25</v>
      </c>
      <c r="P407" s="3">
        <v>0</v>
      </c>
      <c r="Q407" s="1">
        <v>46033</v>
      </c>
      <c r="R407" s="1">
        <v>45992</v>
      </c>
      <c r="S407" s="1">
        <v>46022</v>
      </c>
      <c r="V407" s="8">
        <v>1</v>
      </c>
      <c r="W407" t="s">
        <v>24</v>
      </c>
      <c r="X407" t="s">
        <v>942</v>
      </c>
      <c r="Y407" t="s">
        <v>10</v>
      </c>
      <c r="Z407" t="s">
        <v>11</v>
      </c>
      <c r="AA407">
        <v>62371</v>
      </c>
      <c r="AB407">
        <v>18631653</v>
      </c>
      <c r="AC407">
        <v>0</v>
      </c>
      <c r="AD407" s="8"/>
    </row>
    <row r="408" spans="1:30" x14ac:dyDescent="0.3">
      <c r="A408" t="s">
        <v>1627</v>
      </c>
      <c r="B408">
        <v>1418882</v>
      </c>
      <c r="D408" t="s">
        <v>7</v>
      </c>
      <c r="E408">
        <v>946658</v>
      </c>
      <c r="F408">
        <v>9015884123</v>
      </c>
      <c r="G408">
        <v>455</v>
      </c>
      <c r="H408" t="s">
        <v>937</v>
      </c>
      <c r="I408">
        <v>0</v>
      </c>
      <c r="J408" t="s">
        <v>938</v>
      </c>
      <c r="K408" t="s">
        <v>8</v>
      </c>
      <c r="L408" t="s">
        <v>15</v>
      </c>
      <c r="M408" t="s">
        <v>9</v>
      </c>
      <c r="N408" t="s">
        <v>14</v>
      </c>
      <c r="O408" s="2">
        <v>0</v>
      </c>
      <c r="P408" s="3">
        <v>1593.752</v>
      </c>
      <c r="Q408" s="1">
        <v>46033</v>
      </c>
      <c r="R408" s="1">
        <v>45992</v>
      </c>
      <c r="S408" s="1">
        <v>46022</v>
      </c>
      <c r="V408" s="8">
        <v>1</v>
      </c>
      <c r="W408" t="s">
        <v>24</v>
      </c>
      <c r="X408" t="s">
        <v>939</v>
      </c>
      <c r="Y408" t="s">
        <v>10</v>
      </c>
      <c r="Z408" t="s">
        <v>11</v>
      </c>
      <c r="AA408">
        <v>62371</v>
      </c>
      <c r="AB408">
        <v>17052542</v>
      </c>
      <c r="AC408">
        <v>1</v>
      </c>
      <c r="AD408" s="8"/>
    </row>
    <row r="409" spans="1:30" x14ac:dyDescent="0.3">
      <c r="A409" t="s">
        <v>1627</v>
      </c>
      <c r="B409">
        <v>1428526</v>
      </c>
      <c r="D409" t="s">
        <v>7</v>
      </c>
      <c r="E409">
        <v>946797</v>
      </c>
      <c r="F409">
        <v>9015884123</v>
      </c>
      <c r="G409">
        <v>500</v>
      </c>
      <c r="H409" t="s">
        <v>943</v>
      </c>
      <c r="I409">
        <v>0</v>
      </c>
      <c r="J409" t="s">
        <v>944</v>
      </c>
      <c r="K409" t="s">
        <v>8</v>
      </c>
      <c r="L409" t="s">
        <v>18</v>
      </c>
      <c r="M409" t="s">
        <v>9</v>
      </c>
      <c r="N409" t="s">
        <v>14</v>
      </c>
      <c r="O409" s="2">
        <v>-2.3199999999999998</v>
      </c>
      <c r="P409" s="3">
        <v>0</v>
      </c>
      <c r="Q409" s="1">
        <v>46033</v>
      </c>
      <c r="R409" s="1">
        <v>45992</v>
      </c>
      <c r="S409" s="1">
        <v>46022</v>
      </c>
      <c r="V409" s="8">
        <v>1</v>
      </c>
      <c r="W409" t="s">
        <v>24</v>
      </c>
      <c r="X409" t="s">
        <v>945</v>
      </c>
      <c r="Y409" t="s">
        <v>10</v>
      </c>
      <c r="Z409" t="s">
        <v>11</v>
      </c>
      <c r="AA409">
        <v>62371</v>
      </c>
      <c r="AB409">
        <v>21376611</v>
      </c>
      <c r="AC409">
        <v>1</v>
      </c>
      <c r="AD409" s="8"/>
    </row>
    <row r="410" spans="1:30" x14ac:dyDescent="0.3">
      <c r="A410" t="s">
        <v>1627</v>
      </c>
      <c r="B410">
        <v>1428429</v>
      </c>
      <c r="D410" t="s">
        <v>7</v>
      </c>
      <c r="E410">
        <v>946741</v>
      </c>
      <c r="F410">
        <v>9015884123</v>
      </c>
      <c r="G410">
        <v>481</v>
      </c>
      <c r="H410" t="s">
        <v>946</v>
      </c>
      <c r="I410">
        <v>0</v>
      </c>
      <c r="J410" t="s">
        <v>947</v>
      </c>
      <c r="K410" t="s">
        <v>8</v>
      </c>
      <c r="L410" t="s">
        <v>19</v>
      </c>
      <c r="M410" t="s">
        <v>9</v>
      </c>
      <c r="N410" t="s">
        <v>14</v>
      </c>
      <c r="O410" s="2">
        <v>2111.89</v>
      </c>
      <c r="P410" s="3">
        <v>12.944000000000001</v>
      </c>
      <c r="Q410" s="1">
        <v>46033</v>
      </c>
      <c r="R410" s="1">
        <v>45992</v>
      </c>
      <c r="S410" s="1">
        <v>46022</v>
      </c>
      <c r="V410" s="8">
        <v>1</v>
      </c>
      <c r="W410" t="s">
        <v>24</v>
      </c>
      <c r="X410" t="s">
        <v>948</v>
      </c>
      <c r="Y410" t="s">
        <v>10</v>
      </c>
      <c r="Z410" t="s">
        <v>11</v>
      </c>
      <c r="AA410">
        <v>62371</v>
      </c>
      <c r="AB410">
        <v>21491294</v>
      </c>
      <c r="AC410">
        <v>1</v>
      </c>
      <c r="AD410" s="8"/>
    </row>
    <row r="411" spans="1:30" x14ac:dyDescent="0.3">
      <c r="A411" t="s">
        <v>1627</v>
      </c>
      <c r="B411">
        <v>1428415</v>
      </c>
      <c r="D411" t="s">
        <v>7</v>
      </c>
      <c r="E411">
        <v>946762</v>
      </c>
      <c r="F411">
        <v>9015884123</v>
      </c>
      <c r="G411">
        <v>488</v>
      </c>
      <c r="H411" t="s">
        <v>499</v>
      </c>
      <c r="I411">
        <v>0</v>
      </c>
      <c r="J411" t="s">
        <v>500</v>
      </c>
      <c r="K411" t="s">
        <v>8</v>
      </c>
      <c r="L411" t="s">
        <v>18</v>
      </c>
      <c r="M411" t="s">
        <v>9</v>
      </c>
      <c r="N411" t="s">
        <v>14</v>
      </c>
      <c r="O411" s="2">
        <v>3.23</v>
      </c>
      <c r="P411" s="3">
        <v>0</v>
      </c>
      <c r="Q411" s="1">
        <v>46033</v>
      </c>
      <c r="R411" s="1">
        <v>45992</v>
      </c>
      <c r="S411" s="1">
        <v>46022</v>
      </c>
      <c r="V411" s="8">
        <v>1</v>
      </c>
      <c r="W411" t="s">
        <v>24</v>
      </c>
      <c r="X411" t="s">
        <v>501</v>
      </c>
      <c r="Y411" t="s">
        <v>10</v>
      </c>
      <c r="Z411" t="s">
        <v>11</v>
      </c>
      <c r="AA411">
        <v>62371</v>
      </c>
      <c r="AB411">
        <v>21376432</v>
      </c>
      <c r="AC411">
        <v>1</v>
      </c>
      <c r="AD411" s="8"/>
    </row>
    <row r="412" spans="1:30" x14ac:dyDescent="0.3">
      <c r="A412" t="s">
        <v>1627</v>
      </c>
      <c r="B412">
        <v>1425189</v>
      </c>
      <c r="D412" t="s">
        <v>7</v>
      </c>
      <c r="E412">
        <v>946708</v>
      </c>
      <c r="F412">
        <v>9015884123</v>
      </c>
      <c r="G412">
        <v>470</v>
      </c>
      <c r="H412" t="s">
        <v>949</v>
      </c>
      <c r="I412">
        <v>0</v>
      </c>
      <c r="J412" t="s">
        <v>950</v>
      </c>
      <c r="K412" t="s">
        <v>8</v>
      </c>
      <c r="L412" t="s">
        <v>19</v>
      </c>
      <c r="M412" t="s">
        <v>9</v>
      </c>
      <c r="N412" t="s">
        <v>14</v>
      </c>
      <c r="O412" s="2">
        <v>5374.03</v>
      </c>
      <c r="P412" s="3">
        <v>32.938000000000002</v>
      </c>
      <c r="Q412" s="1">
        <v>46033</v>
      </c>
      <c r="R412" s="1">
        <v>45992</v>
      </c>
      <c r="S412" s="1">
        <v>46022</v>
      </c>
      <c r="V412" s="8">
        <v>1</v>
      </c>
      <c r="W412" t="s">
        <v>24</v>
      </c>
      <c r="X412" t="s">
        <v>951</v>
      </c>
      <c r="Y412" t="s">
        <v>10</v>
      </c>
      <c r="Z412" t="s">
        <v>11</v>
      </c>
      <c r="AA412">
        <v>62371</v>
      </c>
      <c r="AB412">
        <v>21376635</v>
      </c>
      <c r="AC412">
        <v>1</v>
      </c>
      <c r="AD412" s="8"/>
    </row>
    <row r="413" spans="1:30" x14ac:dyDescent="0.3">
      <c r="A413" t="s">
        <v>1627</v>
      </c>
      <c r="B413">
        <v>1425189</v>
      </c>
      <c r="D413" t="s">
        <v>7</v>
      </c>
      <c r="E413">
        <v>946708</v>
      </c>
      <c r="F413">
        <v>9015884123</v>
      </c>
      <c r="G413">
        <v>470</v>
      </c>
      <c r="H413" t="s">
        <v>949</v>
      </c>
      <c r="I413">
        <v>0</v>
      </c>
      <c r="J413" t="s">
        <v>950</v>
      </c>
      <c r="K413" t="s">
        <v>8</v>
      </c>
      <c r="L413" t="s">
        <v>18</v>
      </c>
      <c r="M413" t="s">
        <v>9</v>
      </c>
      <c r="N413" t="s">
        <v>14</v>
      </c>
      <c r="O413" s="2">
        <v>2.57</v>
      </c>
      <c r="P413" s="3">
        <v>0</v>
      </c>
      <c r="Q413" s="1">
        <v>46033</v>
      </c>
      <c r="R413" s="1">
        <v>45992</v>
      </c>
      <c r="S413" s="1">
        <v>46022</v>
      </c>
      <c r="V413" s="8">
        <v>1</v>
      </c>
      <c r="W413" t="s">
        <v>24</v>
      </c>
      <c r="X413" t="s">
        <v>951</v>
      </c>
      <c r="Y413" t="s">
        <v>10</v>
      </c>
      <c r="Z413" t="s">
        <v>11</v>
      </c>
      <c r="AA413">
        <v>62371</v>
      </c>
      <c r="AB413">
        <v>21376635</v>
      </c>
      <c r="AC413">
        <v>1</v>
      </c>
      <c r="AD413" s="8"/>
    </row>
    <row r="414" spans="1:30" x14ac:dyDescent="0.3">
      <c r="A414" t="s">
        <v>1627</v>
      </c>
      <c r="B414">
        <v>1408277</v>
      </c>
      <c r="D414" t="s">
        <v>7</v>
      </c>
      <c r="E414">
        <v>946812</v>
      </c>
      <c r="F414">
        <v>9015884123</v>
      </c>
      <c r="G414">
        <v>505</v>
      </c>
      <c r="H414" t="s">
        <v>502</v>
      </c>
      <c r="I414">
        <v>0</v>
      </c>
      <c r="J414" t="s">
        <v>503</v>
      </c>
      <c r="K414" t="s">
        <v>8</v>
      </c>
      <c r="L414" t="s">
        <v>19</v>
      </c>
      <c r="M414" t="s">
        <v>9</v>
      </c>
      <c r="N414" t="s">
        <v>14</v>
      </c>
      <c r="O414" s="2">
        <v>20194.64</v>
      </c>
      <c r="P414" s="3">
        <v>123.77500000000001</v>
      </c>
      <c r="Q414" s="1">
        <v>46033</v>
      </c>
      <c r="R414" s="1">
        <v>45992</v>
      </c>
      <c r="S414" s="1">
        <v>46022</v>
      </c>
      <c r="V414" s="8">
        <v>1</v>
      </c>
      <c r="W414" t="s">
        <v>24</v>
      </c>
      <c r="X414" t="s">
        <v>504</v>
      </c>
      <c r="Y414" t="s">
        <v>10</v>
      </c>
      <c r="Z414" t="s">
        <v>11</v>
      </c>
      <c r="AA414">
        <v>62371</v>
      </c>
      <c r="AB414">
        <v>21318496</v>
      </c>
      <c r="AC414">
        <v>1</v>
      </c>
      <c r="AD414" s="8"/>
    </row>
    <row r="415" spans="1:30" x14ac:dyDescent="0.3">
      <c r="A415" t="s">
        <v>1627</v>
      </c>
      <c r="B415">
        <v>1438083</v>
      </c>
      <c r="D415" t="s">
        <v>7</v>
      </c>
      <c r="E415">
        <v>946818</v>
      </c>
      <c r="F415">
        <v>9015884123</v>
      </c>
      <c r="G415">
        <v>507</v>
      </c>
      <c r="H415" t="s">
        <v>952</v>
      </c>
      <c r="I415">
        <v>0</v>
      </c>
      <c r="J415" t="s">
        <v>953</v>
      </c>
      <c r="K415" t="s">
        <v>8</v>
      </c>
      <c r="L415" t="s">
        <v>15</v>
      </c>
      <c r="M415" t="s">
        <v>9</v>
      </c>
      <c r="N415" t="s">
        <v>14</v>
      </c>
      <c r="O415" s="2">
        <v>0</v>
      </c>
      <c r="P415" s="3">
        <v>13317.773999999999</v>
      </c>
      <c r="Q415" s="1">
        <v>46033</v>
      </c>
      <c r="R415" s="1">
        <v>45992</v>
      </c>
      <c r="S415" s="1">
        <v>46022</v>
      </c>
      <c r="V415" s="8">
        <v>1</v>
      </c>
      <c r="W415" t="s">
        <v>24</v>
      </c>
      <c r="X415" t="s">
        <v>954</v>
      </c>
      <c r="Y415" t="s">
        <v>10</v>
      </c>
      <c r="Z415" t="s">
        <v>11</v>
      </c>
      <c r="AA415">
        <v>62371</v>
      </c>
      <c r="AB415">
        <v>19383199</v>
      </c>
      <c r="AC415">
        <v>0</v>
      </c>
      <c r="AD415" s="8"/>
    </row>
    <row r="416" spans="1:30" x14ac:dyDescent="0.3">
      <c r="A416" t="s">
        <v>1627</v>
      </c>
      <c r="B416">
        <v>1438084</v>
      </c>
      <c r="D416" t="s">
        <v>7</v>
      </c>
      <c r="E416">
        <v>946825</v>
      </c>
      <c r="F416">
        <v>9015884123</v>
      </c>
      <c r="G416">
        <v>509</v>
      </c>
      <c r="H416" t="s">
        <v>484</v>
      </c>
      <c r="I416">
        <v>0</v>
      </c>
      <c r="J416" t="s">
        <v>485</v>
      </c>
      <c r="K416" t="s">
        <v>8</v>
      </c>
      <c r="L416" t="s">
        <v>18</v>
      </c>
      <c r="M416" t="s">
        <v>9</v>
      </c>
      <c r="N416" t="s">
        <v>14</v>
      </c>
      <c r="O416" s="2">
        <v>-4.7</v>
      </c>
      <c r="P416" s="3">
        <v>0</v>
      </c>
      <c r="Q416" s="1">
        <v>46033</v>
      </c>
      <c r="R416" s="1">
        <v>45992</v>
      </c>
      <c r="S416" s="1">
        <v>46022</v>
      </c>
      <c r="V416" s="8">
        <v>1</v>
      </c>
      <c r="W416" t="s">
        <v>24</v>
      </c>
      <c r="X416" t="s">
        <v>486</v>
      </c>
      <c r="Y416" t="s">
        <v>10</v>
      </c>
      <c r="Z416" t="s">
        <v>11</v>
      </c>
      <c r="AA416">
        <v>62371</v>
      </c>
      <c r="AB416">
        <v>21467892</v>
      </c>
      <c r="AC416">
        <v>1</v>
      </c>
      <c r="AD416" s="8"/>
    </row>
    <row r="417" spans="1:30" x14ac:dyDescent="0.3">
      <c r="A417" t="s">
        <v>1627</v>
      </c>
      <c r="B417">
        <v>1428404</v>
      </c>
      <c r="D417" t="s">
        <v>7</v>
      </c>
      <c r="E417">
        <v>946732</v>
      </c>
      <c r="F417">
        <v>9015884123</v>
      </c>
      <c r="G417">
        <v>478</v>
      </c>
      <c r="H417" t="s">
        <v>955</v>
      </c>
      <c r="I417">
        <v>0</v>
      </c>
      <c r="J417" t="s">
        <v>956</v>
      </c>
      <c r="K417" t="s">
        <v>8</v>
      </c>
      <c r="L417" t="s">
        <v>19</v>
      </c>
      <c r="M417" t="s">
        <v>9</v>
      </c>
      <c r="N417" t="s">
        <v>14</v>
      </c>
      <c r="O417" s="2">
        <v>1844.97</v>
      </c>
      <c r="P417" s="3">
        <v>11.308</v>
      </c>
      <c r="Q417" s="1">
        <v>46033</v>
      </c>
      <c r="R417" s="1">
        <v>45992</v>
      </c>
      <c r="S417" s="1">
        <v>46022</v>
      </c>
      <c r="V417" s="8">
        <v>1</v>
      </c>
      <c r="W417" t="s">
        <v>24</v>
      </c>
      <c r="X417" t="s">
        <v>957</v>
      </c>
      <c r="Y417" t="s">
        <v>10</v>
      </c>
      <c r="Z417" t="s">
        <v>11</v>
      </c>
      <c r="AA417">
        <v>62371</v>
      </c>
      <c r="AB417">
        <v>21376438</v>
      </c>
      <c r="AC417">
        <v>1</v>
      </c>
      <c r="AD417" s="8"/>
    </row>
    <row r="418" spans="1:30" x14ac:dyDescent="0.3">
      <c r="A418" t="s">
        <v>1627</v>
      </c>
      <c r="B418">
        <v>1428424</v>
      </c>
      <c r="D418" t="s">
        <v>7</v>
      </c>
      <c r="E418">
        <v>946791</v>
      </c>
      <c r="F418">
        <v>9015884123</v>
      </c>
      <c r="G418">
        <v>498</v>
      </c>
      <c r="H418" t="s">
        <v>493</v>
      </c>
      <c r="I418">
        <v>0</v>
      </c>
      <c r="J418" t="s">
        <v>494</v>
      </c>
      <c r="K418" t="s">
        <v>8</v>
      </c>
      <c r="L418" t="s">
        <v>15</v>
      </c>
      <c r="M418" t="s">
        <v>9</v>
      </c>
      <c r="N418" t="s">
        <v>14</v>
      </c>
      <c r="O418" s="2">
        <v>0</v>
      </c>
      <c r="P418" s="3">
        <v>0</v>
      </c>
      <c r="Q418" s="1">
        <v>46033</v>
      </c>
      <c r="R418" s="1">
        <v>45992</v>
      </c>
      <c r="S418" s="1">
        <v>46022</v>
      </c>
      <c r="V418" s="8">
        <v>1</v>
      </c>
      <c r="W418" t="s">
        <v>24</v>
      </c>
      <c r="X418" t="s">
        <v>495</v>
      </c>
      <c r="Y418" t="s">
        <v>10</v>
      </c>
      <c r="Z418" t="s">
        <v>11</v>
      </c>
      <c r="AA418">
        <v>62371</v>
      </c>
      <c r="AB418">
        <v>21376440</v>
      </c>
      <c r="AC418">
        <v>1</v>
      </c>
      <c r="AD418" s="8"/>
    </row>
    <row r="419" spans="1:30" x14ac:dyDescent="0.3">
      <c r="A419" t="s">
        <v>1627</v>
      </c>
      <c r="B419">
        <v>1428437</v>
      </c>
      <c r="D419" t="s">
        <v>7</v>
      </c>
      <c r="E419">
        <v>946794</v>
      </c>
      <c r="F419">
        <v>9015884123</v>
      </c>
      <c r="G419">
        <v>499</v>
      </c>
      <c r="H419" t="s">
        <v>517</v>
      </c>
      <c r="I419">
        <v>0</v>
      </c>
      <c r="J419" t="s">
        <v>518</v>
      </c>
      <c r="K419" t="s">
        <v>8</v>
      </c>
      <c r="L419" t="s">
        <v>18</v>
      </c>
      <c r="M419" t="s">
        <v>9</v>
      </c>
      <c r="N419" t="s">
        <v>14</v>
      </c>
      <c r="O419" s="2">
        <v>0.84</v>
      </c>
      <c r="P419" s="3">
        <v>0</v>
      </c>
      <c r="Q419" s="1">
        <v>46033</v>
      </c>
      <c r="R419" s="1">
        <v>45992</v>
      </c>
      <c r="S419" s="1">
        <v>46022</v>
      </c>
      <c r="V419" s="8">
        <v>1</v>
      </c>
      <c r="W419" t="s">
        <v>24</v>
      </c>
      <c r="X419" t="s">
        <v>519</v>
      </c>
      <c r="Y419" t="s">
        <v>10</v>
      </c>
      <c r="Z419" t="s">
        <v>11</v>
      </c>
      <c r="AA419">
        <v>62371</v>
      </c>
      <c r="AB419">
        <v>21491290</v>
      </c>
      <c r="AC419">
        <v>1</v>
      </c>
      <c r="AD419" s="8"/>
    </row>
    <row r="420" spans="1:30" x14ac:dyDescent="0.3">
      <c r="A420" t="s">
        <v>1627</v>
      </c>
      <c r="B420">
        <v>1428526</v>
      </c>
      <c r="D420" t="s">
        <v>7</v>
      </c>
      <c r="E420">
        <v>946797</v>
      </c>
      <c r="F420">
        <v>9015884123</v>
      </c>
      <c r="G420">
        <v>500</v>
      </c>
      <c r="H420" t="s">
        <v>943</v>
      </c>
      <c r="I420">
        <v>0</v>
      </c>
      <c r="J420" t="s">
        <v>944</v>
      </c>
      <c r="K420" t="s">
        <v>8</v>
      </c>
      <c r="L420" t="s">
        <v>15</v>
      </c>
      <c r="M420" t="s">
        <v>9</v>
      </c>
      <c r="N420" t="s">
        <v>14</v>
      </c>
      <c r="O420" s="2">
        <v>0</v>
      </c>
      <c r="P420" s="3">
        <v>2322.0909999999999</v>
      </c>
      <c r="Q420" s="1">
        <v>46033</v>
      </c>
      <c r="R420" s="1">
        <v>45992</v>
      </c>
      <c r="S420" s="1">
        <v>46022</v>
      </c>
      <c r="V420" s="8">
        <v>1</v>
      </c>
      <c r="W420" t="s">
        <v>24</v>
      </c>
      <c r="X420" t="s">
        <v>945</v>
      </c>
      <c r="Y420" t="s">
        <v>10</v>
      </c>
      <c r="Z420" t="s">
        <v>11</v>
      </c>
      <c r="AA420">
        <v>62371</v>
      </c>
      <c r="AB420">
        <v>21376611</v>
      </c>
      <c r="AC420">
        <v>1</v>
      </c>
      <c r="AD420" s="8"/>
    </row>
    <row r="421" spans="1:30" x14ac:dyDescent="0.3">
      <c r="A421" t="s">
        <v>1627</v>
      </c>
      <c r="B421">
        <v>1428427</v>
      </c>
      <c r="D421" t="s">
        <v>7</v>
      </c>
      <c r="E421">
        <v>946738</v>
      </c>
      <c r="F421">
        <v>9015884123</v>
      </c>
      <c r="G421">
        <v>480</v>
      </c>
      <c r="H421" t="s">
        <v>958</v>
      </c>
      <c r="I421">
        <v>0</v>
      </c>
      <c r="J421" t="s">
        <v>959</v>
      </c>
      <c r="K421" t="s">
        <v>8</v>
      </c>
      <c r="L421" t="s">
        <v>15</v>
      </c>
      <c r="M421" t="s">
        <v>9</v>
      </c>
      <c r="N421" t="s">
        <v>14</v>
      </c>
      <c r="O421" s="2">
        <v>0</v>
      </c>
      <c r="P421" s="3">
        <v>2280.7460000000001</v>
      </c>
      <c r="Q421" s="1">
        <v>46033</v>
      </c>
      <c r="R421" s="1">
        <v>45992</v>
      </c>
      <c r="S421" s="1">
        <v>46022</v>
      </c>
      <c r="V421" s="8">
        <v>1</v>
      </c>
      <c r="W421" t="s">
        <v>24</v>
      </c>
      <c r="X421" t="s">
        <v>960</v>
      </c>
      <c r="Y421" t="s">
        <v>10</v>
      </c>
      <c r="Z421" t="s">
        <v>11</v>
      </c>
      <c r="AA421">
        <v>62371</v>
      </c>
      <c r="AB421">
        <v>21491306</v>
      </c>
      <c r="AC421">
        <v>1</v>
      </c>
      <c r="AD421" s="8"/>
    </row>
    <row r="422" spans="1:30" x14ac:dyDescent="0.3">
      <c r="A422" t="s">
        <v>1627</v>
      </c>
      <c r="B422">
        <v>1428434</v>
      </c>
      <c r="D422" t="s">
        <v>7</v>
      </c>
      <c r="E422">
        <v>946756</v>
      </c>
      <c r="F422">
        <v>9015884123</v>
      </c>
      <c r="G422">
        <v>486</v>
      </c>
      <c r="H422" t="s">
        <v>961</v>
      </c>
      <c r="I422">
        <v>0</v>
      </c>
      <c r="J422" t="s">
        <v>962</v>
      </c>
      <c r="K422" t="s">
        <v>8</v>
      </c>
      <c r="L422" t="s">
        <v>67</v>
      </c>
      <c r="M422" t="s">
        <v>9</v>
      </c>
      <c r="N422" t="s">
        <v>14</v>
      </c>
      <c r="O422" s="2">
        <v>0</v>
      </c>
      <c r="P422" s="3">
        <v>0</v>
      </c>
      <c r="Q422" s="1">
        <v>46033</v>
      </c>
      <c r="R422" s="1">
        <v>45992</v>
      </c>
      <c r="S422" s="1">
        <v>46022</v>
      </c>
      <c r="V422" s="8">
        <v>1</v>
      </c>
      <c r="W422" t="s">
        <v>24</v>
      </c>
      <c r="X422" t="s">
        <v>963</v>
      </c>
      <c r="Y422" t="s">
        <v>10</v>
      </c>
      <c r="Z422" t="s">
        <v>11</v>
      </c>
      <c r="AA422">
        <v>62371</v>
      </c>
      <c r="AB422">
        <v>21491289</v>
      </c>
      <c r="AC422">
        <v>1</v>
      </c>
      <c r="AD422" s="8"/>
    </row>
    <row r="423" spans="1:30" x14ac:dyDescent="0.3">
      <c r="A423" t="s">
        <v>1627</v>
      </c>
      <c r="B423">
        <v>1428425</v>
      </c>
      <c r="D423" t="s">
        <v>7</v>
      </c>
      <c r="E423">
        <v>946778</v>
      </c>
      <c r="F423">
        <v>9015884123</v>
      </c>
      <c r="G423">
        <v>494</v>
      </c>
      <c r="H423" t="s">
        <v>964</v>
      </c>
      <c r="I423">
        <v>0</v>
      </c>
      <c r="J423" t="s">
        <v>965</v>
      </c>
      <c r="K423" t="s">
        <v>8</v>
      </c>
      <c r="L423" t="s">
        <v>19</v>
      </c>
      <c r="M423" t="s">
        <v>9</v>
      </c>
      <c r="N423" t="s">
        <v>14</v>
      </c>
      <c r="O423" s="2">
        <v>6029.71</v>
      </c>
      <c r="P423" s="3">
        <v>30.515999999999998</v>
      </c>
      <c r="Q423" s="1">
        <v>46033</v>
      </c>
      <c r="R423" s="1">
        <v>45992</v>
      </c>
      <c r="S423" s="1">
        <v>46022</v>
      </c>
      <c r="V423" s="8">
        <v>1</v>
      </c>
      <c r="W423" t="s">
        <v>24</v>
      </c>
      <c r="X423" t="s">
        <v>966</v>
      </c>
      <c r="Y423" t="s">
        <v>10</v>
      </c>
      <c r="Z423" t="s">
        <v>11</v>
      </c>
      <c r="AA423">
        <v>62371</v>
      </c>
      <c r="AB423">
        <v>21512919</v>
      </c>
      <c r="AC423">
        <v>0</v>
      </c>
      <c r="AD423" s="8"/>
    </row>
    <row r="424" spans="1:30" x14ac:dyDescent="0.3">
      <c r="A424" t="s">
        <v>1627</v>
      </c>
      <c r="B424">
        <v>1428401</v>
      </c>
      <c r="D424" t="s">
        <v>7</v>
      </c>
      <c r="E424">
        <v>946718</v>
      </c>
      <c r="F424">
        <v>9015884123</v>
      </c>
      <c r="G424">
        <v>474</v>
      </c>
      <c r="H424" t="s">
        <v>967</v>
      </c>
      <c r="I424">
        <v>0</v>
      </c>
      <c r="J424" t="s">
        <v>968</v>
      </c>
      <c r="K424" t="s">
        <v>8</v>
      </c>
      <c r="L424" t="s">
        <v>19</v>
      </c>
      <c r="M424" t="s">
        <v>9</v>
      </c>
      <c r="N424" t="s">
        <v>14</v>
      </c>
      <c r="O424" s="2">
        <v>4790.26</v>
      </c>
      <c r="P424" s="3">
        <v>29.36</v>
      </c>
      <c r="Q424" s="1">
        <v>46033</v>
      </c>
      <c r="R424" s="1">
        <v>45992</v>
      </c>
      <c r="S424" s="1">
        <v>46022</v>
      </c>
      <c r="V424" s="8">
        <v>1</v>
      </c>
      <c r="W424" t="s">
        <v>24</v>
      </c>
      <c r="X424" t="s">
        <v>969</v>
      </c>
      <c r="Y424" t="s">
        <v>10</v>
      </c>
      <c r="Z424" t="s">
        <v>11</v>
      </c>
      <c r="AA424">
        <v>62371</v>
      </c>
      <c r="AB424">
        <v>21376398</v>
      </c>
      <c r="AC424">
        <v>1</v>
      </c>
      <c r="AD424" s="8"/>
    </row>
    <row r="425" spans="1:30" x14ac:dyDescent="0.3">
      <c r="A425" t="s">
        <v>1627</v>
      </c>
      <c r="B425">
        <v>1428405</v>
      </c>
      <c r="D425" t="s">
        <v>7</v>
      </c>
      <c r="E425">
        <v>946735</v>
      </c>
      <c r="F425">
        <v>9015884123</v>
      </c>
      <c r="G425">
        <v>479</v>
      </c>
      <c r="H425" t="s">
        <v>505</v>
      </c>
      <c r="I425">
        <v>0</v>
      </c>
      <c r="J425" t="s">
        <v>506</v>
      </c>
      <c r="K425" t="s">
        <v>8</v>
      </c>
      <c r="L425" t="s">
        <v>15</v>
      </c>
      <c r="M425" t="s">
        <v>9</v>
      </c>
      <c r="N425" t="s">
        <v>14</v>
      </c>
      <c r="O425" s="2">
        <v>0</v>
      </c>
      <c r="P425" s="3">
        <v>2429.5309999999999</v>
      </c>
      <c r="Q425" s="1">
        <v>46033</v>
      </c>
      <c r="R425" s="1">
        <v>45992</v>
      </c>
      <c r="S425" s="1">
        <v>46022</v>
      </c>
      <c r="V425" s="8">
        <v>1</v>
      </c>
      <c r="W425" t="s">
        <v>24</v>
      </c>
      <c r="X425" t="s">
        <v>507</v>
      </c>
      <c r="Y425" t="s">
        <v>10</v>
      </c>
      <c r="Z425" t="s">
        <v>11</v>
      </c>
      <c r="AA425">
        <v>62371</v>
      </c>
      <c r="AB425">
        <v>21376434</v>
      </c>
      <c r="AC425">
        <v>1</v>
      </c>
      <c r="AD425" s="8"/>
    </row>
    <row r="426" spans="1:30" x14ac:dyDescent="0.3">
      <c r="A426" t="s">
        <v>1627</v>
      </c>
      <c r="B426">
        <v>1428405</v>
      </c>
      <c r="D426" t="s">
        <v>7</v>
      </c>
      <c r="E426">
        <v>946735</v>
      </c>
      <c r="F426">
        <v>9015884123</v>
      </c>
      <c r="G426">
        <v>479</v>
      </c>
      <c r="H426" t="s">
        <v>505</v>
      </c>
      <c r="I426">
        <v>0</v>
      </c>
      <c r="J426" t="s">
        <v>506</v>
      </c>
      <c r="K426" t="s">
        <v>8</v>
      </c>
      <c r="L426" t="s">
        <v>18</v>
      </c>
      <c r="M426" t="s">
        <v>9</v>
      </c>
      <c r="N426" t="s">
        <v>14</v>
      </c>
      <c r="O426" s="2">
        <v>1.3</v>
      </c>
      <c r="P426" s="3">
        <v>0</v>
      </c>
      <c r="Q426" s="1">
        <v>46033</v>
      </c>
      <c r="R426" s="1">
        <v>45992</v>
      </c>
      <c r="S426" s="1">
        <v>46022</v>
      </c>
      <c r="V426" s="8">
        <v>1</v>
      </c>
      <c r="W426" t="s">
        <v>24</v>
      </c>
      <c r="X426" t="s">
        <v>507</v>
      </c>
      <c r="Y426" t="s">
        <v>10</v>
      </c>
      <c r="Z426" t="s">
        <v>11</v>
      </c>
      <c r="AA426">
        <v>62371</v>
      </c>
      <c r="AB426">
        <v>21376434</v>
      </c>
      <c r="AC426">
        <v>1</v>
      </c>
      <c r="AD426" s="8"/>
    </row>
    <row r="427" spans="1:30" x14ac:dyDescent="0.3">
      <c r="A427" t="s">
        <v>1627</v>
      </c>
      <c r="B427">
        <v>1428408</v>
      </c>
      <c r="D427" t="s">
        <v>7</v>
      </c>
      <c r="E427">
        <v>946753</v>
      </c>
      <c r="F427">
        <v>9015884123</v>
      </c>
      <c r="G427">
        <v>485</v>
      </c>
      <c r="H427" t="s">
        <v>970</v>
      </c>
      <c r="I427">
        <v>0</v>
      </c>
      <c r="J427" t="s">
        <v>971</v>
      </c>
      <c r="K427" t="s">
        <v>8</v>
      </c>
      <c r="L427" t="s">
        <v>15</v>
      </c>
      <c r="M427" t="s">
        <v>9</v>
      </c>
      <c r="N427" t="s">
        <v>14</v>
      </c>
      <c r="O427" s="2">
        <v>0</v>
      </c>
      <c r="P427" s="3">
        <v>2740.3980000000001</v>
      </c>
      <c r="Q427" s="1">
        <v>46033</v>
      </c>
      <c r="R427" s="1">
        <v>45992</v>
      </c>
      <c r="S427" s="1">
        <v>46022</v>
      </c>
      <c r="V427" s="8">
        <v>1</v>
      </c>
      <c r="W427" t="s">
        <v>24</v>
      </c>
      <c r="X427" t="s">
        <v>972</v>
      </c>
      <c r="Y427" t="s">
        <v>10</v>
      </c>
      <c r="Z427" t="s">
        <v>11</v>
      </c>
      <c r="AA427">
        <v>62371</v>
      </c>
      <c r="AB427">
        <v>21376442</v>
      </c>
      <c r="AC427">
        <v>1</v>
      </c>
      <c r="AD427" s="8"/>
    </row>
    <row r="428" spans="1:30" x14ac:dyDescent="0.3">
      <c r="A428" t="s">
        <v>1627</v>
      </c>
      <c r="B428">
        <v>1428408</v>
      </c>
      <c r="D428" t="s">
        <v>7</v>
      </c>
      <c r="E428">
        <v>946753</v>
      </c>
      <c r="F428">
        <v>9015884123</v>
      </c>
      <c r="G428">
        <v>485</v>
      </c>
      <c r="H428" t="s">
        <v>970</v>
      </c>
      <c r="I428">
        <v>0</v>
      </c>
      <c r="J428" t="s">
        <v>971</v>
      </c>
      <c r="K428" t="s">
        <v>8</v>
      </c>
      <c r="L428" t="s">
        <v>67</v>
      </c>
      <c r="M428" t="s">
        <v>9</v>
      </c>
      <c r="N428" t="s">
        <v>14</v>
      </c>
      <c r="O428" s="2">
        <v>295951.34000000003</v>
      </c>
      <c r="P428" s="3">
        <v>2740.3980000000001</v>
      </c>
      <c r="Q428" s="1">
        <v>46033</v>
      </c>
      <c r="R428" s="1">
        <v>45992</v>
      </c>
      <c r="S428" s="1">
        <v>46022</v>
      </c>
      <c r="V428" s="8">
        <v>1</v>
      </c>
      <c r="W428" t="s">
        <v>24</v>
      </c>
      <c r="X428" t="s">
        <v>972</v>
      </c>
      <c r="Y428" t="s">
        <v>10</v>
      </c>
      <c r="Z428" t="s">
        <v>11</v>
      </c>
      <c r="AA428">
        <v>62371</v>
      </c>
      <c r="AB428">
        <v>21376442</v>
      </c>
      <c r="AC428">
        <v>1</v>
      </c>
      <c r="AD428" s="8"/>
    </row>
    <row r="429" spans="1:30" x14ac:dyDescent="0.3">
      <c r="A429" t="s">
        <v>1627</v>
      </c>
      <c r="B429">
        <v>1443050</v>
      </c>
      <c r="D429" t="s">
        <v>7</v>
      </c>
      <c r="E429">
        <v>946838</v>
      </c>
      <c r="F429">
        <v>9015884123</v>
      </c>
      <c r="G429">
        <v>514</v>
      </c>
      <c r="H429" t="s">
        <v>973</v>
      </c>
      <c r="I429">
        <v>0</v>
      </c>
      <c r="J429" t="s">
        <v>974</v>
      </c>
      <c r="K429" t="s">
        <v>8</v>
      </c>
      <c r="L429" t="s">
        <v>19</v>
      </c>
      <c r="M429" t="s">
        <v>9</v>
      </c>
      <c r="N429" t="s">
        <v>14</v>
      </c>
      <c r="O429" s="2">
        <v>5942.14</v>
      </c>
      <c r="P429" s="3">
        <v>36.42</v>
      </c>
      <c r="Q429" s="1">
        <v>46033</v>
      </c>
      <c r="R429" s="1">
        <v>45992</v>
      </c>
      <c r="S429" s="1">
        <v>46022</v>
      </c>
      <c r="V429" s="8">
        <v>1</v>
      </c>
      <c r="W429" t="s">
        <v>24</v>
      </c>
      <c r="X429" t="s">
        <v>975</v>
      </c>
      <c r="Y429" t="s">
        <v>10</v>
      </c>
      <c r="Z429" t="s">
        <v>11</v>
      </c>
      <c r="AA429">
        <v>62371</v>
      </c>
      <c r="AB429">
        <v>19897494</v>
      </c>
      <c r="AC429">
        <v>1</v>
      </c>
      <c r="AD429" s="8"/>
    </row>
    <row r="430" spans="1:30" x14ac:dyDescent="0.3">
      <c r="A430" t="s">
        <v>1627</v>
      </c>
      <c r="B430">
        <v>1443052</v>
      </c>
      <c r="D430" t="s">
        <v>7</v>
      </c>
      <c r="E430">
        <v>946853</v>
      </c>
      <c r="F430">
        <v>9015884123</v>
      </c>
      <c r="G430">
        <v>518</v>
      </c>
      <c r="H430" t="s">
        <v>976</v>
      </c>
      <c r="I430">
        <v>0</v>
      </c>
      <c r="J430" t="s">
        <v>977</v>
      </c>
      <c r="K430" t="s">
        <v>8</v>
      </c>
      <c r="L430" t="s">
        <v>19</v>
      </c>
      <c r="M430" t="s">
        <v>9</v>
      </c>
      <c r="N430" t="s">
        <v>14</v>
      </c>
      <c r="O430" s="2">
        <v>18596.55</v>
      </c>
      <c r="P430" s="3">
        <v>94.116</v>
      </c>
      <c r="Q430" s="1">
        <v>46033</v>
      </c>
      <c r="R430" s="1">
        <v>45992</v>
      </c>
      <c r="S430" s="1">
        <v>46022</v>
      </c>
      <c r="V430" s="8">
        <v>1</v>
      </c>
      <c r="W430" t="s">
        <v>24</v>
      </c>
      <c r="X430" t="s">
        <v>978</v>
      </c>
      <c r="Y430" t="s">
        <v>10</v>
      </c>
      <c r="Z430" t="s">
        <v>11</v>
      </c>
      <c r="AA430">
        <v>62371</v>
      </c>
      <c r="AB430">
        <v>19770738</v>
      </c>
      <c r="AC430">
        <v>0</v>
      </c>
      <c r="AD430" s="8"/>
    </row>
    <row r="431" spans="1:30" x14ac:dyDescent="0.3">
      <c r="A431" t="s">
        <v>1627</v>
      </c>
      <c r="B431">
        <v>1444791</v>
      </c>
      <c r="D431" t="s">
        <v>7</v>
      </c>
      <c r="E431">
        <v>946862</v>
      </c>
      <c r="F431">
        <v>9015884123</v>
      </c>
      <c r="G431">
        <v>521</v>
      </c>
      <c r="H431" t="s">
        <v>526</v>
      </c>
      <c r="I431">
        <v>0</v>
      </c>
      <c r="J431" t="s">
        <v>527</v>
      </c>
      <c r="K431" t="s">
        <v>8</v>
      </c>
      <c r="L431" t="s">
        <v>18</v>
      </c>
      <c r="M431" t="s">
        <v>9</v>
      </c>
      <c r="N431" t="s">
        <v>14</v>
      </c>
      <c r="O431" s="2">
        <v>1.56</v>
      </c>
      <c r="P431" s="3">
        <v>0</v>
      </c>
      <c r="Q431" s="1">
        <v>46033</v>
      </c>
      <c r="R431" s="1">
        <v>45992</v>
      </c>
      <c r="S431" s="1">
        <v>46022</v>
      </c>
      <c r="V431" s="8">
        <v>2</v>
      </c>
      <c r="W431" t="s">
        <v>24</v>
      </c>
      <c r="X431" t="s">
        <v>528</v>
      </c>
      <c r="Y431" t="s">
        <v>10</v>
      </c>
      <c r="Z431" t="s">
        <v>11</v>
      </c>
      <c r="AA431">
        <v>62371</v>
      </c>
      <c r="AB431">
        <v>17055446</v>
      </c>
      <c r="AC431">
        <v>1</v>
      </c>
      <c r="AD431" s="8"/>
    </row>
    <row r="432" spans="1:30" x14ac:dyDescent="0.3">
      <c r="A432" t="s">
        <v>1627</v>
      </c>
      <c r="B432">
        <v>1446204</v>
      </c>
      <c r="D432" t="s">
        <v>7</v>
      </c>
      <c r="E432">
        <v>946894</v>
      </c>
      <c r="F432">
        <v>9015884123</v>
      </c>
      <c r="G432">
        <v>529</v>
      </c>
      <c r="H432" t="s">
        <v>979</v>
      </c>
      <c r="I432">
        <v>0</v>
      </c>
      <c r="J432" t="s">
        <v>980</v>
      </c>
      <c r="K432" t="s">
        <v>8</v>
      </c>
      <c r="L432" t="s">
        <v>19</v>
      </c>
      <c r="M432" t="s">
        <v>9</v>
      </c>
      <c r="N432" t="s">
        <v>14</v>
      </c>
      <c r="O432" s="2">
        <v>64709.91</v>
      </c>
      <c r="P432" s="3">
        <v>327.49299999999999</v>
      </c>
      <c r="Q432" s="1">
        <v>46033</v>
      </c>
      <c r="R432" s="1">
        <v>45992</v>
      </c>
      <c r="S432" s="1">
        <v>46022</v>
      </c>
      <c r="V432" s="8">
        <v>1</v>
      </c>
      <c r="W432" t="s">
        <v>24</v>
      </c>
      <c r="X432" t="s">
        <v>981</v>
      </c>
      <c r="Y432" t="s">
        <v>10</v>
      </c>
      <c r="Z432" t="s">
        <v>11</v>
      </c>
      <c r="AA432">
        <v>62371</v>
      </c>
      <c r="AB432">
        <v>19389550</v>
      </c>
      <c r="AC432">
        <v>0</v>
      </c>
      <c r="AD432" s="8"/>
    </row>
    <row r="433" spans="1:30" x14ac:dyDescent="0.3">
      <c r="A433" t="s">
        <v>1627</v>
      </c>
      <c r="B433">
        <v>1288986</v>
      </c>
      <c r="D433" t="s">
        <v>7</v>
      </c>
      <c r="E433">
        <v>945292</v>
      </c>
      <c r="F433">
        <v>9015884123</v>
      </c>
      <c r="G433">
        <v>8</v>
      </c>
      <c r="H433" t="s">
        <v>982</v>
      </c>
      <c r="I433">
        <v>0</v>
      </c>
      <c r="J433" t="s">
        <v>983</v>
      </c>
      <c r="K433" t="s">
        <v>8</v>
      </c>
      <c r="L433" t="s">
        <v>67</v>
      </c>
      <c r="M433" t="s">
        <v>9</v>
      </c>
      <c r="N433" t="s">
        <v>14</v>
      </c>
      <c r="O433" s="2">
        <v>522349.09</v>
      </c>
      <c r="P433" s="3">
        <v>4836.7560000000003</v>
      </c>
      <c r="Q433" s="1">
        <v>46033</v>
      </c>
      <c r="R433" s="1">
        <v>45992</v>
      </c>
      <c r="S433" s="1">
        <v>46022</v>
      </c>
      <c r="V433" s="8">
        <v>1</v>
      </c>
      <c r="W433" t="s">
        <v>24</v>
      </c>
      <c r="X433" t="s">
        <v>984</v>
      </c>
      <c r="Y433" t="s">
        <v>10</v>
      </c>
      <c r="Z433" t="s">
        <v>11</v>
      </c>
      <c r="AA433">
        <v>62371</v>
      </c>
      <c r="AB433">
        <v>17037609</v>
      </c>
      <c r="AC433">
        <v>1</v>
      </c>
      <c r="AD433" s="8"/>
    </row>
    <row r="434" spans="1:30" x14ac:dyDescent="0.3">
      <c r="A434" t="s">
        <v>1627</v>
      </c>
      <c r="B434">
        <v>1281726</v>
      </c>
      <c r="D434" t="s">
        <v>7</v>
      </c>
      <c r="E434">
        <v>945136</v>
      </c>
      <c r="F434">
        <v>9015884123</v>
      </c>
      <c r="G434">
        <v>2</v>
      </c>
      <c r="H434" t="s">
        <v>985</v>
      </c>
      <c r="I434">
        <v>0</v>
      </c>
      <c r="J434" t="s">
        <v>986</v>
      </c>
      <c r="K434" t="s">
        <v>8</v>
      </c>
      <c r="L434" t="s">
        <v>18</v>
      </c>
      <c r="M434" t="s">
        <v>9</v>
      </c>
      <c r="N434" t="s">
        <v>14</v>
      </c>
      <c r="O434" s="2">
        <v>-3.48</v>
      </c>
      <c r="P434" s="3">
        <v>0</v>
      </c>
      <c r="Q434" s="1">
        <v>46033</v>
      </c>
      <c r="R434" s="1">
        <v>45992</v>
      </c>
      <c r="S434" s="1">
        <v>46022</v>
      </c>
      <c r="V434" s="8">
        <v>1</v>
      </c>
      <c r="W434" t="s">
        <v>24</v>
      </c>
      <c r="X434" t="s">
        <v>987</v>
      </c>
      <c r="Y434" t="s">
        <v>10</v>
      </c>
      <c r="Z434" t="s">
        <v>11</v>
      </c>
      <c r="AA434">
        <v>62371</v>
      </c>
      <c r="AB434">
        <v>19385918</v>
      </c>
      <c r="AC434">
        <v>0</v>
      </c>
      <c r="AD434" s="8"/>
    </row>
    <row r="435" spans="1:30" x14ac:dyDescent="0.3">
      <c r="A435" t="s">
        <v>1627</v>
      </c>
      <c r="B435">
        <v>1446204</v>
      </c>
      <c r="D435" t="s">
        <v>7</v>
      </c>
      <c r="E435">
        <v>946894</v>
      </c>
      <c r="F435">
        <v>9015884123</v>
      </c>
      <c r="G435">
        <v>529</v>
      </c>
      <c r="H435" t="s">
        <v>979</v>
      </c>
      <c r="I435">
        <v>0</v>
      </c>
      <c r="J435" t="s">
        <v>980</v>
      </c>
      <c r="K435" t="s">
        <v>8</v>
      </c>
      <c r="L435" t="s">
        <v>15</v>
      </c>
      <c r="M435" t="s">
        <v>9</v>
      </c>
      <c r="N435" t="s">
        <v>14</v>
      </c>
      <c r="O435" s="2">
        <v>0</v>
      </c>
      <c r="P435" s="3">
        <v>5978.357</v>
      </c>
      <c r="Q435" s="1">
        <v>46033</v>
      </c>
      <c r="R435" s="1">
        <v>45992</v>
      </c>
      <c r="S435" s="1">
        <v>46022</v>
      </c>
      <c r="V435" s="8">
        <v>1</v>
      </c>
      <c r="W435" t="s">
        <v>24</v>
      </c>
      <c r="X435" t="s">
        <v>981</v>
      </c>
      <c r="Y435" t="s">
        <v>10</v>
      </c>
      <c r="Z435" t="s">
        <v>11</v>
      </c>
      <c r="AA435">
        <v>62371</v>
      </c>
      <c r="AB435">
        <v>19389550</v>
      </c>
      <c r="AC435">
        <v>0</v>
      </c>
      <c r="AD435" s="8"/>
    </row>
    <row r="436" spans="1:30" x14ac:dyDescent="0.3">
      <c r="A436" t="s">
        <v>1627</v>
      </c>
      <c r="B436">
        <v>1296899</v>
      </c>
      <c r="D436" t="s">
        <v>7</v>
      </c>
      <c r="E436">
        <v>945123</v>
      </c>
      <c r="F436">
        <v>9015884123</v>
      </c>
      <c r="G436">
        <v>14</v>
      </c>
      <c r="H436" t="s">
        <v>988</v>
      </c>
      <c r="I436">
        <v>0</v>
      </c>
      <c r="J436" t="s">
        <v>989</v>
      </c>
      <c r="K436" t="s">
        <v>8</v>
      </c>
      <c r="L436" t="s">
        <v>19</v>
      </c>
      <c r="M436" t="s">
        <v>9</v>
      </c>
      <c r="N436" t="s">
        <v>14</v>
      </c>
      <c r="O436" s="2">
        <v>1.1399999999999999</v>
      </c>
      <c r="P436" s="3">
        <v>7.0000000000000001E-3</v>
      </c>
      <c r="Q436" s="1">
        <v>46033</v>
      </c>
      <c r="R436" s="1">
        <v>45992</v>
      </c>
      <c r="S436" s="1">
        <v>46022</v>
      </c>
      <c r="V436" s="8">
        <v>1</v>
      </c>
      <c r="W436" t="s">
        <v>24</v>
      </c>
      <c r="X436" t="s">
        <v>990</v>
      </c>
      <c r="Y436" t="s">
        <v>10</v>
      </c>
      <c r="Z436" t="s">
        <v>11</v>
      </c>
      <c r="AA436">
        <v>62371</v>
      </c>
      <c r="AB436">
        <v>21394691</v>
      </c>
      <c r="AC436">
        <v>1</v>
      </c>
      <c r="AD436" s="8"/>
    </row>
    <row r="437" spans="1:30" x14ac:dyDescent="0.3">
      <c r="A437" t="s">
        <v>1627</v>
      </c>
      <c r="B437">
        <v>1449296</v>
      </c>
      <c r="D437" t="s">
        <v>7</v>
      </c>
      <c r="E437">
        <v>949192</v>
      </c>
      <c r="F437">
        <v>9015884123</v>
      </c>
      <c r="G437">
        <v>535</v>
      </c>
      <c r="H437" t="s">
        <v>991</v>
      </c>
      <c r="I437">
        <v>0</v>
      </c>
      <c r="J437" t="s">
        <v>992</v>
      </c>
      <c r="K437" t="s">
        <v>8</v>
      </c>
      <c r="L437" t="s">
        <v>67</v>
      </c>
      <c r="M437" t="s">
        <v>9</v>
      </c>
      <c r="N437" t="s">
        <v>14</v>
      </c>
      <c r="O437" s="2">
        <v>515717.29</v>
      </c>
      <c r="P437" s="3">
        <v>4775.348</v>
      </c>
      <c r="Q437" s="1">
        <v>46035</v>
      </c>
      <c r="R437" s="1">
        <v>46011</v>
      </c>
      <c r="S437" s="1">
        <v>46022</v>
      </c>
      <c r="V437" s="8">
        <v>1</v>
      </c>
      <c r="W437" t="s">
        <v>24</v>
      </c>
      <c r="X437" t="s">
        <v>993</v>
      </c>
      <c r="Y437" t="s">
        <v>10</v>
      </c>
      <c r="Z437" t="s">
        <v>11</v>
      </c>
      <c r="AA437">
        <v>62371</v>
      </c>
      <c r="AB437">
        <v>21537707</v>
      </c>
      <c r="AC437">
        <v>1</v>
      </c>
      <c r="AD437" s="8"/>
    </row>
    <row r="438" spans="1:30" x14ac:dyDescent="0.3">
      <c r="A438" t="s">
        <v>1627</v>
      </c>
      <c r="B438">
        <v>1288986</v>
      </c>
      <c r="D438" t="s">
        <v>7</v>
      </c>
      <c r="E438">
        <v>945292</v>
      </c>
      <c r="F438">
        <v>9015884123</v>
      </c>
      <c r="G438">
        <v>8</v>
      </c>
      <c r="H438" t="s">
        <v>982</v>
      </c>
      <c r="I438">
        <v>0</v>
      </c>
      <c r="J438" t="s">
        <v>983</v>
      </c>
      <c r="K438" t="s">
        <v>8</v>
      </c>
      <c r="L438" t="s">
        <v>18</v>
      </c>
      <c r="M438" t="s">
        <v>9</v>
      </c>
      <c r="N438" t="s">
        <v>14</v>
      </c>
      <c r="O438" s="2">
        <v>0.91</v>
      </c>
      <c r="P438" s="3">
        <v>0</v>
      </c>
      <c r="Q438" s="1">
        <v>46033</v>
      </c>
      <c r="R438" s="1">
        <v>45992</v>
      </c>
      <c r="S438" s="1">
        <v>46022</v>
      </c>
      <c r="V438" s="8">
        <v>1</v>
      </c>
      <c r="W438" t="s">
        <v>24</v>
      </c>
      <c r="X438" t="s">
        <v>984</v>
      </c>
      <c r="Y438" t="s">
        <v>10</v>
      </c>
      <c r="Z438" t="s">
        <v>11</v>
      </c>
      <c r="AA438">
        <v>62371</v>
      </c>
      <c r="AB438">
        <v>17037609</v>
      </c>
      <c r="AC438">
        <v>1</v>
      </c>
      <c r="AD438" s="8"/>
    </row>
    <row r="439" spans="1:30" x14ac:dyDescent="0.3">
      <c r="A439" t="s">
        <v>1627</v>
      </c>
      <c r="B439">
        <v>1308503</v>
      </c>
      <c r="D439" t="s">
        <v>7</v>
      </c>
      <c r="E439">
        <v>945180</v>
      </c>
      <c r="F439">
        <v>9015884123</v>
      </c>
      <c r="G439">
        <v>42</v>
      </c>
      <c r="H439" t="s">
        <v>994</v>
      </c>
      <c r="I439">
        <v>0</v>
      </c>
      <c r="J439" t="s">
        <v>995</v>
      </c>
      <c r="K439" t="s">
        <v>8</v>
      </c>
      <c r="L439" t="s">
        <v>67</v>
      </c>
      <c r="M439" t="s">
        <v>9</v>
      </c>
      <c r="N439" t="s">
        <v>14</v>
      </c>
      <c r="O439" s="2">
        <v>1592094.84</v>
      </c>
      <c r="P439" s="3">
        <v>14742.199000000001</v>
      </c>
      <c r="Q439" s="1">
        <v>46033</v>
      </c>
      <c r="R439" s="1">
        <v>45992</v>
      </c>
      <c r="S439" s="1">
        <v>46022</v>
      </c>
      <c r="V439" s="8">
        <v>1</v>
      </c>
      <c r="W439" t="s">
        <v>24</v>
      </c>
      <c r="X439" t="s">
        <v>996</v>
      </c>
      <c r="Y439" t="s">
        <v>10</v>
      </c>
      <c r="Z439" t="s">
        <v>11</v>
      </c>
      <c r="AA439">
        <v>62371</v>
      </c>
      <c r="AB439">
        <v>17063552</v>
      </c>
      <c r="AC439">
        <v>1</v>
      </c>
      <c r="AD439" s="8"/>
    </row>
    <row r="440" spans="1:30" x14ac:dyDescent="0.3">
      <c r="A440" t="s">
        <v>1627</v>
      </c>
      <c r="B440">
        <v>1308500</v>
      </c>
      <c r="D440" t="s">
        <v>7</v>
      </c>
      <c r="E440">
        <v>945178</v>
      </c>
      <c r="F440">
        <v>9015884123</v>
      </c>
      <c r="G440">
        <v>41</v>
      </c>
      <c r="H440" t="s">
        <v>562</v>
      </c>
      <c r="I440">
        <v>0</v>
      </c>
      <c r="J440" t="s">
        <v>563</v>
      </c>
      <c r="K440" t="s">
        <v>8</v>
      </c>
      <c r="L440" t="s">
        <v>15</v>
      </c>
      <c r="M440" t="s">
        <v>9</v>
      </c>
      <c r="N440" t="s">
        <v>14</v>
      </c>
      <c r="O440" s="2">
        <v>0</v>
      </c>
      <c r="P440" s="3">
        <v>36226.01</v>
      </c>
      <c r="Q440" s="1">
        <v>46033</v>
      </c>
      <c r="R440" s="1">
        <v>45992</v>
      </c>
      <c r="S440" s="1">
        <v>46022</v>
      </c>
      <c r="V440" s="8">
        <v>2</v>
      </c>
      <c r="W440" t="s">
        <v>24</v>
      </c>
      <c r="X440" t="s">
        <v>564</v>
      </c>
      <c r="Y440" t="s">
        <v>10</v>
      </c>
      <c r="Z440" t="s">
        <v>11</v>
      </c>
      <c r="AA440">
        <v>62371</v>
      </c>
      <c r="AB440">
        <v>18069004</v>
      </c>
      <c r="AC440">
        <v>1</v>
      </c>
      <c r="AD440" s="8"/>
    </row>
    <row r="441" spans="1:30" x14ac:dyDescent="0.3">
      <c r="A441" t="s">
        <v>1627</v>
      </c>
      <c r="B441">
        <v>1296891</v>
      </c>
      <c r="D441" t="s">
        <v>7</v>
      </c>
      <c r="E441">
        <v>945117</v>
      </c>
      <c r="F441">
        <v>9015884123</v>
      </c>
      <c r="G441">
        <v>11</v>
      </c>
      <c r="H441" t="s">
        <v>997</v>
      </c>
      <c r="I441">
        <v>0</v>
      </c>
      <c r="J441" t="s">
        <v>998</v>
      </c>
      <c r="K441" t="s">
        <v>8</v>
      </c>
      <c r="L441" t="s">
        <v>19</v>
      </c>
      <c r="M441" t="s">
        <v>9</v>
      </c>
      <c r="N441" t="s">
        <v>14</v>
      </c>
      <c r="O441" s="2">
        <v>0.49</v>
      </c>
      <c r="P441" s="3">
        <v>3.0000000000000001E-3</v>
      </c>
      <c r="Q441" s="1">
        <v>46033</v>
      </c>
      <c r="R441" s="1">
        <v>45992</v>
      </c>
      <c r="S441" s="1">
        <v>46022</v>
      </c>
      <c r="V441" s="8">
        <v>1</v>
      </c>
      <c r="W441" t="s">
        <v>24</v>
      </c>
      <c r="X441" t="s">
        <v>999</v>
      </c>
      <c r="Y441" t="s">
        <v>10</v>
      </c>
      <c r="Z441" t="s">
        <v>11</v>
      </c>
      <c r="AA441">
        <v>62371</v>
      </c>
      <c r="AB441">
        <v>21394698</v>
      </c>
      <c r="AC441">
        <v>1</v>
      </c>
      <c r="AD441" s="8"/>
    </row>
    <row r="442" spans="1:30" x14ac:dyDescent="0.3">
      <c r="A442" t="s">
        <v>1627</v>
      </c>
      <c r="B442">
        <v>1296894</v>
      </c>
      <c r="D442" t="s">
        <v>7</v>
      </c>
      <c r="E442">
        <v>945121</v>
      </c>
      <c r="F442">
        <v>9015884123</v>
      </c>
      <c r="G442">
        <v>13</v>
      </c>
      <c r="H442" t="s">
        <v>541</v>
      </c>
      <c r="I442">
        <v>0</v>
      </c>
      <c r="J442" t="s">
        <v>542</v>
      </c>
      <c r="K442" t="s">
        <v>8</v>
      </c>
      <c r="L442" t="s">
        <v>15</v>
      </c>
      <c r="M442" t="s">
        <v>9</v>
      </c>
      <c r="N442" t="s">
        <v>14</v>
      </c>
      <c r="O442" s="2">
        <v>0</v>
      </c>
      <c r="P442" s="3">
        <v>340.01600000000002</v>
      </c>
      <c r="Q442" s="1">
        <v>46033</v>
      </c>
      <c r="R442" s="1">
        <v>45992</v>
      </c>
      <c r="S442" s="1">
        <v>46022</v>
      </c>
      <c r="V442" s="8">
        <v>1</v>
      </c>
      <c r="W442" t="s">
        <v>24</v>
      </c>
      <c r="X442" t="s">
        <v>543</v>
      </c>
      <c r="Y442" t="s">
        <v>10</v>
      </c>
      <c r="Z442" t="s">
        <v>11</v>
      </c>
      <c r="AA442">
        <v>62371</v>
      </c>
      <c r="AB442">
        <v>21394692</v>
      </c>
      <c r="AC442">
        <v>1</v>
      </c>
      <c r="AD442" s="8"/>
    </row>
    <row r="443" spans="1:30" x14ac:dyDescent="0.3">
      <c r="A443" t="s">
        <v>1627</v>
      </c>
      <c r="B443">
        <v>1338511</v>
      </c>
      <c r="D443" t="s">
        <v>7</v>
      </c>
      <c r="E443">
        <v>945203</v>
      </c>
      <c r="F443">
        <v>9015884123</v>
      </c>
      <c r="G443">
        <v>53</v>
      </c>
      <c r="H443" t="s">
        <v>1000</v>
      </c>
      <c r="I443">
        <v>0</v>
      </c>
      <c r="J443" t="s">
        <v>1001</v>
      </c>
      <c r="K443" t="s">
        <v>8</v>
      </c>
      <c r="L443" t="s">
        <v>18</v>
      </c>
      <c r="M443" t="s">
        <v>9</v>
      </c>
      <c r="N443" t="s">
        <v>14</v>
      </c>
      <c r="O443" s="2">
        <v>-1.38</v>
      </c>
      <c r="P443" s="3">
        <v>0</v>
      </c>
      <c r="Q443" s="1">
        <v>46033</v>
      </c>
      <c r="R443" s="1">
        <v>45992</v>
      </c>
      <c r="S443" s="1">
        <v>46022</v>
      </c>
      <c r="V443" s="8">
        <v>1</v>
      </c>
      <c r="W443" t="s">
        <v>24</v>
      </c>
      <c r="X443" t="s">
        <v>1002</v>
      </c>
      <c r="Y443" t="s">
        <v>10</v>
      </c>
      <c r="Z443" t="s">
        <v>11</v>
      </c>
      <c r="AA443">
        <v>62371</v>
      </c>
      <c r="AB443">
        <v>18440412</v>
      </c>
      <c r="AC443">
        <v>1</v>
      </c>
      <c r="AD443" s="8"/>
    </row>
    <row r="444" spans="1:30" x14ac:dyDescent="0.3">
      <c r="A444" t="s">
        <v>1627</v>
      </c>
      <c r="B444">
        <v>1296894</v>
      </c>
      <c r="D444" t="s">
        <v>7</v>
      </c>
      <c r="E444">
        <v>945121</v>
      </c>
      <c r="F444">
        <v>9015884123</v>
      </c>
      <c r="G444">
        <v>13</v>
      </c>
      <c r="H444" t="s">
        <v>541</v>
      </c>
      <c r="I444">
        <v>0</v>
      </c>
      <c r="J444" t="s">
        <v>542</v>
      </c>
      <c r="K444" t="s">
        <v>8</v>
      </c>
      <c r="L444" t="s">
        <v>67</v>
      </c>
      <c r="M444" t="s">
        <v>9</v>
      </c>
      <c r="N444" t="s">
        <v>14</v>
      </c>
      <c r="O444" s="2">
        <v>36720.28</v>
      </c>
      <c r="P444" s="3">
        <v>340.01600000000002</v>
      </c>
      <c r="Q444" s="1">
        <v>46033</v>
      </c>
      <c r="R444" s="1">
        <v>45992</v>
      </c>
      <c r="S444" s="1">
        <v>46022</v>
      </c>
      <c r="V444" s="8">
        <v>1</v>
      </c>
      <c r="W444" t="s">
        <v>24</v>
      </c>
      <c r="X444" t="s">
        <v>543</v>
      </c>
      <c r="Y444" t="s">
        <v>10</v>
      </c>
      <c r="Z444" t="s">
        <v>11</v>
      </c>
      <c r="AA444">
        <v>62371</v>
      </c>
      <c r="AB444">
        <v>21394692</v>
      </c>
      <c r="AC444">
        <v>1</v>
      </c>
      <c r="AD444" s="8"/>
    </row>
    <row r="445" spans="1:30" x14ac:dyDescent="0.3">
      <c r="A445" t="s">
        <v>1627</v>
      </c>
      <c r="B445">
        <v>1297678</v>
      </c>
      <c r="D445" t="s">
        <v>7</v>
      </c>
      <c r="E445">
        <v>945127</v>
      </c>
      <c r="F445">
        <v>9015884123</v>
      </c>
      <c r="G445">
        <v>16</v>
      </c>
      <c r="H445" t="s">
        <v>1003</v>
      </c>
      <c r="I445">
        <v>0</v>
      </c>
      <c r="J445" t="s">
        <v>1004</v>
      </c>
      <c r="K445" t="s">
        <v>8</v>
      </c>
      <c r="L445" t="s">
        <v>18</v>
      </c>
      <c r="M445" t="s">
        <v>9</v>
      </c>
      <c r="N445" t="s">
        <v>14</v>
      </c>
      <c r="O445" s="2">
        <v>-0.88</v>
      </c>
      <c r="P445" s="3">
        <v>0</v>
      </c>
      <c r="Q445" s="1">
        <v>46033</v>
      </c>
      <c r="R445" s="1">
        <v>45992</v>
      </c>
      <c r="S445" s="1">
        <v>46022</v>
      </c>
      <c r="V445" s="8">
        <v>1</v>
      </c>
      <c r="W445" t="s">
        <v>24</v>
      </c>
      <c r="X445" t="s">
        <v>1005</v>
      </c>
      <c r="Y445" t="s">
        <v>10</v>
      </c>
      <c r="Z445" t="s">
        <v>11</v>
      </c>
      <c r="AA445">
        <v>62371</v>
      </c>
      <c r="AB445">
        <v>21394687</v>
      </c>
      <c r="AC445">
        <v>1</v>
      </c>
      <c r="AD445" s="8"/>
    </row>
    <row r="446" spans="1:30" x14ac:dyDescent="0.3">
      <c r="A446" t="s">
        <v>1627</v>
      </c>
      <c r="B446">
        <v>1296994</v>
      </c>
      <c r="D446" t="s">
        <v>7</v>
      </c>
      <c r="E446">
        <v>945131</v>
      </c>
      <c r="F446">
        <v>9015884123</v>
      </c>
      <c r="G446">
        <v>18</v>
      </c>
      <c r="H446" t="s">
        <v>544</v>
      </c>
      <c r="I446">
        <v>0</v>
      </c>
      <c r="J446" t="s">
        <v>545</v>
      </c>
      <c r="K446" t="s">
        <v>8</v>
      </c>
      <c r="L446" t="s">
        <v>19</v>
      </c>
      <c r="M446" t="s">
        <v>9</v>
      </c>
      <c r="N446" t="s">
        <v>14</v>
      </c>
      <c r="O446" s="2">
        <v>31.49</v>
      </c>
      <c r="P446" s="3">
        <v>0.193</v>
      </c>
      <c r="Q446" s="1">
        <v>46033</v>
      </c>
      <c r="R446" s="1">
        <v>45992</v>
      </c>
      <c r="S446" s="1">
        <v>46022</v>
      </c>
      <c r="V446" s="8">
        <v>1</v>
      </c>
      <c r="W446" t="s">
        <v>24</v>
      </c>
      <c r="X446" t="s">
        <v>546</v>
      </c>
      <c r="Y446" t="s">
        <v>10</v>
      </c>
      <c r="Z446" t="s">
        <v>11</v>
      </c>
      <c r="AA446">
        <v>62371</v>
      </c>
      <c r="AB446">
        <v>21394676</v>
      </c>
      <c r="AC446">
        <v>1</v>
      </c>
      <c r="AD446" s="8"/>
    </row>
    <row r="447" spans="1:30" x14ac:dyDescent="0.3">
      <c r="A447" t="s">
        <v>1627</v>
      </c>
      <c r="B447">
        <v>1297930</v>
      </c>
      <c r="D447" t="s">
        <v>7</v>
      </c>
      <c r="E447">
        <v>945138</v>
      </c>
      <c r="F447">
        <v>9015884123</v>
      </c>
      <c r="G447">
        <v>20</v>
      </c>
      <c r="H447" t="s">
        <v>1006</v>
      </c>
      <c r="I447">
        <v>0</v>
      </c>
      <c r="J447" t="s">
        <v>1007</v>
      </c>
      <c r="K447" t="s">
        <v>8</v>
      </c>
      <c r="L447" t="s">
        <v>15</v>
      </c>
      <c r="M447" t="s">
        <v>9</v>
      </c>
      <c r="N447" t="s">
        <v>14</v>
      </c>
      <c r="O447" s="2">
        <v>0</v>
      </c>
      <c r="P447" s="3">
        <v>1753.7</v>
      </c>
      <c r="Q447" s="1">
        <v>46033</v>
      </c>
      <c r="R447" s="1">
        <v>45992</v>
      </c>
      <c r="S447" s="1">
        <v>46022</v>
      </c>
      <c r="V447" s="8">
        <v>1</v>
      </c>
      <c r="W447" t="s">
        <v>24</v>
      </c>
      <c r="X447" t="s">
        <v>1008</v>
      </c>
      <c r="Y447" t="s">
        <v>10</v>
      </c>
      <c r="Z447" t="s">
        <v>11</v>
      </c>
      <c r="AA447">
        <v>62371</v>
      </c>
      <c r="AB447">
        <v>21394684</v>
      </c>
      <c r="AC447">
        <v>1</v>
      </c>
      <c r="AD447" s="8"/>
    </row>
    <row r="448" spans="1:30" x14ac:dyDescent="0.3">
      <c r="A448" t="s">
        <v>1627</v>
      </c>
      <c r="B448">
        <v>1303703</v>
      </c>
      <c r="D448" t="s">
        <v>7</v>
      </c>
      <c r="E448">
        <v>945144</v>
      </c>
      <c r="F448">
        <v>9015884123</v>
      </c>
      <c r="G448">
        <v>24</v>
      </c>
      <c r="H448" t="s">
        <v>556</v>
      </c>
      <c r="I448">
        <v>0</v>
      </c>
      <c r="J448" t="s">
        <v>557</v>
      </c>
      <c r="K448" t="s">
        <v>8</v>
      </c>
      <c r="L448" t="s">
        <v>67</v>
      </c>
      <c r="M448" t="s">
        <v>9</v>
      </c>
      <c r="N448" t="s">
        <v>14</v>
      </c>
      <c r="O448" s="2">
        <v>390291.56</v>
      </c>
      <c r="P448" s="3">
        <v>3613.953</v>
      </c>
      <c r="Q448" s="1">
        <v>46033</v>
      </c>
      <c r="R448" s="1">
        <v>45992</v>
      </c>
      <c r="S448" s="1">
        <v>46022</v>
      </c>
      <c r="V448" s="8">
        <v>1</v>
      </c>
      <c r="W448" t="s">
        <v>24</v>
      </c>
      <c r="X448" t="s">
        <v>558</v>
      </c>
      <c r="Y448" t="s">
        <v>10</v>
      </c>
      <c r="Z448" t="s">
        <v>11</v>
      </c>
      <c r="AA448">
        <v>62371</v>
      </c>
      <c r="AB448">
        <v>19390408</v>
      </c>
      <c r="AC448">
        <v>1</v>
      </c>
      <c r="AD448" s="8"/>
    </row>
    <row r="449" spans="1:30" x14ac:dyDescent="0.3">
      <c r="A449" t="s">
        <v>1627</v>
      </c>
      <c r="B449">
        <v>1303711</v>
      </c>
      <c r="D449" t="s">
        <v>7</v>
      </c>
      <c r="E449">
        <v>945150</v>
      </c>
      <c r="F449">
        <v>9015884123</v>
      </c>
      <c r="G449">
        <v>27</v>
      </c>
      <c r="H449" t="s">
        <v>1009</v>
      </c>
      <c r="I449">
        <v>0</v>
      </c>
      <c r="J449" t="s">
        <v>1010</v>
      </c>
      <c r="K449" t="s">
        <v>8</v>
      </c>
      <c r="L449" t="s">
        <v>15</v>
      </c>
      <c r="M449" t="s">
        <v>9</v>
      </c>
      <c r="N449" t="s">
        <v>14</v>
      </c>
      <c r="O449" s="2">
        <v>0</v>
      </c>
      <c r="P449" s="3">
        <v>5767.4560000000001</v>
      </c>
      <c r="Q449" s="1">
        <v>46033</v>
      </c>
      <c r="R449" s="1">
        <v>45992</v>
      </c>
      <c r="S449" s="1">
        <v>46022</v>
      </c>
      <c r="V449" s="8">
        <v>1</v>
      </c>
      <c r="W449" t="s">
        <v>24</v>
      </c>
      <c r="X449" t="s">
        <v>1011</v>
      </c>
      <c r="Y449" t="s">
        <v>10</v>
      </c>
      <c r="Z449" t="s">
        <v>11</v>
      </c>
      <c r="AA449">
        <v>62371</v>
      </c>
      <c r="AB449">
        <v>19385497</v>
      </c>
      <c r="AC449">
        <v>1</v>
      </c>
      <c r="AD449" s="8"/>
    </row>
    <row r="450" spans="1:30" x14ac:dyDescent="0.3">
      <c r="A450" t="s">
        <v>1627</v>
      </c>
      <c r="B450">
        <v>1303711</v>
      </c>
      <c r="D450" t="s">
        <v>7</v>
      </c>
      <c r="E450">
        <v>945150</v>
      </c>
      <c r="F450">
        <v>9015884123</v>
      </c>
      <c r="G450">
        <v>27</v>
      </c>
      <c r="H450" t="s">
        <v>1009</v>
      </c>
      <c r="I450">
        <v>0</v>
      </c>
      <c r="J450" t="s">
        <v>1010</v>
      </c>
      <c r="K450" t="s">
        <v>8</v>
      </c>
      <c r="L450" t="s">
        <v>18</v>
      </c>
      <c r="M450" t="s">
        <v>9</v>
      </c>
      <c r="N450" t="s">
        <v>14</v>
      </c>
      <c r="O450" s="2">
        <v>0.99</v>
      </c>
      <c r="P450" s="3">
        <v>0</v>
      </c>
      <c r="Q450" s="1">
        <v>46033</v>
      </c>
      <c r="R450" s="1">
        <v>45992</v>
      </c>
      <c r="S450" s="1">
        <v>46022</v>
      </c>
      <c r="V450" s="8">
        <v>1</v>
      </c>
      <c r="W450" t="s">
        <v>24</v>
      </c>
      <c r="X450" t="s">
        <v>1011</v>
      </c>
      <c r="Y450" t="s">
        <v>10</v>
      </c>
      <c r="Z450" t="s">
        <v>11</v>
      </c>
      <c r="AA450">
        <v>62371</v>
      </c>
      <c r="AB450">
        <v>19385497</v>
      </c>
      <c r="AC450">
        <v>1</v>
      </c>
      <c r="AD450" s="8"/>
    </row>
    <row r="451" spans="1:30" x14ac:dyDescent="0.3">
      <c r="A451" t="s">
        <v>1627</v>
      </c>
      <c r="B451">
        <v>1340622</v>
      </c>
      <c r="D451" t="s">
        <v>7</v>
      </c>
      <c r="E451">
        <v>945212</v>
      </c>
      <c r="F451">
        <v>9015884123</v>
      </c>
      <c r="G451">
        <v>56</v>
      </c>
      <c r="H451" t="s">
        <v>1012</v>
      </c>
      <c r="I451">
        <v>0</v>
      </c>
      <c r="J451" t="s">
        <v>1013</v>
      </c>
      <c r="K451" t="s">
        <v>8</v>
      </c>
      <c r="L451" t="s">
        <v>15</v>
      </c>
      <c r="M451" t="s">
        <v>9</v>
      </c>
      <c r="N451" t="s">
        <v>14</v>
      </c>
      <c r="O451" s="2">
        <v>0</v>
      </c>
      <c r="P451" s="3">
        <v>1632.617</v>
      </c>
      <c r="Q451" s="1">
        <v>46033</v>
      </c>
      <c r="R451" s="1">
        <v>45992</v>
      </c>
      <c r="S451" s="1">
        <v>46022</v>
      </c>
      <c r="V451" s="8">
        <v>1</v>
      </c>
      <c r="W451" t="s">
        <v>24</v>
      </c>
      <c r="X451" t="s">
        <v>1014</v>
      </c>
      <c r="Y451" t="s">
        <v>10</v>
      </c>
      <c r="Z451" t="s">
        <v>11</v>
      </c>
      <c r="AA451">
        <v>62371</v>
      </c>
      <c r="AB451">
        <v>18470868</v>
      </c>
      <c r="AC451">
        <v>1</v>
      </c>
      <c r="AD451" s="8"/>
    </row>
    <row r="452" spans="1:30" x14ac:dyDescent="0.3">
      <c r="A452" t="s">
        <v>1627</v>
      </c>
      <c r="B452">
        <v>1340678</v>
      </c>
      <c r="D452" t="s">
        <v>7</v>
      </c>
      <c r="E452">
        <v>945244</v>
      </c>
      <c r="F452">
        <v>9015884123</v>
      </c>
      <c r="G452">
        <v>65</v>
      </c>
      <c r="H452" t="s">
        <v>577</v>
      </c>
      <c r="I452">
        <v>0</v>
      </c>
      <c r="J452" t="s">
        <v>578</v>
      </c>
      <c r="K452" t="s">
        <v>8</v>
      </c>
      <c r="L452" t="s">
        <v>15</v>
      </c>
      <c r="M452" t="s">
        <v>9</v>
      </c>
      <c r="N452" t="s">
        <v>14</v>
      </c>
      <c r="O452" s="2">
        <v>0</v>
      </c>
      <c r="P452" s="3">
        <v>4963.7929999999997</v>
      </c>
      <c r="Q452" s="1">
        <v>46033</v>
      </c>
      <c r="R452" s="1">
        <v>45992</v>
      </c>
      <c r="S452" s="1">
        <v>46022</v>
      </c>
      <c r="V452" s="8">
        <v>1</v>
      </c>
      <c r="W452" t="s">
        <v>24</v>
      </c>
      <c r="X452" t="s">
        <v>579</v>
      </c>
      <c r="Y452" t="s">
        <v>10</v>
      </c>
      <c r="Z452" t="s">
        <v>11</v>
      </c>
      <c r="AA452">
        <v>62371</v>
      </c>
      <c r="AB452">
        <v>17032641</v>
      </c>
      <c r="AC452">
        <v>1</v>
      </c>
      <c r="AD452" s="8"/>
    </row>
    <row r="453" spans="1:30" x14ac:dyDescent="0.3">
      <c r="A453" t="s">
        <v>1627</v>
      </c>
      <c r="B453">
        <v>1338515</v>
      </c>
      <c r="D453" t="s">
        <v>7</v>
      </c>
      <c r="E453">
        <v>945206</v>
      </c>
      <c r="F453">
        <v>9015884123</v>
      </c>
      <c r="G453">
        <v>54</v>
      </c>
      <c r="H453" t="s">
        <v>1015</v>
      </c>
      <c r="I453">
        <v>0</v>
      </c>
      <c r="J453" t="s">
        <v>1016</v>
      </c>
      <c r="K453" t="s">
        <v>8</v>
      </c>
      <c r="L453" t="s">
        <v>15</v>
      </c>
      <c r="M453" t="s">
        <v>9</v>
      </c>
      <c r="N453" t="s">
        <v>14</v>
      </c>
      <c r="O453" s="2">
        <v>0</v>
      </c>
      <c r="P453" s="3">
        <v>7384.3609999999999</v>
      </c>
      <c r="Q453" s="1">
        <v>46033</v>
      </c>
      <c r="R453" s="1">
        <v>45992</v>
      </c>
      <c r="S453" s="1">
        <v>46022</v>
      </c>
      <c r="V453" s="8">
        <v>1</v>
      </c>
      <c r="W453" t="s">
        <v>24</v>
      </c>
      <c r="X453" t="s">
        <v>1017</v>
      </c>
      <c r="Y453" t="s">
        <v>10</v>
      </c>
      <c r="Z453" t="s">
        <v>11</v>
      </c>
      <c r="AA453">
        <v>62371</v>
      </c>
      <c r="AB453">
        <v>17068603</v>
      </c>
      <c r="AC453">
        <v>1</v>
      </c>
      <c r="AD453" s="8"/>
    </row>
    <row r="454" spans="1:30" x14ac:dyDescent="0.3">
      <c r="A454" t="s">
        <v>1627</v>
      </c>
      <c r="B454">
        <v>1340677</v>
      </c>
      <c r="D454" t="s">
        <v>7</v>
      </c>
      <c r="E454">
        <v>945240</v>
      </c>
      <c r="F454">
        <v>9015884123</v>
      </c>
      <c r="G454">
        <v>64</v>
      </c>
      <c r="H454" t="s">
        <v>1018</v>
      </c>
      <c r="I454">
        <v>0</v>
      </c>
      <c r="J454" t="s">
        <v>1019</v>
      </c>
      <c r="K454" t="s">
        <v>8</v>
      </c>
      <c r="L454" t="s">
        <v>15</v>
      </c>
      <c r="M454" t="s">
        <v>9</v>
      </c>
      <c r="N454" t="s">
        <v>14</v>
      </c>
      <c r="O454" s="2">
        <v>0</v>
      </c>
      <c r="P454" s="3">
        <v>2196.9259999999999</v>
      </c>
      <c r="Q454" s="1">
        <v>46033</v>
      </c>
      <c r="R454" s="1">
        <v>45992</v>
      </c>
      <c r="S454" s="1">
        <v>46022</v>
      </c>
      <c r="V454" s="8">
        <v>1</v>
      </c>
      <c r="W454" t="s">
        <v>24</v>
      </c>
      <c r="X454" t="s">
        <v>1020</v>
      </c>
      <c r="Y454" t="s">
        <v>10</v>
      </c>
      <c r="Z454" t="s">
        <v>11</v>
      </c>
      <c r="AA454">
        <v>62371</v>
      </c>
      <c r="AB454">
        <v>17032635</v>
      </c>
      <c r="AC454">
        <v>1</v>
      </c>
      <c r="AD454" s="8"/>
    </row>
    <row r="455" spans="1:30" x14ac:dyDescent="0.3">
      <c r="A455" t="s">
        <v>1627</v>
      </c>
      <c r="B455">
        <v>1363344</v>
      </c>
      <c r="D455" t="s">
        <v>7</v>
      </c>
      <c r="E455">
        <v>945924</v>
      </c>
      <c r="F455">
        <v>9015884123</v>
      </c>
      <c r="G455">
        <v>175</v>
      </c>
      <c r="H455" t="s">
        <v>587</v>
      </c>
      <c r="I455">
        <v>0</v>
      </c>
      <c r="J455" t="s">
        <v>588</v>
      </c>
      <c r="K455" t="s">
        <v>8</v>
      </c>
      <c r="L455" t="s">
        <v>67</v>
      </c>
      <c r="M455" t="s">
        <v>9</v>
      </c>
      <c r="N455" t="s">
        <v>14</v>
      </c>
      <c r="O455" s="2">
        <v>434627.82</v>
      </c>
      <c r="P455" s="3">
        <v>4024.49</v>
      </c>
      <c r="Q455" s="1">
        <v>46033</v>
      </c>
      <c r="R455" s="1">
        <v>45992</v>
      </c>
      <c r="S455" s="1">
        <v>46022</v>
      </c>
      <c r="V455" s="8">
        <v>1</v>
      </c>
      <c r="W455" t="s">
        <v>24</v>
      </c>
      <c r="X455" t="s">
        <v>589</v>
      </c>
      <c r="Y455" t="s">
        <v>590</v>
      </c>
      <c r="Z455" t="s">
        <v>11</v>
      </c>
      <c r="AA455">
        <v>62371</v>
      </c>
      <c r="AB455">
        <v>17420868</v>
      </c>
      <c r="AC455">
        <v>1</v>
      </c>
      <c r="AD455" s="8"/>
    </row>
    <row r="456" spans="1:30" x14ac:dyDescent="0.3">
      <c r="A456" t="s">
        <v>1627</v>
      </c>
      <c r="B456">
        <v>1420310</v>
      </c>
      <c r="D456" t="s">
        <v>7</v>
      </c>
      <c r="E456">
        <v>946661</v>
      </c>
      <c r="F456">
        <v>9015884123</v>
      </c>
      <c r="G456">
        <v>456</v>
      </c>
      <c r="H456" t="s">
        <v>615</v>
      </c>
      <c r="I456">
        <v>0</v>
      </c>
      <c r="J456" t="s">
        <v>616</v>
      </c>
      <c r="K456" t="s">
        <v>8</v>
      </c>
      <c r="L456" t="s">
        <v>67</v>
      </c>
      <c r="M456" t="s">
        <v>9</v>
      </c>
      <c r="N456" t="s">
        <v>14</v>
      </c>
      <c r="O456" s="2">
        <v>17914.169999999998</v>
      </c>
      <c r="P456" s="3">
        <v>125.774</v>
      </c>
      <c r="Q456" s="1">
        <v>46033</v>
      </c>
      <c r="R456" s="1">
        <v>45992</v>
      </c>
      <c r="S456" s="1">
        <v>46022</v>
      </c>
      <c r="V456" s="8">
        <v>1</v>
      </c>
      <c r="W456" t="s">
        <v>24</v>
      </c>
      <c r="X456" t="s">
        <v>617</v>
      </c>
      <c r="Y456" t="s">
        <v>32</v>
      </c>
      <c r="Z456" t="s">
        <v>11</v>
      </c>
      <c r="AA456">
        <v>62371</v>
      </c>
      <c r="AB456">
        <v>19890099</v>
      </c>
      <c r="AC456">
        <v>0</v>
      </c>
      <c r="AD456" s="8"/>
    </row>
    <row r="457" spans="1:30" x14ac:dyDescent="0.3">
      <c r="A457" t="s">
        <v>1627</v>
      </c>
      <c r="B457">
        <v>1408939</v>
      </c>
      <c r="D457" t="s">
        <v>7</v>
      </c>
      <c r="E457">
        <v>946340</v>
      </c>
      <c r="F457">
        <v>9015884123</v>
      </c>
      <c r="G457">
        <v>344</v>
      </c>
      <c r="H457" t="s">
        <v>1021</v>
      </c>
      <c r="I457">
        <v>0</v>
      </c>
      <c r="J457" t="s">
        <v>1022</v>
      </c>
      <c r="K457" t="s">
        <v>8</v>
      </c>
      <c r="L457" t="s">
        <v>18</v>
      </c>
      <c r="M457" t="s">
        <v>9</v>
      </c>
      <c r="N457" t="s">
        <v>14</v>
      </c>
      <c r="O457" s="2">
        <v>-2.98</v>
      </c>
      <c r="P457" s="3">
        <v>0</v>
      </c>
      <c r="Q457" s="1">
        <v>46033</v>
      </c>
      <c r="R457" s="1">
        <v>45992</v>
      </c>
      <c r="S457" s="1">
        <v>46022</v>
      </c>
      <c r="V457" s="8">
        <v>1</v>
      </c>
      <c r="W457" t="s">
        <v>24</v>
      </c>
      <c r="X457" t="s">
        <v>1023</v>
      </c>
      <c r="Y457" t="s">
        <v>595</v>
      </c>
      <c r="Z457" t="s">
        <v>11</v>
      </c>
      <c r="AA457">
        <v>62371</v>
      </c>
      <c r="AB457">
        <v>21471622</v>
      </c>
      <c r="AC457">
        <v>0</v>
      </c>
      <c r="AD457" s="8"/>
    </row>
    <row r="458" spans="1:30" x14ac:dyDescent="0.3">
      <c r="A458" t="s">
        <v>1627</v>
      </c>
      <c r="B458">
        <v>1408939</v>
      </c>
      <c r="D458" t="s">
        <v>7</v>
      </c>
      <c r="E458">
        <v>946340</v>
      </c>
      <c r="F458">
        <v>9015884123</v>
      </c>
      <c r="G458">
        <v>344</v>
      </c>
      <c r="H458" t="s">
        <v>1021</v>
      </c>
      <c r="I458">
        <v>0</v>
      </c>
      <c r="J458" t="s">
        <v>1022</v>
      </c>
      <c r="K458" t="s">
        <v>8</v>
      </c>
      <c r="L458" t="s">
        <v>67</v>
      </c>
      <c r="M458" t="s">
        <v>9</v>
      </c>
      <c r="N458" t="s">
        <v>14</v>
      </c>
      <c r="O458" s="2">
        <v>306696.67</v>
      </c>
      <c r="P458" s="3">
        <v>2153.2930000000001</v>
      </c>
      <c r="Q458" s="1">
        <v>46033</v>
      </c>
      <c r="R458" s="1">
        <v>45992</v>
      </c>
      <c r="S458" s="1">
        <v>46022</v>
      </c>
      <c r="V458" s="8">
        <v>1</v>
      </c>
      <c r="W458" t="s">
        <v>24</v>
      </c>
      <c r="X458" t="s">
        <v>1023</v>
      </c>
      <c r="Y458" t="s">
        <v>595</v>
      </c>
      <c r="Z458" t="s">
        <v>11</v>
      </c>
      <c r="AA458">
        <v>62371</v>
      </c>
      <c r="AB458">
        <v>21471622</v>
      </c>
      <c r="AC458">
        <v>0</v>
      </c>
      <c r="AD458" s="8"/>
    </row>
    <row r="459" spans="1:30" x14ac:dyDescent="0.3">
      <c r="A459" t="s">
        <v>1627</v>
      </c>
      <c r="B459">
        <v>1353835</v>
      </c>
      <c r="D459" t="s">
        <v>7</v>
      </c>
      <c r="E459">
        <v>945363</v>
      </c>
      <c r="F459">
        <v>9015884123</v>
      </c>
      <c r="G459">
        <v>100</v>
      </c>
      <c r="H459" t="s">
        <v>1024</v>
      </c>
      <c r="I459">
        <v>0</v>
      </c>
      <c r="J459" t="s">
        <v>1025</v>
      </c>
      <c r="K459" t="s">
        <v>8</v>
      </c>
      <c r="L459" t="s">
        <v>15</v>
      </c>
      <c r="M459" t="s">
        <v>9</v>
      </c>
      <c r="N459" t="s">
        <v>14</v>
      </c>
      <c r="O459" s="2">
        <v>0</v>
      </c>
      <c r="P459" s="3">
        <v>2904.9369999999999</v>
      </c>
      <c r="Q459" s="1">
        <v>46033</v>
      </c>
      <c r="R459" s="1">
        <v>45992</v>
      </c>
      <c r="S459" s="1">
        <v>46022</v>
      </c>
      <c r="V459" s="8">
        <v>1</v>
      </c>
      <c r="W459" t="s">
        <v>24</v>
      </c>
      <c r="X459" t="s">
        <v>1026</v>
      </c>
      <c r="Y459" t="s">
        <v>40</v>
      </c>
      <c r="Z459" t="s">
        <v>11</v>
      </c>
      <c r="AA459">
        <v>62371</v>
      </c>
      <c r="AB459">
        <v>18007323</v>
      </c>
      <c r="AC459">
        <v>0</v>
      </c>
      <c r="AD459" s="8"/>
    </row>
    <row r="460" spans="1:30" x14ac:dyDescent="0.3">
      <c r="A460" t="s">
        <v>1627</v>
      </c>
      <c r="B460">
        <v>1363374</v>
      </c>
      <c r="D460" t="s">
        <v>7</v>
      </c>
      <c r="E460">
        <v>945915</v>
      </c>
      <c r="F460">
        <v>9015884123</v>
      </c>
      <c r="G460">
        <v>166</v>
      </c>
      <c r="H460" t="s">
        <v>649</v>
      </c>
      <c r="I460">
        <v>0</v>
      </c>
      <c r="J460" t="s">
        <v>650</v>
      </c>
      <c r="K460" t="s">
        <v>8</v>
      </c>
      <c r="L460" t="s">
        <v>18</v>
      </c>
      <c r="M460" t="s">
        <v>9</v>
      </c>
      <c r="N460" t="s">
        <v>14</v>
      </c>
      <c r="O460" s="2">
        <v>1.98</v>
      </c>
      <c r="P460" s="3">
        <v>0</v>
      </c>
      <c r="Q460" s="1">
        <v>46033</v>
      </c>
      <c r="R460" s="1">
        <v>45992</v>
      </c>
      <c r="S460" s="1">
        <v>46022</v>
      </c>
      <c r="V460" s="8">
        <v>1</v>
      </c>
      <c r="W460" t="s">
        <v>24</v>
      </c>
      <c r="X460" t="s">
        <v>651</v>
      </c>
      <c r="Y460" t="s">
        <v>40</v>
      </c>
      <c r="Z460" t="s">
        <v>11</v>
      </c>
      <c r="AA460">
        <v>62371</v>
      </c>
      <c r="AB460">
        <v>19645158</v>
      </c>
      <c r="AC460">
        <v>0</v>
      </c>
      <c r="AD460" s="8"/>
    </row>
    <row r="461" spans="1:30" x14ac:dyDescent="0.3">
      <c r="A461" t="s">
        <v>1627</v>
      </c>
      <c r="B461">
        <v>1377760</v>
      </c>
      <c r="D461" t="s">
        <v>7</v>
      </c>
      <c r="E461">
        <v>945967</v>
      </c>
      <c r="F461">
        <v>9015884123</v>
      </c>
      <c r="G461">
        <v>201</v>
      </c>
      <c r="H461" t="s">
        <v>1027</v>
      </c>
      <c r="I461">
        <v>0</v>
      </c>
      <c r="J461" t="s">
        <v>1028</v>
      </c>
      <c r="K461" t="s">
        <v>8</v>
      </c>
      <c r="L461" t="s">
        <v>19</v>
      </c>
      <c r="M461" t="s">
        <v>9</v>
      </c>
      <c r="N461" t="s">
        <v>14</v>
      </c>
      <c r="O461" s="2">
        <v>82312.12</v>
      </c>
      <c r="P461" s="3">
        <v>646.71100000000001</v>
      </c>
      <c r="Q461" s="1">
        <v>46033</v>
      </c>
      <c r="R461" s="1">
        <v>45992</v>
      </c>
      <c r="S461" s="1">
        <v>46022</v>
      </c>
      <c r="V461" s="8">
        <v>2</v>
      </c>
      <c r="W461" t="s">
        <v>24</v>
      </c>
      <c r="X461" t="s">
        <v>1029</v>
      </c>
      <c r="Y461" t="s">
        <v>40</v>
      </c>
      <c r="Z461" t="s">
        <v>11</v>
      </c>
      <c r="AA461">
        <v>62371</v>
      </c>
      <c r="AB461">
        <v>18022004</v>
      </c>
      <c r="AC461">
        <v>1</v>
      </c>
      <c r="AD461" s="8"/>
    </row>
    <row r="462" spans="1:30" x14ac:dyDescent="0.3">
      <c r="A462" t="s">
        <v>1627</v>
      </c>
      <c r="B462">
        <v>1380283</v>
      </c>
      <c r="D462" t="s">
        <v>7</v>
      </c>
      <c r="E462">
        <v>945989</v>
      </c>
      <c r="F462">
        <v>9015884123</v>
      </c>
      <c r="G462">
        <v>213</v>
      </c>
      <c r="H462" t="s">
        <v>1030</v>
      </c>
      <c r="I462">
        <v>0</v>
      </c>
      <c r="J462" t="s">
        <v>1031</v>
      </c>
      <c r="K462" t="s">
        <v>8</v>
      </c>
      <c r="L462" t="s">
        <v>15</v>
      </c>
      <c r="M462" t="s">
        <v>9</v>
      </c>
      <c r="N462" t="s">
        <v>14</v>
      </c>
      <c r="O462" s="2">
        <v>0</v>
      </c>
      <c r="P462" s="3">
        <v>1230.403</v>
      </c>
      <c r="Q462" s="1">
        <v>46033</v>
      </c>
      <c r="R462" s="1">
        <v>45992</v>
      </c>
      <c r="S462" s="1">
        <v>46022</v>
      </c>
      <c r="V462" s="8">
        <v>1</v>
      </c>
      <c r="W462" t="s">
        <v>24</v>
      </c>
      <c r="X462" t="s">
        <v>1032</v>
      </c>
      <c r="Y462" t="s">
        <v>40</v>
      </c>
      <c r="Z462" t="s">
        <v>11</v>
      </c>
      <c r="AA462">
        <v>62371</v>
      </c>
      <c r="AB462">
        <v>21106459</v>
      </c>
      <c r="AC462">
        <v>1</v>
      </c>
      <c r="AD462" s="8"/>
    </row>
    <row r="463" spans="1:30" x14ac:dyDescent="0.3">
      <c r="A463" t="s">
        <v>1627</v>
      </c>
      <c r="B463">
        <v>1408944</v>
      </c>
      <c r="D463" t="s">
        <v>7</v>
      </c>
      <c r="E463">
        <v>946347</v>
      </c>
      <c r="F463">
        <v>9015884123</v>
      </c>
      <c r="G463">
        <v>347</v>
      </c>
      <c r="H463" t="s">
        <v>1033</v>
      </c>
      <c r="I463">
        <v>0</v>
      </c>
      <c r="J463" t="s">
        <v>1034</v>
      </c>
      <c r="K463" t="s">
        <v>8</v>
      </c>
      <c r="L463" t="s">
        <v>15</v>
      </c>
      <c r="M463" t="s">
        <v>9</v>
      </c>
      <c r="N463" t="s">
        <v>14</v>
      </c>
      <c r="O463" s="2">
        <v>0</v>
      </c>
      <c r="P463" s="3">
        <v>2207.2310000000002</v>
      </c>
      <c r="Q463" s="1">
        <v>46033</v>
      </c>
      <c r="R463" s="1">
        <v>45992</v>
      </c>
      <c r="S463" s="1">
        <v>46022</v>
      </c>
      <c r="V463" s="8">
        <v>1</v>
      </c>
      <c r="W463" t="s">
        <v>24</v>
      </c>
      <c r="X463" t="s">
        <v>1035</v>
      </c>
      <c r="Y463" t="s">
        <v>62</v>
      </c>
      <c r="Z463" t="s">
        <v>11</v>
      </c>
      <c r="AA463">
        <v>62371</v>
      </c>
      <c r="AB463">
        <v>17746989</v>
      </c>
      <c r="AC463">
        <v>0</v>
      </c>
      <c r="AD463" s="8"/>
    </row>
    <row r="464" spans="1:30" x14ac:dyDescent="0.3">
      <c r="A464" t="s">
        <v>1627</v>
      </c>
      <c r="B464">
        <v>1380293</v>
      </c>
      <c r="D464" t="s">
        <v>7</v>
      </c>
      <c r="E464">
        <v>945991</v>
      </c>
      <c r="F464">
        <v>9015884123</v>
      </c>
      <c r="G464">
        <v>214</v>
      </c>
      <c r="H464" t="s">
        <v>1036</v>
      </c>
      <c r="I464">
        <v>0</v>
      </c>
      <c r="J464" t="s">
        <v>1037</v>
      </c>
      <c r="K464" t="s">
        <v>8</v>
      </c>
      <c r="L464" t="s">
        <v>19</v>
      </c>
      <c r="M464" t="s">
        <v>9</v>
      </c>
      <c r="N464" t="s">
        <v>14</v>
      </c>
      <c r="O464" s="2">
        <v>51588.63</v>
      </c>
      <c r="P464" s="3">
        <v>316.19200000000001</v>
      </c>
      <c r="Q464" s="1">
        <v>46033</v>
      </c>
      <c r="R464" s="1">
        <v>45992</v>
      </c>
      <c r="S464" s="1">
        <v>46022</v>
      </c>
      <c r="V464" s="8">
        <v>1</v>
      </c>
      <c r="W464" t="s">
        <v>24</v>
      </c>
      <c r="X464" t="s">
        <v>1038</v>
      </c>
      <c r="Y464" t="s">
        <v>40</v>
      </c>
      <c r="Z464" t="s">
        <v>11</v>
      </c>
      <c r="AA464">
        <v>62371</v>
      </c>
      <c r="AB464">
        <v>19853293</v>
      </c>
      <c r="AC464">
        <v>1</v>
      </c>
      <c r="AD464" s="8"/>
    </row>
    <row r="465" spans="1:30" x14ac:dyDescent="0.3">
      <c r="A465" t="s">
        <v>1627</v>
      </c>
      <c r="B465">
        <v>1340528</v>
      </c>
      <c r="D465" t="s">
        <v>7</v>
      </c>
      <c r="E465">
        <v>945209</v>
      </c>
      <c r="F465">
        <v>9015884123</v>
      </c>
      <c r="G465">
        <v>55</v>
      </c>
      <c r="H465" t="s">
        <v>618</v>
      </c>
      <c r="I465">
        <v>0</v>
      </c>
      <c r="J465" t="s">
        <v>619</v>
      </c>
      <c r="K465" t="s">
        <v>8</v>
      </c>
      <c r="L465" t="s">
        <v>67</v>
      </c>
      <c r="M465" t="s">
        <v>9</v>
      </c>
      <c r="N465" t="s">
        <v>14</v>
      </c>
      <c r="O465" s="2">
        <v>2259652.4700000002</v>
      </c>
      <c r="P465" s="3">
        <v>15864.841</v>
      </c>
      <c r="Q465" s="1">
        <v>46033</v>
      </c>
      <c r="R465" s="1">
        <v>45992</v>
      </c>
      <c r="S465" s="1">
        <v>46022</v>
      </c>
      <c r="V465" s="8">
        <v>1</v>
      </c>
      <c r="W465" t="s">
        <v>24</v>
      </c>
      <c r="X465" t="s">
        <v>620</v>
      </c>
      <c r="Y465" t="s">
        <v>590</v>
      </c>
      <c r="Z465" t="s">
        <v>11</v>
      </c>
      <c r="AA465">
        <v>62371</v>
      </c>
      <c r="AB465">
        <v>21349127</v>
      </c>
      <c r="AC465">
        <v>0</v>
      </c>
      <c r="AD465" s="8"/>
    </row>
    <row r="466" spans="1:30" x14ac:dyDescent="0.3">
      <c r="A466" t="s">
        <v>1627</v>
      </c>
      <c r="B466">
        <v>1411974</v>
      </c>
      <c r="D466" t="s">
        <v>7</v>
      </c>
      <c r="E466">
        <v>946394</v>
      </c>
      <c r="F466">
        <v>9015884123</v>
      </c>
      <c r="G466">
        <v>371</v>
      </c>
      <c r="H466" t="s">
        <v>1039</v>
      </c>
      <c r="I466">
        <v>0</v>
      </c>
      <c r="J466" t="s">
        <v>1040</v>
      </c>
      <c r="K466" t="s">
        <v>8</v>
      </c>
      <c r="L466" t="s">
        <v>67</v>
      </c>
      <c r="M466" t="s">
        <v>9</v>
      </c>
      <c r="N466" t="s">
        <v>14</v>
      </c>
      <c r="O466" s="2">
        <v>250722.39</v>
      </c>
      <c r="P466" s="3">
        <v>2321.5949999999998</v>
      </c>
      <c r="Q466" s="1">
        <v>46033</v>
      </c>
      <c r="R466" s="1">
        <v>45992</v>
      </c>
      <c r="S466" s="1">
        <v>46022</v>
      </c>
      <c r="V466" s="8">
        <v>1</v>
      </c>
      <c r="W466" t="s">
        <v>24</v>
      </c>
      <c r="X466" t="s">
        <v>1041</v>
      </c>
      <c r="Y466" t="s">
        <v>595</v>
      </c>
      <c r="Z466" t="s">
        <v>11</v>
      </c>
      <c r="AA466">
        <v>62371</v>
      </c>
      <c r="AB466">
        <v>18437261</v>
      </c>
      <c r="AC466">
        <v>1</v>
      </c>
      <c r="AD466" s="8"/>
    </row>
    <row r="467" spans="1:30" x14ac:dyDescent="0.3">
      <c r="A467" t="s">
        <v>1627</v>
      </c>
      <c r="B467">
        <v>1406226</v>
      </c>
      <c r="D467" t="s">
        <v>7</v>
      </c>
      <c r="E467">
        <v>946291</v>
      </c>
      <c r="F467">
        <v>9015884123</v>
      </c>
      <c r="G467">
        <v>318</v>
      </c>
      <c r="H467" t="s">
        <v>1042</v>
      </c>
      <c r="I467">
        <v>0</v>
      </c>
      <c r="J467" t="s">
        <v>1043</v>
      </c>
      <c r="K467" t="s">
        <v>8</v>
      </c>
      <c r="L467" t="s">
        <v>18</v>
      </c>
      <c r="M467" t="s">
        <v>9</v>
      </c>
      <c r="N467" t="s">
        <v>14</v>
      </c>
      <c r="O467" s="2">
        <v>2.99</v>
      </c>
      <c r="P467" s="3">
        <v>0</v>
      </c>
      <c r="Q467" s="1">
        <v>46033</v>
      </c>
      <c r="R467" s="1">
        <v>45992</v>
      </c>
      <c r="S467" s="1">
        <v>46022</v>
      </c>
      <c r="V467" s="8">
        <v>1</v>
      </c>
      <c r="W467" t="s">
        <v>24</v>
      </c>
      <c r="X467" t="s">
        <v>1044</v>
      </c>
      <c r="Y467" t="s">
        <v>38</v>
      </c>
      <c r="Z467" t="s">
        <v>11</v>
      </c>
      <c r="AA467">
        <v>62371</v>
      </c>
      <c r="AB467">
        <v>19832881</v>
      </c>
      <c r="AC467">
        <v>0</v>
      </c>
      <c r="AD467" s="8"/>
    </row>
    <row r="468" spans="1:30" x14ac:dyDescent="0.3">
      <c r="A468" t="s">
        <v>1627</v>
      </c>
      <c r="B468">
        <v>1403632</v>
      </c>
      <c r="D468" t="s">
        <v>7</v>
      </c>
      <c r="E468">
        <v>946107</v>
      </c>
      <c r="F468">
        <v>9015884123</v>
      </c>
      <c r="G468">
        <v>256</v>
      </c>
      <c r="H468" t="s">
        <v>1045</v>
      </c>
      <c r="I468">
        <v>0</v>
      </c>
      <c r="J468" t="s">
        <v>1046</v>
      </c>
      <c r="K468" t="s">
        <v>8</v>
      </c>
      <c r="L468" t="s">
        <v>18</v>
      </c>
      <c r="M468" t="s">
        <v>9</v>
      </c>
      <c r="N468" t="s">
        <v>14</v>
      </c>
      <c r="O468" s="2">
        <v>0.41</v>
      </c>
      <c r="P468" s="3">
        <v>0</v>
      </c>
      <c r="Q468" s="1">
        <v>46033</v>
      </c>
      <c r="R468" s="1">
        <v>45992</v>
      </c>
      <c r="S468" s="1">
        <v>46022</v>
      </c>
      <c r="V468" s="8">
        <v>1</v>
      </c>
      <c r="W468" t="s">
        <v>24</v>
      </c>
      <c r="X468" t="s">
        <v>1047</v>
      </c>
      <c r="Y468" t="s">
        <v>40</v>
      </c>
      <c r="Z468" t="s">
        <v>11</v>
      </c>
      <c r="AA468">
        <v>62371</v>
      </c>
      <c r="AB468">
        <v>18766882</v>
      </c>
      <c r="AC468">
        <v>1</v>
      </c>
      <c r="AD468" s="8"/>
    </row>
    <row r="469" spans="1:30" x14ac:dyDescent="0.3">
      <c r="A469" t="s">
        <v>1627</v>
      </c>
      <c r="B469">
        <v>1406271</v>
      </c>
      <c r="D469" t="s">
        <v>7</v>
      </c>
      <c r="E469">
        <v>946303</v>
      </c>
      <c r="F469">
        <v>9015884123</v>
      </c>
      <c r="G469">
        <v>323</v>
      </c>
      <c r="H469" t="s">
        <v>1048</v>
      </c>
      <c r="I469">
        <v>0</v>
      </c>
      <c r="J469" t="s">
        <v>1049</v>
      </c>
      <c r="K469" t="s">
        <v>8</v>
      </c>
      <c r="L469" t="s">
        <v>15</v>
      </c>
      <c r="M469" t="s">
        <v>9</v>
      </c>
      <c r="N469" t="s">
        <v>14</v>
      </c>
      <c r="O469" s="2">
        <v>0</v>
      </c>
      <c r="P469" s="3">
        <v>31491.756000000001</v>
      </c>
      <c r="Q469" s="1">
        <v>46033</v>
      </c>
      <c r="R469" s="1">
        <v>45992</v>
      </c>
      <c r="S469" s="1">
        <v>46022</v>
      </c>
      <c r="V469" s="8">
        <v>2</v>
      </c>
      <c r="W469" t="s">
        <v>24</v>
      </c>
      <c r="X469" t="s">
        <v>1050</v>
      </c>
      <c r="Y469" t="s">
        <v>40</v>
      </c>
      <c r="Z469" t="s">
        <v>11</v>
      </c>
      <c r="AA469">
        <v>62371</v>
      </c>
      <c r="AB469">
        <v>19711461</v>
      </c>
      <c r="AC469">
        <v>1</v>
      </c>
      <c r="AD469" s="8"/>
    </row>
    <row r="470" spans="1:30" x14ac:dyDescent="0.3">
      <c r="A470" t="s">
        <v>1627</v>
      </c>
      <c r="B470">
        <v>1356294</v>
      </c>
      <c r="D470" t="s">
        <v>7</v>
      </c>
      <c r="E470">
        <v>945372</v>
      </c>
      <c r="F470">
        <v>9015884123</v>
      </c>
      <c r="G470">
        <v>103</v>
      </c>
      <c r="H470" t="s">
        <v>1051</v>
      </c>
      <c r="I470">
        <v>0</v>
      </c>
      <c r="J470" t="s">
        <v>1052</v>
      </c>
      <c r="K470" t="s">
        <v>8</v>
      </c>
      <c r="L470" t="s">
        <v>18</v>
      </c>
      <c r="M470" t="s">
        <v>9</v>
      </c>
      <c r="N470" t="s">
        <v>14</v>
      </c>
      <c r="O470" s="2">
        <v>3.95</v>
      </c>
      <c r="P470" s="3">
        <v>0</v>
      </c>
      <c r="Q470" s="1">
        <v>46033</v>
      </c>
      <c r="R470" s="1">
        <v>45992</v>
      </c>
      <c r="S470" s="1">
        <v>46022</v>
      </c>
      <c r="V470" s="8">
        <v>1</v>
      </c>
      <c r="W470" t="s">
        <v>24</v>
      </c>
      <c r="X470" t="s">
        <v>1053</v>
      </c>
      <c r="Y470" t="s">
        <v>40</v>
      </c>
      <c r="Z470" t="s">
        <v>11</v>
      </c>
      <c r="AA470">
        <v>62371</v>
      </c>
      <c r="AB470">
        <v>17964230</v>
      </c>
      <c r="AC470">
        <v>0</v>
      </c>
      <c r="AD470" s="8"/>
    </row>
    <row r="471" spans="1:30" x14ac:dyDescent="0.3">
      <c r="A471" t="s">
        <v>1627</v>
      </c>
      <c r="B471">
        <v>1356330</v>
      </c>
      <c r="D471" t="s">
        <v>7</v>
      </c>
      <c r="E471">
        <v>945453</v>
      </c>
      <c r="F471">
        <v>9015884123</v>
      </c>
      <c r="G471">
        <v>130</v>
      </c>
      <c r="H471" t="s">
        <v>602</v>
      </c>
      <c r="I471">
        <v>0</v>
      </c>
      <c r="J471" t="s">
        <v>603</v>
      </c>
      <c r="K471" t="s">
        <v>8</v>
      </c>
      <c r="L471" t="s">
        <v>67</v>
      </c>
      <c r="M471" t="s">
        <v>9</v>
      </c>
      <c r="N471" t="s">
        <v>14</v>
      </c>
      <c r="O471" s="2">
        <v>222677.84</v>
      </c>
      <c r="P471" s="3">
        <v>2061.913</v>
      </c>
      <c r="Q471" s="1">
        <v>46033</v>
      </c>
      <c r="R471" s="1">
        <v>45992</v>
      </c>
      <c r="S471" s="1">
        <v>46022</v>
      </c>
      <c r="V471" s="8">
        <v>1</v>
      </c>
      <c r="W471" t="s">
        <v>24</v>
      </c>
      <c r="X471" t="s">
        <v>604</v>
      </c>
      <c r="Y471" t="s">
        <v>40</v>
      </c>
      <c r="Z471" t="s">
        <v>11</v>
      </c>
      <c r="AA471">
        <v>62371</v>
      </c>
      <c r="AB471">
        <v>19711416</v>
      </c>
      <c r="AC471">
        <v>1</v>
      </c>
      <c r="AD471" s="8"/>
    </row>
    <row r="472" spans="1:30" x14ac:dyDescent="0.3">
      <c r="A472" t="s">
        <v>1627</v>
      </c>
      <c r="B472">
        <v>1356296</v>
      </c>
      <c r="D472" t="s">
        <v>7</v>
      </c>
      <c r="E472">
        <v>945375</v>
      </c>
      <c r="F472">
        <v>9015884123</v>
      </c>
      <c r="G472">
        <v>104</v>
      </c>
      <c r="H472" t="s">
        <v>1054</v>
      </c>
      <c r="I472">
        <v>0</v>
      </c>
      <c r="J472" t="s">
        <v>1055</v>
      </c>
      <c r="K472" t="s">
        <v>8</v>
      </c>
      <c r="L472" t="s">
        <v>15</v>
      </c>
      <c r="M472" t="s">
        <v>9</v>
      </c>
      <c r="N472" t="s">
        <v>14</v>
      </c>
      <c r="O472" s="2">
        <v>0</v>
      </c>
      <c r="P472" s="3">
        <v>3557.4969999999998</v>
      </c>
      <c r="Q472" s="1">
        <v>46033</v>
      </c>
      <c r="R472" s="1">
        <v>45992</v>
      </c>
      <c r="S472" s="1">
        <v>46022</v>
      </c>
      <c r="V472" s="8">
        <v>1</v>
      </c>
      <c r="W472" t="s">
        <v>24</v>
      </c>
      <c r="X472" t="s">
        <v>1056</v>
      </c>
      <c r="Y472" t="s">
        <v>40</v>
      </c>
      <c r="Z472" t="s">
        <v>11</v>
      </c>
      <c r="AA472">
        <v>62371</v>
      </c>
      <c r="AB472">
        <v>17964231</v>
      </c>
      <c r="AC472">
        <v>0</v>
      </c>
      <c r="AD472" s="8"/>
    </row>
    <row r="473" spans="1:30" x14ac:dyDescent="0.3">
      <c r="A473" t="s">
        <v>1627</v>
      </c>
      <c r="B473">
        <v>1428548</v>
      </c>
      <c r="D473" t="s">
        <v>7</v>
      </c>
      <c r="E473">
        <v>946800</v>
      </c>
      <c r="F473">
        <v>9015884123</v>
      </c>
      <c r="G473">
        <v>501</v>
      </c>
      <c r="H473" t="s">
        <v>1057</v>
      </c>
      <c r="I473">
        <v>0</v>
      </c>
      <c r="J473" t="s">
        <v>1058</v>
      </c>
      <c r="K473" t="s">
        <v>8</v>
      </c>
      <c r="L473" t="s">
        <v>18</v>
      </c>
      <c r="M473" t="s">
        <v>9</v>
      </c>
      <c r="N473" t="s">
        <v>14</v>
      </c>
      <c r="O473" s="2">
        <v>-1.19</v>
      </c>
      <c r="P473" s="3">
        <v>0</v>
      </c>
      <c r="Q473" s="1">
        <v>46033</v>
      </c>
      <c r="R473" s="1">
        <v>45992</v>
      </c>
      <c r="S473" s="1">
        <v>46022</v>
      </c>
      <c r="V473" s="8">
        <v>1</v>
      </c>
      <c r="W473" t="s">
        <v>24</v>
      </c>
      <c r="X473" t="s">
        <v>1059</v>
      </c>
      <c r="Y473" t="s">
        <v>40</v>
      </c>
      <c r="Z473" t="s">
        <v>11</v>
      </c>
      <c r="AA473">
        <v>62371</v>
      </c>
      <c r="AB473">
        <v>18688758</v>
      </c>
      <c r="AC473">
        <v>1</v>
      </c>
      <c r="AD473" s="8"/>
    </row>
    <row r="474" spans="1:30" x14ac:dyDescent="0.3">
      <c r="A474" t="s">
        <v>1627</v>
      </c>
      <c r="B474">
        <v>1363439</v>
      </c>
      <c r="D474" t="s">
        <v>7</v>
      </c>
      <c r="E474">
        <v>945927</v>
      </c>
      <c r="F474">
        <v>9015884123</v>
      </c>
      <c r="G474">
        <v>178</v>
      </c>
      <c r="H474" t="s">
        <v>1060</v>
      </c>
      <c r="I474">
        <v>0</v>
      </c>
      <c r="J474" t="s">
        <v>1061</v>
      </c>
      <c r="K474" t="s">
        <v>8</v>
      </c>
      <c r="L474" t="s">
        <v>67</v>
      </c>
      <c r="M474" t="s">
        <v>9</v>
      </c>
      <c r="N474" t="s">
        <v>14</v>
      </c>
      <c r="O474" s="2">
        <v>1678007.11</v>
      </c>
      <c r="P474" s="3">
        <v>11781.155000000001</v>
      </c>
      <c r="Q474" s="1">
        <v>46033</v>
      </c>
      <c r="R474" s="1">
        <v>45992</v>
      </c>
      <c r="S474" s="1">
        <v>46022</v>
      </c>
      <c r="V474" s="8">
        <v>1</v>
      </c>
      <c r="W474" t="s">
        <v>24</v>
      </c>
      <c r="X474" t="s">
        <v>1062</v>
      </c>
      <c r="Y474" t="s">
        <v>40</v>
      </c>
      <c r="Z474" t="s">
        <v>11</v>
      </c>
      <c r="AA474">
        <v>62371</v>
      </c>
      <c r="AB474">
        <v>18017986</v>
      </c>
      <c r="AC474">
        <v>0</v>
      </c>
      <c r="AD474" s="8"/>
    </row>
    <row r="475" spans="1:30" x14ac:dyDescent="0.3">
      <c r="A475" t="s">
        <v>1627</v>
      </c>
      <c r="B475">
        <v>1374489</v>
      </c>
      <c r="D475" t="s">
        <v>7</v>
      </c>
      <c r="E475">
        <v>945936</v>
      </c>
      <c r="F475">
        <v>9015884123</v>
      </c>
      <c r="G475">
        <v>186</v>
      </c>
      <c r="H475" t="s">
        <v>1063</v>
      </c>
      <c r="I475">
        <v>0</v>
      </c>
      <c r="J475" t="s">
        <v>1064</v>
      </c>
      <c r="K475" t="s">
        <v>8</v>
      </c>
      <c r="L475" t="s">
        <v>18</v>
      </c>
      <c r="M475" t="s">
        <v>9</v>
      </c>
      <c r="N475" t="s">
        <v>14</v>
      </c>
      <c r="O475" s="2">
        <v>-4.25</v>
      </c>
      <c r="P475" s="3">
        <v>0</v>
      </c>
      <c r="Q475" s="1">
        <v>46033</v>
      </c>
      <c r="R475" s="1">
        <v>45992</v>
      </c>
      <c r="S475" s="1">
        <v>46022</v>
      </c>
      <c r="V475" s="8">
        <v>1</v>
      </c>
      <c r="W475" t="s">
        <v>24</v>
      </c>
      <c r="X475" t="s">
        <v>1065</v>
      </c>
      <c r="Y475" t="s">
        <v>40</v>
      </c>
      <c r="Z475" t="s">
        <v>11</v>
      </c>
      <c r="AA475">
        <v>62371</v>
      </c>
      <c r="AB475">
        <v>19861539</v>
      </c>
      <c r="AC475">
        <v>1</v>
      </c>
      <c r="AD475" s="8"/>
    </row>
    <row r="476" spans="1:30" x14ac:dyDescent="0.3">
      <c r="A476" t="s">
        <v>1627</v>
      </c>
      <c r="B476">
        <v>1445868</v>
      </c>
      <c r="D476" t="s">
        <v>7</v>
      </c>
      <c r="E476">
        <v>946906</v>
      </c>
      <c r="F476">
        <v>9015884123</v>
      </c>
      <c r="G476">
        <v>532</v>
      </c>
      <c r="H476" t="s">
        <v>1066</v>
      </c>
      <c r="I476">
        <v>0</v>
      </c>
      <c r="J476" t="s">
        <v>1067</v>
      </c>
      <c r="K476" t="s">
        <v>8</v>
      </c>
      <c r="L476" t="s">
        <v>19</v>
      </c>
      <c r="M476" t="s">
        <v>9</v>
      </c>
      <c r="N476" t="s">
        <v>14</v>
      </c>
      <c r="O476" s="2">
        <v>234176.72</v>
      </c>
      <c r="P476" s="3">
        <v>1435.2929999999999</v>
      </c>
      <c r="Q476" s="1">
        <v>46033</v>
      </c>
      <c r="R476" s="1">
        <v>45992</v>
      </c>
      <c r="S476" s="1">
        <v>46022</v>
      </c>
      <c r="V476" s="8">
        <v>1</v>
      </c>
      <c r="W476" t="s">
        <v>24</v>
      </c>
      <c r="X476" t="s">
        <v>1068</v>
      </c>
      <c r="Y476" t="s">
        <v>40</v>
      </c>
      <c r="Z476" t="s">
        <v>11</v>
      </c>
      <c r="AA476">
        <v>62371</v>
      </c>
      <c r="AB476">
        <v>21106539</v>
      </c>
      <c r="AC476">
        <v>1</v>
      </c>
      <c r="AD476" s="8"/>
    </row>
    <row r="477" spans="1:30" x14ac:dyDescent="0.3">
      <c r="A477" t="s">
        <v>1627</v>
      </c>
      <c r="B477">
        <v>1379575</v>
      </c>
      <c r="D477" t="s">
        <v>7</v>
      </c>
      <c r="E477">
        <v>945974</v>
      </c>
      <c r="F477">
        <v>9015884123</v>
      </c>
      <c r="G477">
        <v>205</v>
      </c>
      <c r="H477" t="s">
        <v>656</v>
      </c>
      <c r="I477">
        <v>0</v>
      </c>
      <c r="J477" t="s">
        <v>657</v>
      </c>
      <c r="K477" t="s">
        <v>8</v>
      </c>
      <c r="L477" t="s">
        <v>15</v>
      </c>
      <c r="M477" t="s">
        <v>9</v>
      </c>
      <c r="N477" t="s">
        <v>14</v>
      </c>
      <c r="O477" s="2">
        <v>0</v>
      </c>
      <c r="P477" s="3">
        <v>2304.9810000000002</v>
      </c>
      <c r="Q477" s="1">
        <v>46033</v>
      </c>
      <c r="R477" s="1">
        <v>45992</v>
      </c>
      <c r="S477" s="1">
        <v>46022</v>
      </c>
      <c r="V477" s="8">
        <v>1</v>
      </c>
      <c r="W477" t="s">
        <v>24</v>
      </c>
      <c r="X477" t="s">
        <v>658</v>
      </c>
      <c r="Y477" t="s">
        <v>40</v>
      </c>
      <c r="Z477" t="s">
        <v>11</v>
      </c>
      <c r="AA477">
        <v>62371</v>
      </c>
      <c r="AB477">
        <v>19752769</v>
      </c>
      <c r="AC477">
        <v>1</v>
      </c>
      <c r="AD477" s="8"/>
    </row>
    <row r="478" spans="1:30" x14ac:dyDescent="0.3">
      <c r="A478" t="s">
        <v>1627</v>
      </c>
      <c r="B478">
        <v>1303767</v>
      </c>
      <c r="D478" t="s">
        <v>7</v>
      </c>
      <c r="E478">
        <v>945163</v>
      </c>
      <c r="F478">
        <v>9015884123</v>
      </c>
      <c r="G478">
        <v>33</v>
      </c>
      <c r="H478" t="s">
        <v>662</v>
      </c>
      <c r="I478">
        <v>0</v>
      </c>
      <c r="J478" t="s">
        <v>663</v>
      </c>
      <c r="K478" t="s">
        <v>8</v>
      </c>
      <c r="L478" t="s">
        <v>19</v>
      </c>
      <c r="M478" t="s">
        <v>9</v>
      </c>
      <c r="N478" t="s">
        <v>14</v>
      </c>
      <c r="O478" s="2">
        <v>60140.95</v>
      </c>
      <c r="P478" s="3">
        <v>368.61</v>
      </c>
      <c r="Q478" s="1">
        <v>46033</v>
      </c>
      <c r="R478" s="1">
        <v>45992</v>
      </c>
      <c r="S478" s="1">
        <v>46022</v>
      </c>
      <c r="V478" s="8">
        <v>1</v>
      </c>
      <c r="W478" t="s">
        <v>24</v>
      </c>
      <c r="X478" t="s">
        <v>664</v>
      </c>
      <c r="Y478" t="s">
        <v>40</v>
      </c>
      <c r="Z478" t="s">
        <v>11</v>
      </c>
      <c r="AA478">
        <v>62371</v>
      </c>
      <c r="AB478">
        <v>18975211</v>
      </c>
      <c r="AC478">
        <v>1</v>
      </c>
      <c r="AD478" s="8"/>
    </row>
    <row r="479" spans="1:30" x14ac:dyDescent="0.3">
      <c r="A479" t="s">
        <v>1627</v>
      </c>
      <c r="B479">
        <v>1380304</v>
      </c>
      <c r="D479" t="s">
        <v>7</v>
      </c>
      <c r="E479">
        <v>945994</v>
      </c>
      <c r="F479">
        <v>9015884123</v>
      </c>
      <c r="G479">
        <v>215</v>
      </c>
      <c r="H479" t="s">
        <v>1069</v>
      </c>
      <c r="I479">
        <v>0</v>
      </c>
      <c r="J479" t="s">
        <v>1070</v>
      </c>
      <c r="K479" t="s">
        <v>8</v>
      </c>
      <c r="L479" t="s">
        <v>15</v>
      </c>
      <c r="M479" t="s">
        <v>9</v>
      </c>
      <c r="N479" t="s">
        <v>14</v>
      </c>
      <c r="O479" s="2">
        <v>0</v>
      </c>
      <c r="P479" s="3">
        <v>5676.7269999999999</v>
      </c>
      <c r="Q479" s="1">
        <v>46033</v>
      </c>
      <c r="R479" s="1">
        <v>45992</v>
      </c>
      <c r="S479" s="1">
        <v>46022</v>
      </c>
      <c r="V479" s="8">
        <v>1</v>
      </c>
      <c r="W479" t="s">
        <v>24</v>
      </c>
      <c r="X479" t="s">
        <v>1071</v>
      </c>
      <c r="Y479" t="s">
        <v>40</v>
      </c>
      <c r="Z479" t="s">
        <v>11</v>
      </c>
      <c r="AA479">
        <v>62371</v>
      </c>
      <c r="AB479">
        <v>19752662</v>
      </c>
      <c r="AC479">
        <v>1</v>
      </c>
      <c r="AD479" s="8"/>
    </row>
    <row r="480" spans="1:30" x14ac:dyDescent="0.3">
      <c r="A480" t="s">
        <v>1627</v>
      </c>
      <c r="B480">
        <v>1295340</v>
      </c>
      <c r="D480" t="s">
        <v>7</v>
      </c>
      <c r="E480">
        <v>945115</v>
      </c>
      <c r="F480">
        <v>9015884123</v>
      </c>
      <c r="G480">
        <v>10</v>
      </c>
      <c r="H480" t="s">
        <v>1072</v>
      </c>
      <c r="I480">
        <v>0</v>
      </c>
      <c r="J480" t="s">
        <v>1073</v>
      </c>
      <c r="K480" t="s">
        <v>8</v>
      </c>
      <c r="L480" t="s">
        <v>15</v>
      </c>
      <c r="M480" t="s">
        <v>9</v>
      </c>
      <c r="N480" t="s">
        <v>14</v>
      </c>
      <c r="O480" s="2">
        <v>0</v>
      </c>
      <c r="P480" s="3">
        <v>3513.4749999999999</v>
      </c>
      <c r="Q480" s="1">
        <v>46033</v>
      </c>
      <c r="R480" s="1">
        <v>45992</v>
      </c>
      <c r="S480" s="1">
        <v>46022</v>
      </c>
      <c r="V480" s="8">
        <v>1</v>
      </c>
      <c r="W480" t="s">
        <v>24</v>
      </c>
      <c r="X480" t="s">
        <v>1074</v>
      </c>
      <c r="Y480" t="s">
        <v>40</v>
      </c>
      <c r="Z480" t="s">
        <v>11</v>
      </c>
      <c r="AA480">
        <v>62371</v>
      </c>
      <c r="AB480">
        <v>17998235</v>
      </c>
      <c r="AC480">
        <v>0</v>
      </c>
      <c r="AD480" s="8" t="s">
        <v>1650</v>
      </c>
    </row>
    <row r="481" spans="1:30" x14ac:dyDescent="0.3">
      <c r="A481" t="s">
        <v>1627</v>
      </c>
      <c r="B481">
        <v>1295340</v>
      </c>
      <c r="D481" t="s">
        <v>7</v>
      </c>
      <c r="E481">
        <v>945115</v>
      </c>
      <c r="F481">
        <v>9015884123</v>
      </c>
      <c r="G481">
        <v>10</v>
      </c>
      <c r="H481" t="s">
        <v>1072</v>
      </c>
      <c r="I481">
        <v>0</v>
      </c>
      <c r="J481" t="s">
        <v>1073</v>
      </c>
      <c r="K481" t="s">
        <v>8</v>
      </c>
      <c r="L481" t="s">
        <v>18</v>
      </c>
      <c r="M481" t="s">
        <v>9</v>
      </c>
      <c r="N481" t="s">
        <v>14</v>
      </c>
      <c r="O481" s="2">
        <v>-1</v>
      </c>
      <c r="P481" s="3">
        <v>0</v>
      </c>
      <c r="Q481" s="1">
        <v>46033</v>
      </c>
      <c r="R481" s="1">
        <v>45992</v>
      </c>
      <c r="S481" s="1">
        <v>46022</v>
      </c>
      <c r="V481" s="8">
        <v>1</v>
      </c>
      <c r="W481" t="s">
        <v>24</v>
      </c>
      <c r="X481" t="s">
        <v>1074</v>
      </c>
      <c r="Y481" t="s">
        <v>40</v>
      </c>
      <c r="Z481" t="s">
        <v>11</v>
      </c>
      <c r="AA481">
        <v>62371</v>
      </c>
      <c r="AB481">
        <v>17998235</v>
      </c>
      <c r="AC481">
        <v>0</v>
      </c>
      <c r="AD481" s="8" t="s">
        <v>1650</v>
      </c>
    </row>
    <row r="482" spans="1:30" x14ac:dyDescent="0.3">
      <c r="A482" t="s">
        <v>1627</v>
      </c>
      <c r="B482">
        <v>1403632</v>
      </c>
      <c r="D482" t="s">
        <v>7</v>
      </c>
      <c r="E482">
        <v>946107</v>
      </c>
      <c r="F482">
        <v>9015884123</v>
      </c>
      <c r="G482">
        <v>256</v>
      </c>
      <c r="H482" t="s">
        <v>1045</v>
      </c>
      <c r="I482">
        <v>0</v>
      </c>
      <c r="J482" t="s">
        <v>1046</v>
      </c>
      <c r="K482" t="s">
        <v>8</v>
      </c>
      <c r="L482" t="s">
        <v>15</v>
      </c>
      <c r="M482" t="s">
        <v>9</v>
      </c>
      <c r="N482" t="s">
        <v>14</v>
      </c>
      <c r="O482" s="2">
        <v>0</v>
      </c>
      <c r="P482" s="3">
        <v>1823.422</v>
      </c>
      <c r="Q482" s="1">
        <v>46033</v>
      </c>
      <c r="R482" s="1">
        <v>45992</v>
      </c>
      <c r="S482" s="1">
        <v>46022</v>
      </c>
      <c r="V482" s="8">
        <v>1</v>
      </c>
      <c r="W482" t="s">
        <v>24</v>
      </c>
      <c r="X482" t="s">
        <v>1047</v>
      </c>
      <c r="Y482" t="s">
        <v>40</v>
      </c>
      <c r="Z482" t="s">
        <v>11</v>
      </c>
      <c r="AA482">
        <v>62371</v>
      </c>
      <c r="AB482">
        <v>18766882</v>
      </c>
      <c r="AC482">
        <v>1</v>
      </c>
      <c r="AD482" s="8"/>
    </row>
    <row r="483" spans="1:30" x14ac:dyDescent="0.3">
      <c r="A483" t="s">
        <v>1627</v>
      </c>
      <c r="B483">
        <v>1424496</v>
      </c>
      <c r="D483" t="s">
        <v>7</v>
      </c>
      <c r="E483">
        <v>946700</v>
      </c>
      <c r="F483">
        <v>9015884123</v>
      </c>
      <c r="G483">
        <v>468</v>
      </c>
      <c r="H483" t="s">
        <v>674</v>
      </c>
      <c r="I483">
        <v>0</v>
      </c>
      <c r="J483" t="s">
        <v>675</v>
      </c>
      <c r="K483" t="s">
        <v>8</v>
      </c>
      <c r="L483" t="s">
        <v>19</v>
      </c>
      <c r="M483" t="s">
        <v>9</v>
      </c>
      <c r="N483" t="s">
        <v>14</v>
      </c>
      <c r="O483" s="2">
        <v>1066.01</v>
      </c>
      <c r="P483" s="3">
        <v>5.3949999999999996</v>
      </c>
      <c r="Q483" s="1">
        <v>46033</v>
      </c>
      <c r="R483" s="1">
        <v>45992</v>
      </c>
      <c r="S483" s="1">
        <v>46022</v>
      </c>
      <c r="V483" s="8">
        <v>1</v>
      </c>
      <c r="W483" t="s">
        <v>24</v>
      </c>
      <c r="X483" t="s">
        <v>676</v>
      </c>
      <c r="Y483" t="s">
        <v>677</v>
      </c>
      <c r="Z483" t="s">
        <v>11</v>
      </c>
      <c r="AA483">
        <v>62371</v>
      </c>
      <c r="AB483">
        <v>17636730</v>
      </c>
      <c r="AC483">
        <v>0</v>
      </c>
      <c r="AD483" s="8"/>
    </row>
    <row r="484" spans="1:30" x14ac:dyDescent="0.3">
      <c r="A484" t="s">
        <v>1627</v>
      </c>
      <c r="B484">
        <v>1419801</v>
      </c>
      <c r="D484" t="s">
        <v>7</v>
      </c>
      <c r="E484">
        <v>946674</v>
      </c>
      <c r="F484">
        <v>9015884123</v>
      </c>
      <c r="G484">
        <v>460</v>
      </c>
      <c r="H484" t="s">
        <v>1075</v>
      </c>
      <c r="I484">
        <v>0</v>
      </c>
      <c r="J484" t="s">
        <v>1076</v>
      </c>
      <c r="K484" t="s">
        <v>8</v>
      </c>
      <c r="L484" t="s">
        <v>18</v>
      </c>
      <c r="M484" t="s">
        <v>9</v>
      </c>
      <c r="N484" t="s">
        <v>14</v>
      </c>
      <c r="O484" s="2">
        <v>2.1</v>
      </c>
      <c r="P484" s="3">
        <v>0</v>
      </c>
      <c r="Q484" s="1">
        <v>46033</v>
      </c>
      <c r="R484" s="1">
        <v>45992</v>
      </c>
      <c r="S484" s="1">
        <v>46022</v>
      </c>
      <c r="V484" s="8">
        <v>1</v>
      </c>
      <c r="W484" t="s">
        <v>24</v>
      </c>
      <c r="X484" t="s">
        <v>1077</v>
      </c>
      <c r="Y484" t="s">
        <v>678</v>
      </c>
      <c r="Z484" t="s">
        <v>11</v>
      </c>
      <c r="AA484">
        <v>62371</v>
      </c>
      <c r="AB484">
        <v>21411268</v>
      </c>
      <c r="AC484">
        <v>0</v>
      </c>
      <c r="AD484" s="8"/>
    </row>
    <row r="485" spans="1:30" x14ac:dyDescent="0.3">
      <c r="A485" t="s">
        <v>1627</v>
      </c>
      <c r="B485">
        <v>1403635</v>
      </c>
      <c r="D485" t="s">
        <v>7</v>
      </c>
      <c r="E485">
        <v>946158</v>
      </c>
      <c r="F485">
        <v>9015884123</v>
      </c>
      <c r="G485">
        <v>271</v>
      </c>
      <c r="H485" t="s">
        <v>668</v>
      </c>
      <c r="I485">
        <v>0</v>
      </c>
      <c r="J485" t="s">
        <v>669</v>
      </c>
      <c r="K485" t="s">
        <v>8</v>
      </c>
      <c r="L485" t="s">
        <v>18</v>
      </c>
      <c r="M485" t="s">
        <v>9</v>
      </c>
      <c r="N485" t="s">
        <v>14</v>
      </c>
      <c r="O485" s="2">
        <v>2.48</v>
      </c>
      <c r="P485" s="3">
        <v>0</v>
      </c>
      <c r="Q485" s="1">
        <v>46033</v>
      </c>
      <c r="R485" s="1">
        <v>45992</v>
      </c>
      <c r="S485" s="1">
        <v>46022</v>
      </c>
      <c r="V485" s="8">
        <v>1</v>
      </c>
      <c r="W485" t="s">
        <v>24</v>
      </c>
      <c r="X485" t="s">
        <v>670</v>
      </c>
      <c r="Y485" t="s">
        <v>40</v>
      </c>
      <c r="Z485" t="s">
        <v>11</v>
      </c>
      <c r="AA485">
        <v>62371</v>
      </c>
      <c r="AB485">
        <v>20066211</v>
      </c>
      <c r="AC485">
        <v>1</v>
      </c>
      <c r="AD485" s="8"/>
    </row>
    <row r="486" spans="1:30" x14ac:dyDescent="0.3">
      <c r="A486" t="s">
        <v>1627</v>
      </c>
      <c r="B486">
        <v>1415557</v>
      </c>
      <c r="D486" t="s">
        <v>7</v>
      </c>
      <c r="E486">
        <v>946464</v>
      </c>
      <c r="F486">
        <v>9015884123</v>
      </c>
      <c r="G486">
        <v>394</v>
      </c>
      <c r="H486" t="s">
        <v>1078</v>
      </c>
      <c r="I486">
        <v>0</v>
      </c>
      <c r="J486" t="s">
        <v>1079</v>
      </c>
      <c r="K486" t="s">
        <v>8</v>
      </c>
      <c r="L486" t="s">
        <v>18</v>
      </c>
      <c r="M486" t="s">
        <v>9</v>
      </c>
      <c r="N486" t="s">
        <v>14</v>
      </c>
      <c r="O486" s="2">
        <v>-0.75</v>
      </c>
      <c r="P486" s="3">
        <v>0</v>
      </c>
      <c r="Q486" s="1">
        <v>46033</v>
      </c>
      <c r="R486" s="1">
        <v>45992</v>
      </c>
      <c r="S486" s="1">
        <v>46022</v>
      </c>
      <c r="V486" s="8">
        <v>1</v>
      </c>
      <c r="W486" t="s">
        <v>24</v>
      </c>
      <c r="X486" t="s">
        <v>1080</v>
      </c>
      <c r="Y486" t="s">
        <v>42</v>
      </c>
      <c r="Z486" t="s">
        <v>11</v>
      </c>
      <c r="AA486">
        <v>62371</v>
      </c>
      <c r="AB486">
        <v>17556364</v>
      </c>
      <c r="AC486">
        <v>0</v>
      </c>
      <c r="AD486" s="8"/>
    </row>
    <row r="487" spans="1:30" x14ac:dyDescent="0.3">
      <c r="A487" t="s">
        <v>1627</v>
      </c>
      <c r="B487">
        <v>1415556</v>
      </c>
      <c r="D487" t="s">
        <v>7</v>
      </c>
      <c r="E487">
        <v>946458</v>
      </c>
      <c r="F487">
        <v>9015884123</v>
      </c>
      <c r="G487">
        <v>392</v>
      </c>
      <c r="H487" t="s">
        <v>691</v>
      </c>
      <c r="I487">
        <v>0</v>
      </c>
      <c r="J487" t="s">
        <v>692</v>
      </c>
      <c r="K487" t="s">
        <v>8</v>
      </c>
      <c r="L487" t="s">
        <v>15</v>
      </c>
      <c r="M487" t="s">
        <v>9</v>
      </c>
      <c r="N487" t="s">
        <v>14</v>
      </c>
      <c r="O487" s="2">
        <v>0</v>
      </c>
      <c r="P487" s="3">
        <v>3199.5219999999999</v>
      </c>
      <c r="Q487" s="1">
        <v>46033</v>
      </c>
      <c r="R487" s="1">
        <v>45992</v>
      </c>
      <c r="S487" s="1">
        <v>46022</v>
      </c>
      <c r="V487" s="8">
        <v>1</v>
      </c>
      <c r="W487" t="s">
        <v>24</v>
      </c>
      <c r="X487" t="s">
        <v>693</v>
      </c>
      <c r="Y487" t="s">
        <v>42</v>
      </c>
      <c r="Z487" t="s">
        <v>11</v>
      </c>
      <c r="AA487">
        <v>62371</v>
      </c>
      <c r="AB487">
        <v>21406197</v>
      </c>
      <c r="AC487">
        <v>0</v>
      </c>
      <c r="AD487" s="8"/>
    </row>
    <row r="488" spans="1:30" x14ac:dyDescent="0.3">
      <c r="A488" t="s">
        <v>1627</v>
      </c>
      <c r="B488">
        <v>1424769</v>
      </c>
      <c r="D488" t="s">
        <v>7</v>
      </c>
      <c r="E488">
        <v>946704</v>
      </c>
      <c r="F488">
        <v>9015884123</v>
      </c>
      <c r="G488">
        <v>469</v>
      </c>
      <c r="H488" t="s">
        <v>1081</v>
      </c>
      <c r="I488">
        <v>0</v>
      </c>
      <c r="J488" t="s">
        <v>1082</v>
      </c>
      <c r="K488" t="s">
        <v>8</v>
      </c>
      <c r="L488" t="s">
        <v>15</v>
      </c>
      <c r="M488" t="s">
        <v>9</v>
      </c>
      <c r="N488" t="s">
        <v>14</v>
      </c>
      <c r="O488" s="2">
        <v>0</v>
      </c>
      <c r="P488" s="3">
        <v>11751.71</v>
      </c>
      <c r="Q488" s="1">
        <v>46033</v>
      </c>
      <c r="R488" s="1">
        <v>45992</v>
      </c>
      <c r="S488" s="1">
        <v>46022</v>
      </c>
      <c r="V488" s="8">
        <v>2</v>
      </c>
      <c r="W488" t="s">
        <v>24</v>
      </c>
      <c r="X488" t="s">
        <v>1083</v>
      </c>
      <c r="Y488" t="s">
        <v>655</v>
      </c>
      <c r="Z488" t="s">
        <v>11</v>
      </c>
      <c r="AA488">
        <v>62371</v>
      </c>
      <c r="AB488">
        <v>19668819</v>
      </c>
      <c r="AC488">
        <v>1</v>
      </c>
      <c r="AD488" s="8"/>
    </row>
    <row r="489" spans="1:30" x14ac:dyDescent="0.3">
      <c r="A489" t="s">
        <v>1627</v>
      </c>
      <c r="B489">
        <v>1424769</v>
      </c>
      <c r="D489" t="s">
        <v>7</v>
      </c>
      <c r="E489">
        <v>946704</v>
      </c>
      <c r="F489">
        <v>9015884123</v>
      </c>
      <c r="G489">
        <v>469</v>
      </c>
      <c r="H489" t="s">
        <v>1081</v>
      </c>
      <c r="I489">
        <v>0</v>
      </c>
      <c r="J489" t="s">
        <v>1082</v>
      </c>
      <c r="K489" t="s">
        <v>8</v>
      </c>
      <c r="L489" t="s">
        <v>19</v>
      </c>
      <c r="M489" t="s">
        <v>9</v>
      </c>
      <c r="N489" t="s">
        <v>14</v>
      </c>
      <c r="O489" s="2">
        <v>4107269.61</v>
      </c>
      <c r="P489" s="3">
        <v>32270.052</v>
      </c>
      <c r="Q489" s="1">
        <v>46033</v>
      </c>
      <c r="R489" s="1">
        <v>45992</v>
      </c>
      <c r="S489" s="1">
        <v>46022</v>
      </c>
      <c r="V489" s="8">
        <v>2</v>
      </c>
      <c r="W489" t="s">
        <v>24</v>
      </c>
      <c r="X489" t="s">
        <v>1083</v>
      </c>
      <c r="Y489" t="s">
        <v>655</v>
      </c>
      <c r="Z489" t="s">
        <v>11</v>
      </c>
      <c r="AA489">
        <v>62371</v>
      </c>
      <c r="AB489">
        <v>19668819</v>
      </c>
      <c r="AC489">
        <v>1</v>
      </c>
      <c r="AD489" s="8"/>
    </row>
    <row r="490" spans="1:30" x14ac:dyDescent="0.3">
      <c r="A490" t="s">
        <v>1627</v>
      </c>
      <c r="B490">
        <v>1414344</v>
      </c>
      <c r="D490" t="s">
        <v>7</v>
      </c>
      <c r="E490">
        <v>946579</v>
      </c>
      <c r="F490">
        <v>9015884123</v>
      </c>
      <c r="G490">
        <v>429</v>
      </c>
      <c r="H490" t="s">
        <v>694</v>
      </c>
      <c r="I490">
        <v>0</v>
      </c>
      <c r="J490" t="s">
        <v>695</v>
      </c>
      <c r="K490" t="s">
        <v>8</v>
      </c>
      <c r="L490" t="s">
        <v>67</v>
      </c>
      <c r="M490" t="s">
        <v>9</v>
      </c>
      <c r="N490" t="s">
        <v>14</v>
      </c>
      <c r="O490" s="2">
        <v>232132.98</v>
      </c>
      <c r="P490" s="3">
        <v>2149.4639999999999</v>
      </c>
      <c r="Q490" s="1">
        <v>46033</v>
      </c>
      <c r="R490" s="1">
        <v>45992</v>
      </c>
      <c r="S490" s="1">
        <v>46022</v>
      </c>
      <c r="V490" s="8">
        <v>1</v>
      </c>
      <c r="W490" t="s">
        <v>24</v>
      </c>
      <c r="X490" t="s">
        <v>696</v>
      </c>
      <c r="Y490" t="s">
        <v>29</v>
      </c>
      <c r="Z490" t="s">
        <v>11</v>
      </c>
      <c r="AA490">
        <v>62371</v>
      </c>
      <c r="AB490">
        <v>21409996</v>
      </c>
      <c r="AC490">
        <v>1</v>
      </c>
      <c r="AD490" s="8"/>
    </row>
    <row r="491" spans="1:30" x14ac:dyDescent="0.3">
      <c r="A491" t="s">
        <v>1627</v>
      </c>
      <c r="B491">
        <v>1320917</v>
      </c>
      <c r="D491" t="s">
        <v>7</v>
      </c>
      <c r="E491">
        <v>945186</v>
      </c>
      <c r="F491">
        <v>9015884123</v>
      </c>
      <c r="G491">
        <v>45</v>
      </c>
      <c r="H491" t="s">
        <v>103</v>
      </c>
      <c r="I491">
        <v>0</v>
      </c>
      <c r="J491" t="s">
        <v>104</v>
      </c>
      <c r="K491" t="s">
        <v>8</v>
      </c>
      <c r="L491" t="s">
        <v>18</v>
      </c>
      <c r="M491" t="s">
        <v>9</v>
      </c>
      <c r="N491" t="s">
        <v>14</v>
      </c>
      <c r="O491" s="2">
        <v>-2.8</v>
      </c>
      <c r="P491" s="3">
        <v>0</v>
      </c>
      <c r="Q491" s="1">
        <v>46033</v>
      </c>
      <c r="R491" s="1">
        <v>45992</v>
      </c>
      <c r="S491" s="1">
        <v>46022</v>
      </c>
      <c r="V491" s="8">
        <v>1</v>
      </c>
      <c r="W491" t="s">
        <v>24</v>
      </c>
      <c r="X491" t="s">
        <v>105</v>
      </c>
      <c r="Y491" t="s">
        <v>34</v>
      </c>
      <c r="Z491" t="s">
        <v>11</v>
      </c>
      <c r="AA491">
        <v>62371</v>
      </c>
      <c r="AB491">
        <v>21104556</v>
      </c>
      <c r="AC491">
        <v>1</v>
      </c>
      <c r="AD491" s="8"/>
    </row>
    <row r="492" spans="1:30" x14ac:dyDescent="0.3">
      <c r="A492" t="s">
        <v>1627</v>
      </c>
      <c r="B492">
        <v>1307882</v>
      </c>
      <c r="D492" t="s">
        <v>7</v>
      </c>
      <c r="E492">
        <v>945169</v>
      </c>
      <c r="F492">
        <v>9015884123</v>
      </c>
      <c r="G492">
        <v>38</v>
      </c>
      <c r="H492" t="s">
        <v>697</v>
      </c>
      <c r="I492">
        <v>0</v>
      </c>
      <c r="J492" t="s">
        <v>698</v>
      </c>
      <c r="K492" t="s">
        <v>8</v>
      </c>
      <c r="L492" t="s">
        <v>15</v>
      </c>
      <c r="M492" t="s">
        <v>9</v>
      </c>
      <c r="N492" t="s">
        <v>14</v>
      </c>
      <c r="O492" s="2">
        <v>0</v>
      </c>
      <c r="P492" s="3">
        <v>2950.422</v>
      </c>
      <c r="Q492" s="1">
        <v>46033</v>
      </c>
      <c r="R492" s="1">
        <v>45992</v>
      </c>
      <c r="S492" s="1">
        <v>46022</v>
      </c>
      <c r="V492" s="8">
        <v>1</v>
      </c>
      <c r="W492" t="s">
        <v>24</v>
      </c>
      <c r="X492" t="s">
        <v>699</v>
      </c>
      <c r="Y492" t="s">
        <v>40</v>
      </c>
      <c r="Z492" t="s">
        <v>11</v>
      </c>
      <c r="AA492">
        <v>62371</v>
      </c>
      <c r="AB492">
        <v>20091581</v>
      </c>
      <c r="AC492">
        <v>0</v>
      </c>
      <c r="AD492" s="8"/>
    </row>
    <row r="493" spans="1:30" x14ac:dyDescent="0.3">
      <c r="A493" t="s">
        <v>1627</v>
      </c>
      <c r="B493">
        <v>1420744</v>
      </c>
      <c r="D493" t="s">
        <v>7</v>
      </c>
      <c r="E493">
        <v>946687</v>
      </c>
      <c r="F493">
        <v>9015884123</v>
      </c>
      <c r="G493">
        <v>464</v>
      </c>
      <c r="H493" t="s">
        <v>1084</v>
      </c>
      <c r="I493">
        <v>0</v>
      </c>
      <c r="J493" t="s">
        <v>1085</v>
      </c>
      <c r="K493" t="s">
        <v>8</v>
      </c>
      <c r="L493" t="s">
        <v>15</v>
      </c>
      <c r="M493" t="s">
        <v>9</v>
      </c>
      <c r="N493" t="s">
        <v>14</v>
      </c>
      <c r="O493" s="2">
        <v>0</v>
      </c>
      <c r="P493" s="3">
        <v>2224.1329999999998</v>
      </c>
      <c r="Q493" s="1">
        <v>46033</v>
      </c>
      <c r="R493" s="1">
        <v>45992</v>
      </c>
      <c r="S493" s="1">
        <v>46022</v>
      </c>
      <c r="V493" s="8">
        <v>1</v>
      </c>
      <c r="W493" t="s">
        <v>24</v>
      </c>
      <c r="X493" t="s">
        <v>1086</v>
      </c>
      <c r="Y493" t="s">
        <v>99</v>
      </c>
      <c r="Z493" t="s">
        <v>11</v>
      </c>
      <c r="AA493">
        <v>62371</v>
      </c>
      <c r="AB493">
        <v>18758141</v>
      </c>
      <c r="AC493">
        <v>0</v>
      </c>
      <c r="AD493" s="8"/>
    </row>
    <row r="494" spans="1:30" x14ac:dyDescent="0.3">
      <c r="A494" t="s">
        <v>1627</v>
      </c>
      <c r="B494">
        <v>1415113</v>
      </c>
      <c r="D494" t="s">
        <v>7</v>
      </c>
      <c r="E494">
        <v>946539</v>
      </c>
      <c r="F494">
        <v>9015884123</v>
      </c>
      <c r="G494">
        <v>417</v>
      </c>
      <c r="H494" t="s">
        <v>1087</v>
      </c>
      <c r="I494">
        <v>0</v>
      </c>
      <c r="J494" t="s">
        <v>1088</v>
      </c>
      <c r="K494" t="s">
        <v>8</v>
      </c>
      <c r="L494" t="s">
        <v>19</v>
      </c>
      <c r="M494" t="s">
        <v>9</v>
      </c>
      <c r="N494" t="s">
        <v>14</v>
      </c>
      <c r="O494" s="2">
        <v>14406.81</v>
      </c>
      <c r="P494" s="3">
        <v>72.912000000000006</v>
      </c>
      <c r="Q494" s="1">
        <v>46033</v>
      </c>
      <c r="R494" s="1">
        <v>45992</v>
      </c>
      <c r="S494" s="1">
        <v>46022</v>
      </c>
      <c r="V494" s="8">
        <v>1</v>
      </c>
      <c r="W494" t="s">
        <v>24</v>
      </c>
      <c r="X494" t="s">
        <v>1089</v>
      </c>
      <c r="Y494" t="s">
        <v>82</v>
      </c>
      <c r="Z494" t="s">
        <v>11</v>
      </c>
      <c r="AA494">
        <v>62371</v>
      </c>
      <c r="AB494">
        <v>19453501</v>
      </c>
      <c r="AC494">
        <v>0</v>
      </c>
      <c r="AD494" s="8"/>
    </row>
    <row r="495" spans="1:30" x14ac:dyDescent="0.3">
      <c r="A495" t="s">
        <v>1627</v>
      </c>
      <c r="B495">
        <v>1354503</v>
      </c>
      <c r="D495" t="s">
        <v>7</v>
      </c>
      <c r="E495">
        <v>945314</v>
      </c>
      <c r="F495">
        <v>9015884123</v>
      </c>
      <c r="G495">
        <v>86</v>
      </c>
      <c r="H495" t="s">
        <v>1090</v>
      </c>
      <c r="I495">
        <v>0</v>
      </c>
      <c r="J495" t="s">
        <v>1091</v>
      </c>
      <c r="K495" t="s">
        <v>8</v>
      </c>
      <c r="L495" t="s">
        <v>67</v>
      </c>
      <c r="M495" t="s">
        <v>9</v>
      </c>
      <c r="N495" t="s">
        <v>14</v>
      </c>
      <c r="O495" s="2">
        <v>467695.63</v>
      </c>
      <c r="P495" s="3">
        <v>3283.654</v>
      </c>
      <c r="Q495" s="1">
        <v>46033</v>
      </c>
      <c r="R495" s="1">
        <v>45992</v>
      </c>
      <c r="S495" s="1">
        <v>46022</v>
      </c>
      <c r="V495" s="8">
        <v>1</v>
      </c>
      <c r="W495" t="s">
        <v>24</v>
      </c>
      <c r="X495" t="s">
        <v>1092</v>
      </c>
      <c r="Y495" t="s">
        <v>30</v>
      </c>
      <c r="Z495" t="s">
        <v>11</v>
      </c>
      <c r="AA495">
        <v>62371</v>
      </c>
      <c r="AB495">
        <v>18448574</v>
      </c>
      <c r="AC495">
        <v>0</v>
      </c>
      <c r="AD495" s="8"/>
    </row>
    <row r="496" spans="1:30" x14ac:dyDescent="0.3">
      <c r="A496" t="s">
        <v>1627</v>
      </c>
      <c r="B496">
        <v>1438104</v>
      </c>
      <c r="D496" t="s">
        <v>7</v>
      </c>
      <c r="E496">
        <v>946835</v>
      </c>
      <c r="F496">
        <v>9015884123</v>
      </c>
      <c r="G496">
        <v>513</v>
      </c>
      <c r="H496" t="s">
        <v>1093</v>
      </c>
      <c r="I496">
        <v>0</v>
      </c>
      <c r="J496" t="s">
        <v>1094</v>
      </c>
      <c r="K496" t="s">
        <v>8</v>
      </c>
      <c r="L496" t="s">
        <v>18</v>
      </c>
      <c r="M496" t="s">
        <v>9</v>
      </c>
      <c r="N496" t="s">
        <v>14</v>
      </c>
      <c r="O496" s="2">
        <v>3.82</v>
      </c>
      <c r="P496" s="3">
        <v>0</v>
      </c>
      <c r="Q496" s="1">
        <v>46033</v>
      </c>
      <c r="R496" s="1">
        <v>45992</v>
      </c>
      <c r="S496" s="1">
        <v>46022</v>
      </c>
      <c r="V496" s="8">
        <v>1</v>
      </c>
      <c r="W496" t="s">
        <v>24</v>
      </c>
      <c r="X496" t="s">
        <v>1095</v>
      </c>
      <c r="Y496" t="s">
        <v>34</v>
      </c>
      <c r="Z496" t="s">
        <v>11</v>
      </c>
      <c r="AA496">
        <v>62371</v>
      </c>
      <c r="AB496">
        <v>21249990</v>
      </c>
      <c r="AC496">
        <v>1</v>
      </c>
      <c r="AD496" s="8"/>
    </row>
    <row r="497" spans="1:30" x14ac:dyDescent="0.3">
      <c r="A497" t="s">
        <v>1627</v>
      </c>
      <c r="B497">
        <v>1438104</v>
      </c>
      <c r="D497" t="s">
        <v>7</v>
      </c>
      <c r="E497">
        <v>946835</v>
      </c>
      <c r="F497">
        <v>9015884123</v>
      </c>
      <c r="G497">
        <v>513</v>
      </c>
      <c r="H497" t="s">
        <v>1093</v>
      </c>
      <c r="I497">
        <v>0</v>
      </c>
      <c r="J497" t="s">
        <v>1094</v>
      </c>
      <c r="K497" t="s">
        <v>8</v>
      </c>
      <c r="L497" t="s">
        <v>67</v>
      </c>
      <c r="M497" t="s">
        <v>9</v>
      </c>
      <c r="N497" t="s">
        <v>14</v>
      </c>
      <c r="O497" s="2">
        <v>171176.18</v>
      </c>
      <c r="P497" s="3">
        <v>1585.027</v>
      </c>
      <c r="Q497" s="1">
        <v>46033</v>
      </c>
      <c r="R497" s="1">
        <v>45992</v>
      </c>
      <c r="S497" s="1">
        <v>46022</v>
      </c>
      <c r="V497" s="8">
        <v>1</v>
      </c>
      <c r="W497" t="s">
        <v>24</v>
      </c>
      <c r="X497" t="s">
        <v>1095</v>
      </c>
      <c r="Y497" t="s">
        <v>34</v>
      </c>
      <c r="Z497" t="s">
        <v>11</v>
      </c>
      <c r="AA497">
        <v>62371</v>
      </c>
      <c r="AB497">
        <v>21249990</v>
      </c>
      <c r="AC497">
        <v>1</v>
      </c>
      <c r="AD497" s="8"/>
    </row>
    <row r="498" spans="1:30" x14ac:dyDescent="0.3">
      <c r="A498" t="s">
        <v>1627</v>
      </c>
      <c r="B498">
        <v>1415100</v>
      </c>
      <c r="D498" t="s">
        <v>7</v>
      </c>
      <c r="E498">
        <v>946438</v>
      </c>
      <c r="F498">
        <v>9015884123</v>
      </c>
      <c r="G498">
        <v>386</v>
      </c>
      <c r="H498" t="s">
        <v>1096</v>
      </c>
      <c r="I498">
        <v>0</v>
      </c>
      <c r="J498" t="s">
        <v>1097</v>
      </c>
      <c r="K498" t="s">
        <v>8</v>
      </c>
      <c r="L498" t="s">
        <v>67</v>
      </c>
      <c r="M498" t="s">
        <v>9</v>
      </c>
      <c r="N498" t="s">
        <v>14</v>
      </c>
      <c r="O498" s="2">
        <v>485997.65</v>
      </c>
      <c r="P498" s="3">
        <v>3412.1509999999998</v>
      </c>
      <c r="Q498" s="1">
        <v>46033</v>
      </c>
      <c r="R498" s="1">
        <v>45992</v>
      </c>
      <c r="S498" s="1">
        <v>46022</v>
      </c>
      <c r="V498" s="8">
        <v>1</v>
      </c>
      <c r="W498" t="s">
        <v>24</v>
      </c>
      <c r="X498" t="s">
        <v>1098</v>
      </c>
      <c r="Y498" t="s">
        <v>43</v>
      </c>
      <c r="Z498" t="s">
        <v>11</v>
      </c>
      <c r="AA498">
        <v>62371</v>
      </c>
      <c r="AB498">
        <v>19999263</v>
      </c>
      <c r="AC498">
        <v>0</v>
      </c>
      <c r="AD498" s="8"/>
    </row>
    <row r="499" spans="1:30" x14ac:dyDescent="0.3">
      <c r="A499" t="s">
        <v>1627</v>
      </c>
      <c r="B499">
        <v>1428552</v>
      </c>
      <c r="D499" t="s">
        <v>7</v>
      </c>
      <c r="E499">
        <v>946728</v>
      </c>
      <c r="F499">
        <v>9015884123</v>
      </c>
      <c r="G499">
        <v>477</v>
      </c>
      <c r="H499" t="s">
        <v>1099</v>
      </c>
      <c r="I499">
        <v>0</v>
      </c>
      <c r="J499" t="s">
        <v>1100</v>
      </c>
      <c r="K499" t="s">
        <v>8</v>
      </c>
      <c r="L499" t="s">
        <v>19</v>
      </c>
      <c r="M499" t="s">
        <v>9</v>
      </c>
      <c r="N499" t="s">
        <v>14</v>
      </c>
      <c r="O499" s="2">
        <v>82734.31</v>
      </c>
      <c r="P499" s="3">
        <v>507.08699999999999</v>
      </c>
      <c r="Q499" s="1">
        <v>46033</v>
      </c>
      <c r="R499" s="1">
        <v>45992</v>
      </c>
      <c r="S499" s="1">
        <v>46022</v>
      </c>
      <c r="V499" s="8">
        <v>1</v>
      </c>
      <c r="W499" t="s">
        <v>24</v>
      </c>
      <c r="X499" t="s">
        <v>1101</v>
      </c>
      <c r="Y499" t="s">
        <v>34</v>
      </c>
      <c r="Z499" t="s">
        <v>11</v>
      </c>
      <c r="AA499">
        <v>62371</v>
      </c>
      <c r="AB499">
        <v>21249975</v>
      </c>
      <c r="AC499">
        <v>1</v>
      </c>
      <c r="AD499" s="8"/>
    </row>
    <row r="500" spans="1:30" x14ac:dyDescent="0.3">
      <c r="A500" t="s">
        <v>1627</v>
      </c>
      <c r="B500">
        <v>1379275</v>
      </c>
      <c r="D500" t="s">
        <v>7</v>
      </c>
      <c r="E500">
        <v>945985</v>
      </c>
      <c r="F500">
        <v>9015884123</v>
      </c>
      <c r="G500">
        <v>211</v>
      </c>
      <c r="H500" t="s">
        <v>1102</v>
      </c>
      <c r="I500">
        <v>0</v>
      </c>
      <c r="J500" t="s">
        <v>1103</v>
      </c>
      <c r="K500" t="s">
        <v>8</v>
      </c>
      <c r="L500" t="s">
        <v>19</v>
      </c>
      <c r="M500" t="s">
        <v>9</v>
      </c>
      <c r="N500" t="s">
        <v>14</v>
      </c>
      <c r="O500" s="2">
        <v>113.22</v>
      </c>
      <c r="P500" s="3">
        <v>0.57299999999999995</v>
      </c>
      <c r="Q500" s="1">
        <v>46033</v>
      </c>
      <c r="R500" s="1">
        <v>45992</v>
      </c>
      <c r="S500" s="1">
        <v>46022</v>
      </c>
      <c r="V500" s="8">
        <v>1</v>
      </c>
      <c r="W500" t="s">
        <v>24</v>
      </c>
      <c r="X500" t="s">
        <v>1104</v>
      </c>
      <c r="Y500" t="s">
        <v>43</v>
      </c>
      <c r="Z500" t="s">
        <v>11</v>
      </c>
      <c r="AA500">
        <v>62371</v>
      </c>
      <c r="AB500">
        <v>18487376</v>
      </c>
      <c r="AC500">
        <v>0</v>
      </c>
      <c r="AD500" s="8"/>
    </row>
    <row r="501" spans="1:30" x14ac:dyDescent="0.3">
      <c r="A501" t="s">
        <v>1627</v>
      </c>
      <c r="B501">
        <v>1416445</v>
      </c>
      <c r="D501" t="s">
        <v>7</v>
      </c>
      <c r="E501">
        <v>946586</v>
      </c>
      <c r="F501">
        <v>9015884123</v>
      </c>
      <c r="G501">
        <v>431</v>
      </c>
      <c r="H501" t="s">
        <v>1105</v>
      </c>
      <c r="I501">
        <v>0</v>
      </c>
      <c r="J501" t="s">
        <v>1106</v>
      </c>
      <c r="K501" t="s">
        <v>8</v>
      </c>
      <c r="L501" t="s">
        <v>19</v>
      </c>
      <c r="M501" t="s">
        <v>9</v>
      </c>
      <c r="N501" t="s">
        <v>14</v>
      </c>
      <c r="O501" s="2">
        <v>15995.17</v>
      </c>
      <c r="P501" s="3">
        <v>98.036000000000001</v>
      </c>
      <c r="Q501" s="1">
        <v>46033</v>
      </c>
      <c r="R501" s="1">
        <v>45992</v>
      </c>
      <c r="S501" s="1">
        <v>46022</v>
      </c>
      <c r="V501" s="8">
        <v>1</v>
      </c>
      <c r="W501" t="s">
        <v>24</v>
      </c>
      <c r="X501" t="s">
        <v>1107</v>
      </c>
      <c r="Y501" t="s">
        <v>34</v>
      </c>
      <c r="Z501" t="s">
        <v>11</v>
      </c>
      <c r="AA501">
        <v>62371</v>
      </c>
      <c r="AB501">
        <v>21249796</v>
      </c>
      <c r="AC501">
        <v>1</v>
      </c>
      <c r="AD501" s="8"/>
    </row>
    <row r="502" spans="1:30" x14ac:dyDescent="0.3">
      <c r="A502" t="s">
        <v>1627</v>
      </c>
      <c r="B502">
        <v>1411977</v>
      </c>
      <c r="D502" t="s">
        <v>7</v>
      </c>
      <c r="E502">
        <v>946375</v>
      </c>
      <c r="F502">
        <v>9015884123</v>
      </c>
      <c r="G502">
        <v>361</v>
      </c>
      <c r="H502" t="s">
        <v>136</v>
      </c>
      <c r="I502">
        <v>0</v>
      </c>
      <c r="J502" t="s">
        <v>137</v>
      </c>
      <c r="K502" t="s">
        <v>8</v>
      </c>
      <c r="L502" t="s">
        <v>15</v>
      </c>
      <c r="M502" t="s">
        <v>9</v>
      </c>
      <c r="N502" t="s">
        <v>14</v>
      </c>
      <c r="O502" s="2">
        <v>0</v>
      </c>
      <c r="P502" s="3">
        <v>1048.9059999999999</v>
      </c>
      <c r="Q502" s="1">
        <v>46033</v>
      </c>
      <c r="R502" s="1">
        <v>45992</v>
      </c>
      <c r="S502" s="1">
        <v>46022</v>
      </c>
      <c r="V502" s="8">
        <v>1</v>
      </c>
      <c r="W502" t="s">
        <v>24</v>
      </c>
      <c r="X502" t="s">
        <v>138</v>
      </c>
      <c r="Y502" t="s">
        <v>34</v>
      </c>
      <c r="Z502" t="s">
        <v>11</v>
      </c>
      <c r="AA502">
        <v>62371</v>
      </c>
      <c r="AB502">
        <v>17902002</v>
      </c>
      <c r="AC502">
        <v>0</v>
      </c>
      <c r="AD502" s="8"/>
    </row>
    <row r="503" spans="1:30" x14ac:dyDescent="0.3">
      <c r="A503" t="s">
        <v>1627</v>
      </c>
      <c r="B503">
        <v>1420782</v>
      </c>
      <c r="D503" t="s">
        <v>7</v>
      </c>
      <c r="E503">
        <v>946683</v>
      </c>
      <c r="F503">
        <v>9015884123</v>
      </c>
      <c r="G503">
        <v>463</v>
      </c>
      <c r="H503" t="s">
        <v>90</v>
      </c>
      <c r="I503">
        <v>0</v>
      </c>
      <c r="J503" t="s">
        <v>91</v>
      </c>
      <c r="K503" t="s">
        <v>8</v>
      </c>
      <c r="L503" t="s">
        <v>18</v>
      </c>
      <c r="M503" t="s">
        <v>9</v>
      </c>
      <c r="N503" t="s">
        <v>14</v>
      </c>
      <c r="O503" s="2">
        <v>2.37</v>
      </c>
      <c r="P503" s="3">
        <v>0</v>
      </c>
      <c r="Q503" s="1">
        <v>46033</v>
      </c>
      <c r="R503" s="1">
        <v>45992</v>
      </c>
      <c r="S503" s="1">
        <v>46022</v>
      </c>
      <c r="V503" s="8">
        <v>2</v>
      </c>
      <c r="W503" t="s">
        <v>24</v>
      </c>
      <c r="X503" t="s">
        <v>92</v>
      </c>
      <c r="Y503" t="s">
        <v>29</v>
      </c>
      <c r="Z503" t="s">
        <v>11</v>
      </c>
      <c r="AA503">
        <v>62371</v>
      </c>
      <c r="AB503">
        <v>18413239</v>
      </c>
      <c r="AC503">
        <v>1</v>
      </c>
      <c r="AD503" s="8"/>
    </row>
    <row r="504" spans="1:30" x14ac:dyDescent="0.3">
      <c r="A504" t="s">
        <v>1627</v>
      </c>
      <c r="B504">
        <v>1414344</v>
      </c>
      <c r="D504" t="s">
        <v>7</v>
      </c>
      <c r="E504">
        <v>946579</v>
      </c>
      <c r="F504">
        <v>9015884123</v>
      </c>
      <c r="G504">
        <v>429</v>
      </c>
      <c r="H504" t="s">
        <v>694</v>
      </c>
      <c r="I504">
        <v>0</v>
      </c>
      <c r="J504" t="s">
        <v>695</v>
      </c>
      <c r="K504" t="s">
        <v>8</v>
      </c>
      <c r="L504" t="s">
        <v>19</v>
      </c>
      <c r="M504" t="s">
        <v>9</v>
      </c>
      <c r="N504" t="s">
        <v>14</v>
      </c>
      <c r="O504" s="2">
        <v>1678.55</v>
      </c>
      <c r="P504" s="3">
        <v>10.288</v>
      </c>
      <c r="Q504" s="1">
        <v>46033</v>
      </c>
      <c r="R504" s="1">
        <v>45992</v>
      </c>
      <c r="S504" s="1">
        <v>46022</v>
      </c>
      <c r="V504" s="8">
        <v>1</v>
      </c>
      <c r="W504" t="s">
        <v>24</v>
      </c>
      <c r="X504" t="s">
        <v>696</v>
      </c>
      <c r="Y504" t="s">
        <v>29</v>
      </c>
      <c r="Z504" t="s">
        <v>11</v>
      </c>
      <c r="AA504">
        <v>62371</v>
      </c>
      <c r="AB504">
        <v>21409996</v>
      </c>
      <c r="AC504">
        <v>1</v>
      </c>
      <c r="AD504" s="8"/>
    </row>
    <row r="505" spans="1:30" x14ac:dyDescent="0.3">
      <c r="A505" t="s">
        <v>1627</v>
      </c>
      <c r="B505">
        <v>1411978</v>
      </c>
      <c r="D505" t="s">
        <v>7</v>
      </c>
      <c r="E505">
        <v>946391</v>
      </c>
      <c r="F505">
        <v>9015884123</v>
      </c>
      <c r="G505">
        <v>369</v>
      </c>
      <c r="H505" t="s">
        <v>121</v>
      </c>
      <c r="I505">
        <v>0</v>
      </c>
      <c r="J505" t="s">
        <v>122</v>
      </c>
      <c r="K505" t="s">
        <v>8</v>
      </c>
      <c r="L505" t="s">
        <v>18</v>
      </c>
      <c r="M505" t="s">
        <v>9</v>
      </c>
      <c r="N505" t="s">
        <v>14</v>
      </c>
      <c r="O505" s="2">
        <v>-2.66</v>
      </c>
      <c r="P505" s="3">
        <v>0</v>
      </c>
      <c r="Q505" s="1">
        <v>46033</v>
      </c>
      <c r="R505" s="1">
        <v>45992</v>
      </c>
      <c r="S505" s="1">
        <v>46022</v>
      </c>
      <c r="V505" s="8">
        <v>1</v>
      </c>
      <c r="W505" t="s">
        <v>24</v>
      </c>
      <c r="X505" t="s">
        <v>123</v>
      </c>
      <c r="Y505" t="s">
        <v>34</v>
      </c>
      <c r="Z505" t="s">
        <v>11</v>
      </c>
      <c r="AA505">
        <v>62371</v>
      </c>
      <c r="AB505">
        <v>21249994</v>
      </c>
      <c r="AC505">
        <v>1</v>
      </c>
      <c r="AD505" s="8"/>
    </row>
    <row r="506" spans="1:30" x14ac:dyDescent="0.3">
      <c r="A506" t="s">
        <v>1627</v>
      </c>
      <c r="B506">
        <v>1415407</v>
      </c>
      <c r="D506" t="s">
        <v>7</v>
      </c>
      <c r="E506">
        <v>946471</v>
      </c>
      <c r="F506">
        <v>9015884123</v>
      </c>
      <c r="G506">
        <v>396</v>
      </c>
      <c r="H506" t="s">
        <v>1108</v>
      </c>
      <c r="I506">
        <v>0</v>
      </c>
      <c r="J506" t="s">
        <v>1109</v>
      </c>
      <c r="K506" t="s">
        <v>8</v>
      </c>
      <c r="L506" t="s">
        <v>15</v>
      </c>
      <c r="M506" t="s">
        <v>9</v>
      </c>
      <c r="N506" t="s">
        <v>14</v>
      </c>
      <c r="O506" s="2">
        <v>0</v>
      </c>
      <c r="P506" s="3">
        <v>1363.7909999999999</v>
      </c>
      <c r="Q506" s="1">
        <v>46033</v>
      </c>
      <c r="R506" s="1">
        <v>45992</v>
      </c>
      <c r="S506" s="1">
        <v>46022</v>
      </c>
      <c r="V506" s="8">
        <v>1</v>
      </c>
      <c r="W506" t="s">
        <v>24</v>
      </c>
      <c r="X506" t="s">
        <v>1110</v>
      </c>
      <c r="Y506" t="s">
        <v>31</v>
      </c>
      <c r="Z506" t="s">
        <v>11</v>
      </c>
      <c r="AA506">
        <v>62371</v>
      </c>
      <c r="AB506">
        <v>18267212</v>
      </c>
      <c r="AC506">
        <v>0</v>
      </c>
      <c r="AD506" s="8"/>
    </row>
    <row r="507" spans="1:30" x14ac:dyDescent="0.3">
      <c r="A507" t="s">
        <v>1627</v>
      </c>
      <c r="B507">
        <v>1406191</v>
      </c>
      <c r="D507" t="s">
        <v>7</v>
      </c>
      <c r="E507">
        <v>946298</v>
      </c>
      <c r="F507">
        <v>9015884123</v>
      </c>
      <c r="G507">
        <v>321</v>
      </c>
      <c r="H507" t="s">
        <v>127</v>
      </c>
      <c r="I507">
        <v>0</v>
      </c>
      <c r="J507" t="s">
        <v>128</v>
      </c>
      <c r="K507" t="s">
        <v>8</v>
      </c>
      <c r="L507" t="s">
        <v>19</v>
      </c>
      <c r="M507" t="s">
        <v>9</v>
      </c>
      <c r="N507" t="s">
        <v>14</v>
      </c>
      <c r="O507" s="2">
        <v>285771.56</v>
      </c>
      <c r="P507" s="3">
        <v>1751.5229999999999</v>
      </c>
      <c r="Q507" s="1">
        <v>46033</v>
      </c>
      <c r="R507" s="1">
        <v>45992</v>
      </c>
      <c r="S507" s="1">
        <v>46022</v>
      </c>
      <c r="V507" s="8">
        <v>1</v>
      </c>
      <c r="W507" t="s">
        <v>24</v>
      </c>
      <c r="X507" t="s">
        <v>129</v>
      </c>
      <c r="Y507" t="s">
        <v>31</v>
      </c>
      <c r="Z507" t="s">
        <v>11</v>
      </c>
      <c r="AA507">
        <v>62371</v>
      </c>
      <c r="AB507">
        <v>17464045</v>
      </c>
      <c r="AC507">
        <v>1</v>
      </c>
      <c r="AD507" s="8"/>
    </row>
    <row r="508" spans="1:30" x14ac:dyDescent="0.3">
      <c r="A508" t="s">
        <v>1627</v>
      </c>
      <c r="B508">
        <v>1403680</v>
      </c>
      <c r="D508" t="s">
        <v>7</v>
      </c>
      <c r="E508">
        <v>946145</v>
      </c>
      <c r="F508">
        <v>9015884123</v>
      </c>
      <c r="G508">
        <v>268</v>
      </c>
      <c r="H508" t="s">
        <v>1111</v>
      </c>
      <c r="I508">
        <v>0</v>
      </c>
      <c r="J508" t="s">
        <v>1112</v>
      </c>
      <c r="K508" t="s">
        <v>8</v>
      </c>
      <c r="L508" t="s">
        <v>18</v>
      </c>
      <c r="M508" t="s">
        <v>9</v>
      </c>
      <c r="N508" t="s">
        <v>14</v>
      </c>
      <c r="O508" s="2">
        <v>-2.44</v>
      </c>
      <c r="P508" s="3">
        <v>0</v>
      </c>
      <c r="Q508" s="1">
        <v>46033</v>
      </c>
      <c r="R508" s="1">
        <v>45992</v>
      </c>
      <c r="S508" s="1">
        <v>46022</v>
      </c>
      <c r="V508" s="8">
        <v>1</v>
      </c>
      <c r="W508" t="s">
        <v>24</v>
      </c>
      <c r="X508" t="s">
        <v>1113</v>
      </c>
      <c r="Y508" t="s">
        <v>31</v>
      </c>
      <c r="Z508" t="s">
        <v>11</v>
      </c>
      <c r="AA508">
        <v>62371</v>
      </c>
      <c r="AB508">
        <v>17197651</v>
      </c>
      <c r="AC508">
        <v>1</v>
      </c>
      <c r="AD508" s="8"/>
    </row>
    <row r="509" spans="1:30" x14ac:dyDescent="0.3">
      <c r="A509" t="s">
        <v>1627</v>
      </c>
      <c r="B509">
        <v>1403676</v>
      </c>
      <c r="D509" t="s">
        <v>7</v>
      </c>
      <c r="E509">
        <v>946139</v>
      </c>
      <c r="F509">
        <v>9015884123</v>
      </c>
      <c r="G509">
        <v>266</v>
      </c>
      <c r="H509" t="s">
        <v>1114</v>
      </c>
      <c r="I509">
        <v>0</v>
      </c>
      <c r="J509" t="s">
        <v>1115</v>
      </c>
      <c r="K509" t="s">
        <v>8</v>
      </c>
      <c r="L509" t="s">
        <v>15</v>
      </c>
      <c r="M509" t="s">
        <v>9</v>
      </c>
      <c r="N509" t="s">
        <v>14</v>
      </c>
      <c r="O509" s="2">
        <v>0</v>
      </c>
      <c r="P509" s="3">
        <v>1528.37</v>
      </c>
      <c r="Q509" s="1">
        <v>46033</v>
      </c>
      <c r="R509" s="1">
        <v>45992</v>
      </c>
      <c r="S509" s="1">
        <v>46022</v>
      </c>
      <c r="V509" s="8">
        <v>1</v>
      </c>
      <c r="W509" t="s">
        <v>24</v>
      </c>
      <c r="X509" t="s">
        <v>1116</v>
      </c>
      <c r="Y509" t="s">
        <v>31</v>
      </c>
      <c r="Z509" t="s">
        <v>11</v>
      </c>
      <c r="AA509">
        <v>62371</v>
      </c>
      <c r="AB509">
        <v>17197657</v>
      </c>
      <c r="AC509">
        <v>1</v>
      </c>
      <c r="AD509" s="8"/>
    </row>
    <row r="510" spans="1:30" x14ac:dyDescent="0.3">
      <c r="A510" t="s">
        <v>1627</v>
      </c>
      <c r="B510">
        <v>1380619</v>
      </c>
      <c r="D510" t="s">
        <v>7</v>
      </c>
      <c r="E510">
        <v>945999</v>
      </c>
      <c r="F510">
        <v>9015884123</v>
      </c>
      <c r="G510">
        <v>217</v>
      </c>
      <c r="H510" t="s">
        <v>733</v>
      </c>
      <c r="I510">
        <v>0</v>
      </c>
      <c r="J510" t="s">
        <v>734</v>
      </c>
      <c r="K510" t="s">
        <v>8</v>
      </c>
      <c r="L510" t="s">
        <v>15</v>
      </c>
      <c r="M510" t="s">
        <v>9</v>
      </c>
      <c r="N510" t="s">
        <v>14</v>
      </c>
      <c r="O510" s="2">
        <v>0</v>
      </c>
      <c r="P510" s="3">
        <v>4174.2150000000001</v>
      </c>
      <c r="Q510" s="1">
        <v>46033</v>
      </c>
      <c r="R510" s="1">
        <v>45992</v>
      </c>
      <c r="S510" s="1">
        <v>46022</v>
      </c>
      <c r="V510" s="8">
        <v>1</v>
      </c>
      <c r="W510" t="s">
        <v>24</v>
      </c>
      <c r="X510" t="s">
        <v>735</v>
      </c>
      <c r="Y510" t="s">
        <v>31</v>
      </c>
      <c r="Z510" t="s">
        <v>11</v>
      </c>
      <c r="AA510">
        <v>62371</v>
      </c>
      <c r="AB510">
        <v>21087841</v>
      </c>
      <c r="AC510">
        <v>0</v>
      </c>
      <c r="AD510" s="8"/>
    </row>
    <row r="511" spans="1:30" x14ac:dyDescent="0.3">
      <c r="A511" t="s">
        <v>1627</v>
      </c>
      <c r="B511">
        <v>1363525</v>
      </c>
      <c r="D511" t="s">
        <v>7</v>
      </c>
      <c r="E511">
        <v>945913</v>
      </c>
      <c r="F511">
        <v>9015884123</v>
      </c>
      <c r="G511">
        <v>163</v>
      </c>
      <c r="H511" t="s">
        <v>1117</v>
      </c>
      <c r="I511">
        <v>0</v>
      </c>
      <c r="J511" t="s">
        <v>1118</v>
      </c>
      <c r="K511" t="s">
        <v>8</v>
      </c>
      <c r="L511" t="s">
        <v>18</v>
      </c>
      <c r="M511" t="s">
        <v>9</v>
      </c>
      <c r="N511" t="s">
        <v>14</v>
      </c>
      <c r="O511" s="2">
        <v>0.35</v>
      </c>
      <c r="P511" s="3">
        <v>0</v>
      </c>
      <c r="Q511" s="1">
        <v>46033</v>
      </c>
      <c r="R511" s="1">
        <v>45992</v>
      </c>
      <c r="S511" s="1">
        <v>46022</v>
      </c>
      <c r="V511" s="8">
        <v>1</v>
      </c>
      <c r="W511" t="s">
        <v>24</v>
      </c>
      <c r="X511" t="s">
        <v>1119</v>
      </c>
      <c r="Y511" t="s">
        <v>31</v>
      </c>
      <c r="Z511" t="s">
        <v>11</v>
      </c>
      <c r="AA511">
        <v>62371</v>
      </c>
      <c r="AB511">
        <v>19282555</v>
      </c>
      <c r="AC511">
        <v>0</v>
      </c>
      <c r="AD511" s="8"/>
    </row>
    <row r="512" spans="1:30" x14ac:dyDescent="0.3">
      <c r="A512" t="s">
        <v>1627</v>
      </c>
      <c r="B512">
        <v>1359844</v>
      </c>
      <c r="D512" t="s">
        <v>7</v>
      </c>
      <c r="E512">
        <v>945489</v>
      </c>
      <c r="F512">
        <v>9015884123</v>
      </c>
      <c r="G512">
        <v>142</v>
      </c>
      <c r="H512" t="s">
        <v>139</v>
      </c>
      <c r="I512">
        <v>0</v>
      </c>
      <c r="J512" t="s">
        <v>140</v>
      </c>
      <c r="K512" t="s">
        <v>8</v>
      </c>
      <c r="L512" t="s">
        <v>18</v>
      </c>
      <c r="M512" t="s">
        <v>9</v>
      </c>
      <c r="N512" t="s">
        <v>14</v>
      </c>
      <c r="O512" s="2">
        <v>3.32</v>
      </c>
      <c r="P512" s="3">
        <v>0</v>
      </c>
      <c r="Q512" s="1">
        <v>46033</v>
      </c>
      <c r="R512" s="1">
        <v>45992</v>
      </c>
      <c r="S512" s="1">
        <v>46022</v>
      </c>
      <c r="V512" s="8">
        <v>1</v>
      </c>
      <c r="W512" t="s">
        <v>24</v>
      </c>
      <c r="X512" t="s">
        <v>141</v>
      </c>
      <c r="Y512" t="s">
        <v>31</v>
      </c>
      <c r="Z512" t="s">
        <v>11</v>
      </c>
      <c r="AA512">
        <v>62371</v>
      </c>
      <c r="AB512">
        <v>21392095</v>
      </c>
      <c r="AC512">
        <v>1</v>
      </c>
      <c r="AD512" s="8"/>
    </row>
    <row r="513" spans="1:30" x14ac:dyDescent="0.3">
      <c r="A513" t="s">
        <v>1627</v>
      </c>
      <c r="B513">
        <v>1379265</v>
      </c>
      <c r="D513" t="s">
        <v>7</v>
      </c>
      <c r="E513">
        <v>945978</v>
      </c>
      <c r="F513">
        <v>9015884123</v>
      </c>
      <c r="G513">
        <v>207</v>
      </c>
      <c r="H513" t="s">
        <v>1120</v>
      </c>
      <c r="I513">
        <v>0</v>
      </c>
      <c r="J513" t="s">
        <v>1121</v>
      </c>
      <c r="K513" t="s">
        <v>8</v>
      </c>
      <c r="L513" t="s">
        <v>15</v>
      </c>
      <c r="M513" t="s">
        <v>9</v>
      </c>
      <c r="N513" t="s">
        <v>14</v>
      </c>
      <c r="O513" s="2">
        <v>0</v>
      </c>
      <c r="P513" s="3">
        <v>784.721</v>
      </c>
      <c r="Q513" s="1">
        <v>46033</v>
      </c>
      <c r="R513" s="1">
        <v>45992</v>
      </c>
      <c r="S513" s="1">
        <v>46022</v>
      </c>
      <c r="V513" s="8">
        <v>1</v>
      </c>
      <c r="W513" t="s">
        <v>24</v>
      </c>
      <c r="X513" t="s">
        <v>1122</v>
      </c>
      <c r="Y513" t="s">
        <v>34</v>
      </c>
      <c r="Z513" t="s">
        <v>11</v>
      </c>
      <c r="AA513">
        <v>62371</v>
      </c>
      <c r="AB513">
        <v>21249832</v>
      </c>
      <c r="AC513">
        <v>1</v>
      </c>
      <c r="AD513" s="8"/>
    </row>
    <row r="514" spans="1:30" x14ac:dyDescent="0.3">
      <c r="A514" t="s">
        <v>1627</v>
      </c>
      <c r="B514">
        <v>1382485</v>
      </c>
      <c r="D514" t="s">
        <v>7</v>
      </c>
      <c r="E514">
        <v>946069</v>
      </c>
      <c r="F514">
        <v>9015884123</v>
      </c>
      <c r="G514">
        <v>224</v>
      </c>
      <c r="H514" t="s">
        <v>1123</v>
      </c>
      <c r="I514">
        <v>0</v>
      </c>
      <c r="J514" t="s">
        <v>1124</v>
      </c>
      <c r="K514" t="s">
        <v>8</v>
      </c>
      <c r="L514" t="s">
        <v>15</v>
      </c>
      <c r="M514" t="s">
        <v>9</v>
      </c>
      <c r="N514" t="s">
        <v>14</v>
      </c>
      <c r="O514" s="2">
        <v>0</v>
      </c>
      <c r="P514" s="3">
        <v>508.60500000000002</v>
      </c>
      <c r="Q514" s="1">
        <v>46033</v>
      </c>
      <c r="R514" s="1">
        <v>45992</v>
      </c>
      <c r="S514" s="1">
        <v>46022</v>
      </c>
      <c r="V514" s="8">
        <v>1</v>
      </c>
      <c r="W514" t="s">
        <v>24</v>
      </c>
      <c r="X514" t="s">
        <v>1125</v>
      </c>
      <c r="Y514" t="s">
        <v>34</v>
      </c>
      <c r="Z514" t="s">
        <v>11</v>
      </c>
      <c r="AA514">
        <v>62371</v>
      </c>
      <c r="AB514">
        <v>17933297</v>
      </c>
      <c r="AC514">
        <v>0</v>
      </c>
      <c r="AD514" s="8"/>
    </row>
    <row r="515" spans="1:30" x14ac:dyDescent="0.3">
      <c r="A515" t="s">
        <v>1627</v>
      </c>
      <c r="B515">
        <v>1379271</v>
      </c>
      <c r="D515" t="s">
        <v>7</v>
      </c>
      <c r="E515">
        <v>945987</v>
      </c>
      <c r="F515">
        <v>9015884123</v>
      </c>
      <c r="G515">
        <v>212</v>
      </c>
      <c r="H515" t="s">
        <v>1126</v>
      </c>
      <c r="I515">
        <v>0</v>
      </c>
      <c r="J515" t="s">
        <v>1127</v>
      </c>
      <c r="K515" t="s">
        <v>8</v>
      </c>
      <c r="L515" t="s">
        <v>19</v>
      </c>
      <c r="M515" t="s">
        <v>9</v>
      </c>
      <c r="N515" t="s">
        <v>14</v>
      </c>
      <c r="O515" s="2">
        <v>3100.78</v>
      </c>
      <c r="P515" s="3">
        <v>19.004999999999999</v>
      </c>
      <c r="Q515" s="1">
        <v>46033</v>
      </c>
      <c r="R515" s="1">
        <v>45992</v>
      </c>
      <c r="S515" s="1">
        <v>46022</v>
      </c>
      <c r="V515" s="8">
        <v>1</v>
      </c>
      <c r="W515" t="s">
        <v>24</v>
      </c>
      <c r="X515" t="s">
        <v>1128</v>
      </c>
      <c r="Y515" t="s">
        <v>34</v>
      </c>
      <c r="Z515" t="s">
        <v>11</v>
      </c>
      <c r="AA515">
        <v>62371</v>
      </c>
      <c r="AB515">
        <v>21249954</v>
      </c>
      <c r="AC515">
        <v>1</v>
      </c>
      <c r="AD515" s="8"/>
    </row>
    <row r="516" spans="1:30" x14ac:dyDescent="0.3">
      <c r="A516" t="s">
        <v>1627</v>
      </c>
      <c r="B516">
        <v>1363362</v>
      </c>
      <c r="D516" t="s">
        <v>7</v>
      </c>
      <c r="E516">
        <v>945911</v>
      </c>
      <c r="F516">
        <v>9015884123</v>
      </c>
      <c r="G516">
        <v>160</v>
      </c>
      <c r="H516" t="s">
        <v>157</v>
      </c>
      <c r="I516">
        <v>0</v>
      </c>
      <c r="J516" t="s">
        <v>158</v>
      </c>
      <c r="K516" t="s">
        <v>8</v>
      </c>
      <c r="L516" t="s">
        <v>15</v>
      </c>
      <c r="M516" t="s">
        <v>9</v>
      </c>
      <c r="N516" t="s">
        <v>14</v>
      </c>
      <c r="O516" s="2">
        <v>0</v>
      </c>
      <c r="P516" s="3">
        <v>667.52099999999996</v>
      </c>
      <c r="Q516" s="1">
        <v>46033</v>
      </c>
      <c r="R516" s="1">
        <v>45992</v>
      </c>
      <c r="S516" s="1">
        <v>46022</v>
      </c>
      <c r="V516" s="8">
        <v>1</v>
      </c>
      <c r="W516" t="s">
        <v>24</v>
      </c>
      <c r="X516" t="s">
        <v>159</v>
      </c>
      <c r="Y516" t="s">
        <v>34</v>
      </c>
      <c r="Z516" t="s">
        <v>11</v>
      </c>
      <c r="AA516">
        <v>62371</v>
      </c>
      <c r="AB516">
        <v>21249744</v>
      </c>
      <c r="AC516">
        <v>1</v>
      </c>
      <c r="AD516" s="8"/>
    </row>
    <row r="517" spans="1:30" x14ac:dyDescent="0.3">
      <c r="A517" t="s">
        <v>1627</v>
      </c>
      <c r="B517">
        <v>1353810</v>
      </c>
      <c r="D517" t="s">
        <v>7</v>
      </c>
      <c r="E517">
        <v>945317</v>
      </c>
      <c r="F517">
        <v>9015884123</v>
      </c>
      <c r="G517">
        <v>87</v>
      </c>
      <c r="H517" t="s">
        <v>176</v>
      </c>
      <c r="I517">
        <v>0</v>
      </c>
      <c r="J517" t="s">
        <v>177</v>
      </c>
      <c r="K517" t="s">
        <v>8</v>
      </c>
      <c r="L517" t="s">
        <v>19</v>
      </c>
      <c r="M517" t="s">
        <v>9</v>
      </c>
      <c r="N517" t="s">
        <v>14</v>
      </c>
      <c r="O517" s="2">
        <v>2184.1799999999998</v>
      </c>
      <c r="P517" s="3">
        <v>11.054</v>
      </c>
      <c r="Q517" s="1">
        <v>46033</v>
      </c>
      <c r="R517" s="1">
        <v>45992</v>
      </c>
      <c r="S517" s="1">
        <v>46022</v>
      </c>
      <c r="V517" s="8">
        <v>1</v>
      </c>
      <c r="W517" t="s">
        <v>24</v>
      </c>
      <c r="X517" t="s">
        <v>178</v>
      </c>
      <c r="Y517" t="s">
        <v>34</v>
      </c>
      <c r="Z517" t="s">
        <v>11</v>
      </c>
      <c r="AA517">
        <v>62371</v>
      </c>
      <c r="AB517">
        <v>18550359</v>
      </c>
      <c r="AC517">
        <v>0</v>
      </c>
      <c r="AD517" s="8"/>
    </row>
    <row r="518" spans="1:30" x14ac:dyDescent="0.3">
      <c r="A518" t="s">
        <v>1627</v>
      </c>
      <c r="B518">
        <v>1403890</v>
      </c>
      <c r="D518" t="s">
        <v>7</v>
      </c>
      <c r="E518">
        <v>946194</v>
      </c>
      <c r="F518">
        <v>9015884123</v>
      </c>
      <c r="G518">
        <v>283</v>
      </c>
      <c r="H518" t="s">
        <v>1129</v>
      </c>
      <c r="I518">
        <v>0</v>
      </c>
      <c r="J518" t="s">
        <v>1130</v>
      </c>
      <c r="K518" t="s">
        <v>8</v>
      </c>
      <c r="L518" t="s">
        <v>15</v>
      </c>
      <c r="M518" t="s">
        <v>9</v>
      </c>
      <c r="N518" t="s">
        <v>14</v>
      </c>
      <c r="O518" s="2">
        <v>0</v>
      </c>
      <c r="P518" s="3">
        <v>1608.5940000000001</v>
      </c>
      <c r="Q518" s="1">
        <v>46033</v>
      </c>
      <c r="R518" s="1">
        <v>45992</v>
      </c>
      <c r="S518" s="1">
        <v>46022</v>
      </c>
      <c r="V518" s="8">
        <v>1</v>
      </c>
      <c r="W518" t="s">
        <v>24</v>
      </c>
      <c r="X518" t="s">
        <v>1131</v>
      </c>
      <c r="Y518" t="s">
        <v>182</v>
      </c>
      <c r="Z518" t="s">
        <v>11</v>
      </c>
      <c r="AA518">
        <v>62371</v>
      </c>
      <c r="AB518">
        <v>18408641</v>
      </c>
      <c r="AC518">
        <v>0</v>
      </c>
      <c r="AD518" s="8"/>
    </row>
    <row r="519" spans="1:30" x14ac:dyDescent="0.3">
      <c r="A519" t="s">
        <v>1627</v>
      </c>
      <c r="B519">
        <v>1424122</v>
      </c>
      <c r="D519" t="s">
        <v>7</v>
      </c>
      <c r="E519">
        <v>946697</v>
      </c>
      <c r="F519">
        <v>9015884123</v>
      </c>
      <c r="G519">
        <v>467</v>
      </c>
      <c r="H519" t="s">
        <v>745</v>
      </c>
      <c r="I519">
        <v>0</v>
      </c>
      <c r="J519" t="s">
        <v>746</v>
      </c>
      <c r="K519" t="s">
        <v>8</v>
      </c>
      <c r="L519" t="s">
        <v>15</v>
      </c>
      <c r="M519" t="s">
        <v>9</v>
      </c>
      <c r="N519" t="s">
        <v>14</v>
      </c>
      <c r="O519" s="2">
        <v>0</v>
      </c>
      <c r="P519" s="3">
        <v>2444.1179999999999</v>
      </c>
      <c r="Q519" s="1">
        <v>46033</v>
      </c>
      <c r="R519" s="1">
        <v>45992</v>
      </c>
      <c r="S519" s="1">
        <v>46022</v>
      </c>
      <c r="V519" s="8">
        <v>1</v>
      </c>
      <c r="W519" t="s">
        <v>24</v>
      </c>
      <c r="X519" t="s">
        <v>747</v>
      </c>
      <c r="Y519" t="s">
        <v>55</v>
      </c>
      <c r="Z519" t="s">
        <v>11</v>
      </c>
      <c r="AA519">
        <v>62371</v>
      </c>
      <c r="AB519">
        <v>21517518</v>
      </c>
      <c r="AC519">
        <v>0</v>
      </c>
      <c r="AD519" s="8"/>
    </row>
    <row r="520" spans="1:30" x14ac:dyDescent="0.3">
      <c r="A520" t="s">
        <v>1627</v>
      </c>
      <c r="B520">
        <v>1442620</v>
      </c>
      <c r="D520" t="s">
        <v>7</v>
      </c>
      <c r="E520">
        <v>946859</v>
      </c>
      <c r="F520">
        <v>9015884123</v>
      </c>
      <c r="G520">
        <v>520</v>
      </c>
      <c r="H520" t="s">
        <v>1132</v>
      </c>
      <c r="I520">
        <v>0</v>
      </c>
      <c r="J520" t="s">
        <v>1133</v>
      </c>
      <c r="K520" t="s">
        <v>8</v>
      </c>
      <c r="L520" t="s">
        <v>18</v>
      </c>
      <c r="M520" t="s">
        <v>9</v>
      </c>
      <c r="N520" t="s">
        <v>14</v>
      </c>
      <c r="O520" s="2">
        <v>1.29</v>
      </c>
      <c r="P520" s="3">
        <v>0</v>
      </c>
      <c r="Q520" s="1">
        <v>46033</v>
      </c>
      <c r="R520" s="1">
        <v>45992</v>
      </c>
      <c r="S520" s="1">
        <v>46022</v>
      </c>
      <c r="V520" s="8">
        <v>1</v>
      </c>
      <c r="W520" t="s">
        <v>24</v>
      </c>
      <c r="X520" t="s">
        <v>1134</v>
      </c>
      <c r="Y520" t="s">
        <v>34</v>
      </c>
      <c r="Z520" t="s">
        <v>11</v>
      </c>
      <c r="AA520">
        <v>62371</v>
      </c>
      <c r="AB520">
        <v>19954712</v>
      </c>
      <c r="AC520">
        <v>0</v>
      </c>
      <c r="AD520" s="8"/>
    </row>
    <row r="521" spans="1:30" x14ac:dyDescent="0.3">
      <c r="A521" t="s">
        <v>1627</v>
      </c>
      <c r="B521">
        <v>1450084</v>
      </c>
      <c r="D521" t="s">
        <v>7</v>
      </c>
      <c r="E521">
        <v>949681</v>
      </c>
      <c r="F521">
        <v>9015884123</v>
      </c>
      <c r="G521">
        <v>537</v>
      </c>
      <c r="H521" t="s">
        <v>1135</v>
      </c>
      <c r="I521">
        <v>0</v>
      </c>
      <c r="J521" t="s">
        <v>1136</v>
      </c>
      <c r="K521" t="s">
        <v>8</v>
      </c>
      <c r="L521" t="s">
        <v>19</v>
      </c>
      <c r="M521" t="s">
        <v>9</v>
      </c>
      <c r="N521" t="s">
        <v>14</v>
      </c>
      <c r="O521" s="2">
        <v>18261.22</v>
      </c>
      <c r="P521" s="3">
        <v>143.47499999999999</v>
      </c>
      <c r="Q521" s="1">
        <v>46036</v>
      </c>
      <c r="R521" s="1">
        <v>46017</v>
      </c>
      <c r="S521" s="1">
        <v>46022</v>
      </c>
      <c r="V521" s="8">
        <v>2</v>
      </c>
      <c r="W521" t="s">
        <v>24</v>
      </c>
      <c r="X521" t="s">
        <v>1137</v>
      </c>
      <c r="Y521" t="s">
        <v>31</v>
      </c>
      <c r="Z521" t="s">
        <v>11</v>
      </c>
      <c r="AA521">
        <v>62371</v>
      </c>
      <c r="AC521">
        <v>0</v>
      </c>
      <c r="AD521" s="8"/>
    </row>
    <row r="522" spans="1:30" x14ac:dyDescent="0.3">
      <c r="A522" t="s">
        <v>1627</v>
      </c>
      <c r="B522">
        <v>1342242</v>
      </c>
      <c r="D522" t="s">
        <v>7</v>
      </c>
      <c r="E522">
        <v>945266</v>
      </c>
      <c r="F522">
        <v>9015884123</v>
      </c>
      <c r="G522">
        <v>71</v>
      </c>
      <c r="H522" t="s">
        <v>1138</v>
      </c>
      <c r="I522">
        <v>0</v>
      </c>
      <c r="J522" t="s">
        <v>1139</v>
      </c>
      <c r="K522" t="s">
        <v>8</v>
      </c>
      <c r="L522" t="s">
        <v>18</v>
      </c>
      <c r="M522" t="s">
        <v>9</v>
      </c>
      <c r="N522" t="s">
        <v>14</v>
      </c>
      <c r="O522" s="2">
        <v>4.09</v>
      </c>
      <c r="P522" s="3">
        <v>0</v>
      </c>
      <c r="Q522" s="1">
        <v>46033</v>
      </c>
      <c r="R522" s="1">
        <v>45992</v>
      </c>
      <c r="S522" s="1">
        <v>46022</v>
      </c>
      <c r="V522" s="8">
        <v>1</v>
      </c>
      <c r="W522" t="s">
        <v>24</v>
      </c>
      <c r="X522" t="s">
        <v>1140</v>
      </c>
      <c r="Y522" t="s">
        <v>10</v>
      </c>
      <c r="Z522" t="s">
        <v>11</v>
      </c>
      <c r="AA522">
        <v>62371</v>
      </c>
      <c r="AB522">
        <v>19546549</v>
      </c>
      <c r="AC522">
        <v>0</v>
      </c>
      <c r="AD522" s="8"/>
    </row>
    <row r="523" spans="1:30" x14ac:dyDescent="0.3">
      <c r="A523" t="s">
        <v>1627</v>
      </c>
      <c r="B523">
        <v>1345468</v>
      </c>
      <c r="D523" t="s">
        <v>7</v>
      </c>
      <c r="E523">
        <v>945275</v>
      </c>
      <c r="F523">
        <v>9015884123</v>
      </c>
      <c r="G523">
        <v>74</v>
      </c>
      <c r="H523" t="s">
        <v>1141</v>
      </c>
      <c r="I523">
        <v>0</v>
      </c>
      <c r="J523" t="s">
        <v>1142</v>
      </c>
      <c r="K523" t="s">
        <v>8</v>
      </c>
      <c r="L523" t="s">
        <v>19</v>
      </c>
      <c r="M523" t="s">
        <v>9</v>
      </c>
      <c r="N523" t="s">
        <v>14</v>
      </c>
      <c r="O523" s="2">
        <v>5292.13</v>
      </c>
      <c r="P523" s="3">
        <v>32.436</v>
      </c>
      <c r="Q523" s="1">
        <v>46033</v>
      </c>
      <c r="R523" s="1">
        <v>45992</v>
      </c>
      <c r="S523" s="1">
        <v>46022</v>
      </c>
      <c r="V523" s="8">
        <v>1</v>
      </c>
      <c r="W523" t="s">
        <v>24</v>
      </c>
      <c r="X523" t="s">
        <v>1143</v>
      </c>
      <c r="Y523" t="s">
        <v>10</v>
      </c>
      <c r="Z523" t="s">
        <v>11</v>
      </c>
      <c r="AA523">
        <v>62371</v>
      </c>
      <c r="AB523">
        <v>18385696</v>
      </c>
      <c r="AC523">
        <v>1</v>
      </c>
      <c r="AD523" s="8"/>
    </row>
    <row r="524" spans="1:30" x14ac:dyDescent="0.3">
      <c r="A524" t="s">
        <v>1627</v>
      </c>
      <c r="B524">
        <v>1415102</v>
      </c>
      <c r="D524" t="s">
        <v>7</v>
      </c>
      <c r="E524">
        <v>946455</v>
      </c>
      <c r="F524">
        <v>9015884123</v>
      </c>
      <c r="G524">
        <v>391</v>
      </c>
      <c r="H524" t="s">
        <v>709</v>
      </c>
      <c r="I524">
        <v>0</v>
      </c>
      <c r="J524" t="s">
        <v>710</v>
      </c>
      <c r="K524" t="s">
        <v>8</v>
      </c>
      <c r="L524" t="s">
        <v>18</v>
      </c>
      <c r="M524" t="s">
        <v>9</v>
      </c>
      <c r="N524" t="s">
        <v>14</v>
      </c>
      <c r="O524" s="2">
        <v>2.2000000000000002</v>
      </c>
      <c r="P524" s="3">
        <v>0</v>
      </c>
      <c r="Q524" s="1">
        <v>46033</v>
      </c>
      <c r="R524" s="1">
        <v>45992</v>
      </c>
      <c r="S524" s="1">
        <v>46022</v>
      </c>
      <c r="V524" s="8">
        <v>1</v>
      </c>
      <c r="W524" t="s">
        <v>24</v>
      </c>
      <c r="X524" t="s">
        <v>711</v>
      </c>
      <c r="Y524" t="s">
        <v>34</v>
      </c>
      <c r="Z524" t="s">
        <v>11</v>
      </c>
      <c r="AA524">
        <v>62371</v>
      </c>
      <c r="AB524">
        <v>17924917</v>
      </c>
      <c r="AC524">
        <v>0</v>
      </c>
      <c r="AD524" s="8"/>
    </row>
    <row r="525" spans="1:30" x14ac:dyDescent="0.3">
      <c r="A525" t="s">
        <v>1627</v>
      </c>
      <c r="B525">
        <v>1403711</v>
      </c>
      <c r="D525" t="s">
        <v>7</v>
      </c>
      <c r="E525">
        <v>946253</v>
      </c>
      <c r="F525">
        <v>9015884123</v>
      </c>
      <c r="G525">
        <v>302</v>
      </c>
      <c r="H525" t="s">
        <v>1144</v>
      </c>
      <c r="I525">
        <v>0</v>
      </c>
      <c r="J525" t="s">
        <v>1145</v>
      </c>
      <c r="K525" t="s">
        <v>8</v>
      </c>
      <c r="L525" t="s">
        <v>18</v>
      </c>
      <c r="M525" t="s">
        <v>9</v>
      </c>
      <c r="N525" t="s">
        <v>14</v>
      </c>
      <c r="O525" s="2">
        <v>4.72</v>
      </c>
      <c r="P525" s="3">
        <v>0</v>
      </c>
      <c r="Q525" s="1">
        <v>46033</v>
      </c>
      <c r="R525" s="1">
        <v>45992</v>
      </c>
      <c r="S525" s="1">
        <v>46022</v>
      </c>
      <c r="V525" s="8">
        <v>1</v>
      </c>
      <c r="W525" t="s">
        <v>24</v>
      </c>
      <c r="X525" t="s">
        <v>1146</v>
      </c>
      <c r="Y525" t="s">
        <v>31</v>
      </c>
      <c r="Z525" t="s">
        <v>11</v>
      </c>
      <c r="AA525">
        <v>62371</v>
      </c>
      <c r="AB525">
        <v>18179381</v>
      </c>
      <c r="AC525">
        <v>0</v>
      </c>
      <c r="AD525" s="8"/>
    </row>
    <row r="526" spans="1:30" x14ac:dyDescent="0.3">
      <c r="A526" t="s">
        <v>1627</v>
      </c>
      <c r="B526">
        <v>1405495</v>
      </c>
      <c r="D526" t="s">
        <v>7</v>
      </c>
      <c r="E526">
        <v>946264</v>
      </c>
      <c r="F526">
        <v>9015884123</v>
      </c>
      <c r="G526">
        <v>307</v>
      </c>
      <c r="H526" t="s">
        <v>130</v>
      </c>
      <c r="I526">
        <v>0</v>
      </c>
      <c r="J526" t="s">
        <v>131</v>
      </c>
      <c r="K526" t="s">
        <v>8</v>
      </c>
      <c r="L526" t="s">
        <v>15</v>
      </c>
      <c r="M526" t="s">
        <v>9</v>
      </c>
      <c r="N526" t="s">
        <v>14</v>
      </c>
      <c r="O526" s="2">
        <v>0</v>
      </c>
      <c r="P526" s="3">
        <v>7768.9139999999998</v>
      </c>
      <c r="Q526" s="1">
        <v>46033</v>
      </c>
      <c r="R526" s="1">
        <v>45992</v>
      </c>
      <c r="S526" s="1">
        <v>46022</v>
      </c>
      <c r="V526" s="8">
        <v>1</v>
      </c>
      <c r="W526" t="s">
        <v>24</v>
      </c>
      <c r="X526" t="s">
        <v>132</v>
      </c>
      <c r="Y526" t="s">
        <v>31</v>
      </c>
      <c r="Z526" t="s">
        <v>11</v>
      </c>
      <c r="AA526">
        <v>62371</v>
      </c>
      <c r="AB526">
        <v>21396617</v>
      </c>
      <c r="AC526">
        <v>1</v>
      </c>
      <c r="AD526" s="8"/>
    </row>
    <row r="527" spans="1:30" x14ac:dyDescent="0.3">
      <c r="A527" t="s">
        <v>1627</v>
      </c>
      <c r="B527">
        <v>1354508</v>
      </c>
      <c r="D527" t="s">
        <v>7</v>
      </c>
      <c r="E527">
        <v>945340</v>
      </c>
      <c r="F527">
        <v>9015884123</v>
      </c>
      <c r="G527">
        <v>93</v>
      </c>
      <c r="H527" t="s">
        <v>1147</v>
      </c>
      <c r="I527">
        <v>0</v>
      </c>
      <c r="J527" t="s">
        <v>1148</v>
      </c>
      <c r="K527" t="s">
        <v>8</v>
      </c>
      <c r="L527" t="s">
        <v>15</v>
      </c>
      <c r="M527" t="s">
        <v>9</v>
      </c>
      <c r="N527" t="s">
        <v>14</v>
      </c>
      <c r="O527" s="2">
        <v>0</v>
      </c>
      <c r="P527" s="3">
        <v>3142.5970000000002</v>
      </c>
      <c r="Q527" s="1">
        <v>46033</v>
      </c>
      <c r="R527" s="1">
        <v>45992</v>
      </c>
      <c r="S527" s="1">
        <v>46022</v>
      </c>
      <c r="V527" s="8">
        <v>1</v>
      </c>
      <c r="W527" t="s">
        <v>24</v>
      </c>
      <c r="X527" t="s">
        <v>1149</v>
      </c>
      <c r="Y527" t="s">
        <v>17</v>
      </c>
      <c r="Z527" t="s">
        <v>11</v>
      </c>
      <c r="AA527">
        <v>62371</v>
      </c>
      <c r="AB527">
        <v>17779525</v>
      </c>
      <c r="AC527">
        <v>0</v>
      </c>
      <c r="AD527" s="8"/>
    </row>
    <row r="528" spans="1:30" x14ac:dyDescent="0.3">
      <c r="A528" t="s">
        <v>1627</v>
      </c>
      <c r="B528">
        <v>1403698</v>
      </c>
      <c r="D528" t="s">
        <v>7</v>
      </c>
      <c r="E528">
        <v>946182</v>
      </c>
      <c r="F528">
        <v>9015884123</v>
      </c>
      <c r="G528">
        <v>278</v>
      </c>
      <c r="H528" t="s">
        <v>1150</v>
      </c>
      <c r="I528">
        <v>0</v>
      </c>
      <c r="J528" t="s">
        <v>1151</v>
      </c>
      <c r="K528" t="s">
        <v>8</v>
      </c>
      <c r="L528" t="s">
        <v>18</v>
      </c>
      <c r="M528" t="s">
        <v>9</v>
      </c>
      <c r="N528" t="s">
        <v>14</v>
      </c>
      <c r="O528" s="2">
        <v>3.79</v>
      </c>
      <c r="P528" s="3">
        <v>0</v>
      </c>
      <c r="Q528" s="1">
        <v>46033</v>
      </c>
      <c r="R528" s="1">
        <v>45992</v>
      </c>
      <c r="S528" s="1">
        <v>46022</v>
      </c>
      <c r="V528" s="8">
        <v>1</v>
      </c>
      <c r="W528" t="s">
        <v>24</v>
      </c>
      <c r="X528" t="s">
        <v>1152</v>
      </c>
      <c r="Y528" t="s">
        <v>31</v>
      </c>
      <c r="Z528" t="s">
        <v>11</v>
      </c>
      <c r="AA528">
        <v>62371</v>
      </c>
      <c r="AB528">
        <v>21358814</v>
      </c>
      <c r="AC528">
        <v>1</v>
      </c>
      <c r="AD528" s="8"/>
    </row>
    <row r="529" spans="1:30" x14ac:dyDescent="0.3">
      <c r="A529" t="s">
        <v>1627</v>
      </c>
      <c r="B529">
        <v>1403680</v>
      </c>
      <c r="D529" t="s">
        <v>7</v>
      </c>
      <c r="E529">
        <v>946145</v>
      </c>
      <c r="F529">
        <v>9015884123</v>
      </c>
      <c r="G529">
        <v>268</v>
      </c>
      <c r="H529" t="s">
        <v>1111</v>
      </c>
      <c r="I529">
        <v>0</v>
      </c>
      <c r="J529" t="s">
        <v>1112</v>
      </c>
      <c r="K529" t="s">
        <v>8</v>
      </c>
      <c r="L529" t="s">
        <v>67</v>
      </c>
      <c r="M529" t="s">
        <v>9</v>
      </c>
      <c r="N529" t="s">
        <v>14</v>
      </c>
      <c r="O529" s="2">
        <v>493102.44</v>
      </c>
      <c r="P529" s="3">
        <v>4565.9430000000002</v>
      </c>
      <c r="Q529" s="1">
        <v>46033</v>
      </c>
      <c r="R529" s="1">
        <v>45992</v>
      </c>
      <c r="S529" s="1">
        <v>46022</v>
      </c>
      <c r="V529" s="8">
        <v>1</v>
      </c>
      <c r="W529" t="s">
        <v>24</v>
      </c>
      <c r="X529" t="s">
        <v>1113</v>
      </c>
      <c r="Y529" t="s">
        <v>31</v>
      </c>
      <c r="Z529" t="s">
        <v>11</v>
      </c>
      <c r="AA529">
        <v>62371</v>
      </c>
      <c r="AB529">
        <v>17197651</v>
      </c>
      <c r="AC529">
        <v>1</v>
      </c>
      <c r="AD529" s="8"/>
    </row>
    <row r="530" spans="1:30" x14ac:dyDescent="0.3">
      <c r="A530" t="s">
        <v>1627</v>
      </c>
      <c r="B530">
        <v>1398093</v>
      </c>
      <c r="D530" t="s">
        <v>7</v>
      </c>
      <c r="E530">
        <v>946073</v>
      </c>
      <c r="F530">
        <v>9015884123</v>
      </c>
      <c r="G530">
        <v>245</v>
      </c>
      <c r="H530" t="s">
        <v>1153</v>
      </c>
      <c r="I530">
        <v>0</v>
      </c>
      <c r="J530" t="s">
        <v>1154</v>
      </c>
      <c r="K530" t="s">
        <v>8</v>
      </c>
      <c r="L530" t="s">
        <v>18</v>
      </c>
      <c r="M530" t="s">
        <v>9</v>
      </c>
      <c r="N530" t="s">
        <v>14</v>
      </c>
      <c r="O530" s="2">
        <v>2.75</v>
      </c>
      <c r="P530" s="3">
        <v>0</v>
      </c>
      <c r="Q530" s="1">
        <v>46033</v>
      </c>
      <c r="R530" s="1">
        <v>45992</v>
      </c>
      <c r="S530" s="1">
        <v>46022</v>
      </c>
      <c r="V530" s="8">
        <v>1</v>
      </c>
      <c r="W530" t="s">
        <v>24</v>
      </c>
      <c r="X530" t="s">
        <v>1155</v>
      </c>
      <c r="Y530" t="s">
        <v>34</v>
      </c>
      <c r="Z530" t="s">
        <v>11</v>
      </c>
      <c r="AA530">
        <v>62371</v>
      </c>
      <c r="AB530">
        <v>20025391</v>
      </c>
      <c r="AC530">
        <v>0</v>
      </c>
      <c r="AD530" s="8"/>
    </row>
    <row r="531" spans="1:30" x14ac:dyDescent="0.3">
      <c r="A531" t="s">
        <v>1627</v>
      </c>
      <c r="B531">
        <v>1403660</v>
      </c>
      <c r="D531" t="s">
        <v>7</v>
      </c>
      <c r="E531">
        <v>946136</v>
      </c>
      <c r="F531">
        <v>9015884123</v>
      </c>
      <c r="G531">
        <v>265</v>
      </c>
      <c r="H531" t="s">
        <v>1156</v>
      </c>
      <c r="I531">
        <v>0</v>
      </c>
      <c r="J531" t="s">
        <v>1157</v>
      </c>
      <c r="K531" t="s">
        <v>8</v>
      </c>
      <c r="L531" t="s">
        <v>15</v>
      </c>
      <c r="M531" t="s">
        <v>9</v>
      </c>
      <c r="N531" t="s">
        <v>14</v>
      </c>
      <c r="O531" s="2">
        <v>0</v>
      </c>
      <c r="P531" s="3">
        <v>2428.288</v>
      </c>
      <c r="Q531" s="1">
        <v>46033</v>
      </c>
      <c r="R531" s="1">
        <v>45992</v>
      </c>
      <c r="S531" s="1">
        <v>46022</v>
      </c>
      <c r="V531" s="8">
        <v>1</v>
      </c>
      <c r="W531" t="s">
        <v>24</v>
      </c>
      <c r="X531" t="s">
        <v>1158</v>
      </c>
      <c r="Y531" t="s">
        <v>31</v>
      </c>
      <c r="Z531" t="s">
        <v>11</v>
      </c>
      <c r="AA531">
        <v>62371</v>
      </c>
      <c r="AB531">
        <v>17159392</v>
      </c>
      <c r="AC531">
        <v>0</v>
      </c>
      <c r="AD531" s="8"/>
    </row>
    <row r="532" spans="1:30" x14ac:dyDescent="0.3">
      <c r="A532" t="s">
        <v>1627</v>
      </c>
      <c r="B532">
        <v>1356203</v>
      </c>
      <c r="D532" t="s">
        <v>7</v>
      </c>
      <c r="E532">
        <v>945404</v>
      </c>
      <c r="F532">
        <v>9015884123</v>
      </c>
      <c r="G532">
        <v>113</v>
      </c>
      <c r="H532" t="s">
        <v>169</v>
      </c>
      <c r="I532">
        <v>0</v>
      </c>
      <c r="J532" t="s">
        <v>170</v>
      </c>
      <c r="K532" t="s">
        <v>8</v>
      </c>
      <c r="L532" t="s">
        <v>67</v>
      </c>
      <c r="M532" t="s">
        <v>9</v>
      </c>
      <c r="N532" t="s">
        <v>14</v>
      </c>
      <c r="O532" s="2">
        <v>579465.16</v>
      </c>
      <c r="P532" s="3">
        <v>4068.3789999999999</v>
      </c>
      <c r="Q532" s="1">
        <v>46033</v>
      </c>
      <c r="R532" s="1">
        <v>45992</v>
      </c>
      <c r="S532" s="1">
        <v>46022</v>
      </c>
      <c r="V532" s="8">
        <v>1</v>
      </c>
      <c r="W532" t="s">
        <v>24</v>
      </c>
      <c r="X532" t="s">
        <v>171</v>
      </c>
      <c r="Y532" t="s">
        <v>31</v>
      </c>
      <c r="Z532" t="s">
        <v>11</v>
      </c>
      <c r="AA532">
        <v>62371</v>
      </c>
      <c r="AB532">
        <v>17426447</v>
      </c>
      <c r="AC532">
        <v>0</v>
      </c>
      <c r="AD532" s="8"/>
    </row>
    <row r="533" spans="1:30" x14ac:dyDescent="0.3">
      <c r="A533" t="s">
        <v>1627</v>
      </c>
      <c r="B533">
        <v>1354731</v>
      </c>
      <c r="D533" t="s">
        <v>7</v>
      </c>
      <c r="E533">
        <v>945321</v>
      </c>
      <c r="F533">
        <v>9015884123</v>
      </c>
      <c r="G533">
        <v>88</v>
      </c>
      <c r="H533" t="s">
        <v>757</v>
      </c>
      <c r="I533">
        <v>0</v>
      </c>
      <c r="J533" t="s">
        <v>758</v>
      </c>
      <c r="K533" t="s">
        <v>8</v>
      </c>
      <c r="L533" t="s">
        <v>18</v>
      </c>
      <c r="M533" t="s">
        <v>9</v>
      </c>
      <c r="N533" t="s">
        <v>14</v>
      </c>
      <c r="O533" s="2">
        <v>2.37</v>
      </c>
      <c r="P533" s="3">
        <v>0</v>
      </c>
      <c r="Q533" s="1">
        <v>46033</v>
      </c>
      <c r="R533" s="1">
        <v>45992</v>
      </c>
      <c r="S533" s="1">
        <v>46022</v>
      </c>
      <c r="V533" s="8">
        <v>1</v>
      </c>
      <c r="W533" t="s">
        <v>24</v>
      </c>
      <c r="X533" t="s">
        <v>759</v>
      </c>
      <c r="Y533" t="s">
        <v>10</v>
      </c>
      <c r="Z533" t="s">
        <v>11</v>
      </c>
      <c r="AA533">
        <v>62371</v>
      </c>
      <c r="AB533">
        <v>17679524</v>
      </c>
      <c r="AC533">
        <v>1</v>
      </c>
      <c r="AD533" s="8"/>
    </row>
    <row r="534" spans="1:30" x14ac:dyDescent="0.3">
      <c r="A534" t="s">
        <v>1627</v>
      </c>
      <c r="B534">
        <v>1384359</v>
      </c>
      <c r="D534" t="s">
        <v>7</v>
      </c>
      <c r="E534">
        <v>946031</v>
      </c>
      <c r="F534">
        <v>9015884123</v>
      </c>
      <c r="G534">
        <v>231</v>
      </c>
      <c r="H534" t="s">
        <v>721</v>
      </c>
      <c r="I534">
        <v>0</v>
      </c>
      <c r="J534" t="s">
        <v>722</v>
      </c>
      <c r="K534" t="s">
        <v>8</v>
      </c>
      <c r="L534" t="s">
        <v>19</v>
      </c>
      <c r="M534" t="s">
        <v>9</v>
      </c>
      <c r="N534" t="s">
        <v>14</v>
      </c>
      <c r="O534" s="2">
        <v>735858.99</v>
      </c>
      <c r="P534" s="3">
        <v>5781.5069999999996</v>
      </c>
      <c r="Q534" s="1">
        <v>46033</v>
      </c>
      <c r="R534" s="1">
        <v>45992</v>
      </c>
      <c r="S534" s="1">
        <v>46022</v>
      </c>
      <c r="V534" s="8">
        <v>2</v>
      </c>
      <c r="W534" t="s">
        <v>24</v>
      </c>
      <c r="X534" t="s">
        <v>723</v>
      </c>
      <c r="Y534" t="s">
        <v>34</v>
      </c>
      <c r="Z534" t="s">
        <v>11</v>
      </c>
      <c r="AA534">
        <v>62371</v>
      </c>
      <c r="AB534">
        <v>18741899</v>
      </c>
      <c r="AC534">
        <v>1</v>
      </c>
      <c r="AD534" s="8"/>
    </row>
    <row r="535" spans="1:30" x14ac:dyDescent="0.3">
      <c r="A535" t="s">
        <v>1627</v>
      </c>
      <c r="B535">
        <v>1354732</v>
      </c>
      <c r="D535" t="s">
        <v>7</v>
      </c>
      <c r="E535">
        <v>945330</v>
      </c>
      <c r="F535">
        <v>9015884123</v>
      </c>
      <c r="G535">
        <v>90</v>
      </c>
      <c r="H535" t="s">
        <v>196</v>
      </c>
      <c r="I535">
        <v>0</v>
      </c>
      <c r="J535" t="s">
        <v>197</v>
      </c>
      <c r="K535" t="s">
        <v>8</v>
      </c>
      <c r="L535" t="s">
        <v>67</v>
      </c>
      <c r="M535" t="s">
        <v>9</v>
      </c>
      <c r="N535" t="s">
        <v>14</v>
      </c>
      <c r="O535" s="2">
        <v>444322.27</v>
      </c>
      <c r="P535" s="3">
        <v>4114.2569999999996</v>
      </c>
      <c r="Q535" s="1">
        <v>46033</v>
      </c>
      <c r="R535" s="1">
        <v>45992</v>
      </c>
      <c r="S535" s="1">
        <v>46022</v>
      </c>
      <c r="V535" s="8">
        <v>1</v>
      </c>
      <c r="W535" t="s">
        <v>24</v>
      </c>
      <c r="X535" t="s">
        <v>198</v>
      </c>
      <c r="Y535" t="s">
        <v>10</v>
      </c>
      <c r="Z535" t="s">
        <v>11</v>
      </c>
      <c r="AA535">
        <v>62371</v>
      </c>
      <c r="AB535">
        <v>18404523</v>
      </c>
      <c r="AC535">
        <v>1</v>
      </c>
      <c r="AD535" s="8"/>
    </row>
    <row r="536" spans="1:30" x14ac:dyDescent="0.3">
      <c r="A536" t="s">
        <v>1627</v>
      </c>
      <c r="B536">
        <v>1363121</v>
      </c>
      <c r="D536" t="s">
        <v>7</v>
      </c>
      <c r="E536">
        <v>945906</v>
      </c>
      <c r="F536">
        <v>9015884123</v>
      </c>
      <c r="G536">
        <v>155</v>
      </c>
      <c r="H536" t="s">
        <v>1159</v>
      </c>
      <c r="I536">
        <v>0</v>
      </c>
      <c r="J536" t="s">
        <v>1160</v>
      </c>
      <c r="K536" t="s">
        <v>8</v>
      </c>
      <c r="L536" t="s">
        <v>19</v>
      </c>
      <c r="M536" t="s">
        <v>9</v>
      </c>
      <c r="N536" t="s">
        <v>14</v>
      </c>
      <c r="O536" s="2">
        <v>1136.22</v>
      </c>
      <c r="P536" s="3">
        <v>6.9640000000000004</v>
      </c>
      <c r="Q536" s="1">
        <v>46033</v>
      </c>
      <c r="R536" s="1">
        <v>45992</v>
      </c>
      <c r="S536" s="1">
        <v>46022</v>
      </c>
      <c r="V536" s="8">
        <v>1</v>
      </c>
      <c r="W536" t="s">
        <v>24</v>
      </c>
      <c r="X536" t="s">
        <v>1161</v>
      </c>
      <c r="Y536" t="s">
        <v>34</v>
      </c>
      <c r="Z536" t="s">
        <v>11</v>
      </c>
      <c r="AA536">
        <v>62371</v>
      </c>
      <c r="AB536">
        <v>21249920</v>
      </c>
      <c r="AC536">
        <v>1</v>
      </c>
      <c r="AD536" s="8"/>
    </row>
    <row r="537" spans="1:30" x14ac:dyDescent="0.3">
      <c r="A537" t="s">
        <v>1627</v>
      </c>
      <c r="B537">
        <v>1353816</v>
      </c>
      <c r="D537" t="s">
        <v>7</v>
      </c>
      <c r="E537">
        <v>945337</v>
      </c>
      <c r="F537">
        <v>9015884123</v>
      </c>
      <c r="G537">
        <v>92</v>
      </c>
      <c r="H537" t="s">
        <v>730</v>
      </c>
      <c r="I537">
        <v>0</v>
      </c>
      <c r="J537" t="s">
        <v>731</v>
      </c>
      <c r="K537" t="s">
        <v>8</v>
      </c>
      <c r="L537" t="s">
        <v>18</v>
      </c>
      <c r="M537" t="s">
        <v>9</v>
      </c>
      <c r="N537" t="s">
        <v>14</v>
      </c>
      <c r="O537" s="2">
        <v>-3.1</v>
      </c>
      <c r="P537" s="3">
        <v>0</v>
      </c>
      <c r="Q537" s="1">
        <v>46033</v>
      </c>
      <c r="R537" s="1">
        <v>45992</v>
      </c>
      <c r="S537" s="1">
        <v>46022</v>
      </c>
      <c r="V537" s="8">
        <v>1</v>
      </c>
      <c r="W537" t="s">
        <v>24</v>
      </c>
      <c r="X537" t="s">
        <v>732</v>
      </c>
      <c r="Y537" t="s">
        <v>34</v>
      </c>
      <c r="Z537" t="s">
        <v>11</v>
      </c>
      <c r="AA537">
        <v>62371</v>
      </c>
      <c r="AB537">
        <v>17906304</v>
      </c>
      <c r="AC537">
        <v>1</v>
      </c>
      <c r="AD537" s="8"/>
    </row>
    <row r="538" spans="1:30" x14ac:dyDescent="0.3">
      <c r="A538" t="s">
        <v>1627</v>
      </c>
      <c r="B538">
        <v>1342242</v>
      </c>
      <c r="D538" t="s">
        <v>7</v>
      </c>
      <c r="E538">
        <v>945266</v>
      </c>
      <c r="F538">
        <v>9015884123</v>
      </c>
      <c r="G538">
        <v>71</v>
      </c>
      <c r="H538" t="s">
        <v>1138</v>
      </c>
      <c r="I538">
        <v>0</v>
      </c>
      <c r="J538" t="s">
        <v>1139</v>
      </c>
      <c r="K538" t="s">
        <v>8</v>
      </c>
      <c r="L538" t="s">
        <v>15</v>
      </c>
      <c r="M538" t="s">
        <v>9</v>
      </c>
      <c r="N538" t="s">
        <v>14</v>
      </c>
      <c r="O538" s="2">
        <v>0</v>
      </c>
      <c r="P538" s="3">
        <v>4229.4709999999995</v>
      </c>
      <c r="Q538" s="1">
        <v>46033</v>
      </c>
      <c r="R538" s="1">
        <v>45992</v>
      </c>
      <c r="S538" s="1">
        <v>46022</v>
      </c>
      <c r="V538" s="8">
        <v>1</v>
      </c>
      <c r="W538" t="s">
        <v>24</v>
      </c>
      <c r="X538" t="s">
        <v>1140</v>
      </c>
      <c r="Y538" t="s">
        <v>10</v>
      </c>
      <c r="Z538" t="s">
        <v>11</v>
      </c>
      <c r="AA538">
        <v>62371</v>
      </c>
      <c r="AB538">
        <v>19546549</v>
      </c>
      <c r="AC538">
        <v>0</v>
      </c>
      <c r="AD538" s="8"/>
    </row>
    <row r="539" spans="1:30" x14ac:dyDescent="0.3">
      <c r="A539" t="s">
        <v>1627</v>
      </c>
      <c r="B539">
        <v>1342245</v>
      </c>
      <c r="D539" t="s">
        <v>7</v>
      </c>
      <c r="E539">
        <v>945269</v>
      </c>
      <c r="F539">
        <v>9015884123</v>
      </c>
      <c r="G539">
        <v>72</v>
      </c>
      <c r="H539" t="s">
        <v>751</v>
      </c>
      <c r="I539">
        <v>0</v>
      </c>
      <c r="J539" t="s">
        <v>752</v>
      </c>
      <c r="K539" t="s">
        <v>8</v>
      </c>
      <c r="L539" t="s">
        <v>15</v>
      </c>
      <c r="M539" t="s">
        <v>9</v>
      </c>
      <c r="N539" t="s">
        <v>14</v>
      </c>
      <c r="O539" s="2">
        <v>0</v>
      </c>
      <c r="P539" s="3">
        <v>3278.4609999999998</v>
      </c>
      <c r="Q539" s="1">
        <v>46033</v>
      </c>
      <c r="R539" s="1">
        <v>45992</v>
      </c>
      <c r="S539" s="1">
        <v>46022</v>
      </c>
      <c r="V539" s="8">
        <v>1</v>
      </c>
      <c r="W539" t="s">
        <v>24</v>
      </c>
      <c r="X539" t="s">
        <v>753</v>
      </c>
      <c r="Y539" t="s">
        <v>10</v>
      </c>
      <c r="Z539" t="s">
        <v>11</v>
      </c>
      <c r="AA539">
        <v>62371</v>
      </c>
      <c r="AB539">
        <v>19392444</v>
      </c>
      <c r="AC539">
        <v>0</v>
      </c>
      <c r="AD539" s="8"/>
    </row>
    <row r="540" spans="1:30" x14ac:dyDescent="0.3">
      <c r="A540" t="s">
        <v>1627</v>
      </c>
      <c r="B540">
        <v>1354515</v>
      </c>
      <c r="D540" t="s">
        <v>7</v>
      </c>
      <c r="E540">
        <v>945369</v>
      </c>
      <c r="F540">
        <v>9015884123</v>
      </c>
      <c r="G540">
        <v>102</v>
      </c>
      <c r="H540" t="s">
        <v>754</v>
      </c>
      <c r="I540">
        <v>0</v>
      </c>
      <c r="J540" t="s">
        <v>755</v>
      </c>
      <c r="K540" t="s">
        <v>8</v>
      </c>
      <c r="L540" t="s">
        <v>19</v>
      </c>
      <c r="M540" t="s">
        <v>9</v>
      </c>
      <c r="N540" t="s">
        <v>14</v>
      </c>
      <c r="O540" s="2">
        <v>224.27</v>
      </c>
      <c r="P540" s="3">
        <v>1.135</v>
      </c>
      <c r="Q540" s="1">
        <v>46033</v>
      </c>
      <c r="R540" s="1">
        <v>45992</v>
      </c>
      <c r="S540" s="1">
        <v>46022</v>
      </c>
      <c r="V540" s="8">
        <v>1</v>
      </c>
      <c r="W540" t="s">
        <v>24</v>
      </c>
      <c r="X540" t="s">
        <v>756</v>
      </c>
      <c r="Y540" t="s">
        <v>17</v>
      </c>
      <c r="Z540" t="s">
        <v>11</v>
      </c>
      <c r="AA540">
        <v>62371</v>
      </c>
      <c r="AB540">
        <v>17822108</v>
      </c>
      <c r="AC540">
        <v>0</v>
      </c>
      <c r="AD540" s="8"/>
    </row>
    <row r="541" spans="1:30" x14ac:dyDescent="0.3">
      <c r="A541" t="s">
        <v>1627</v>
      </c>
      <c r="B541">
        <v>1354734</v>
      </c>
      <c r="D541" t="s">
        <v>7</v>
      </c>
      <c r="E541">
        <v>945343</v>
      </c>
      <c r="F541">
        <v>9015884123</v>
      </c>
      <c r="G541">
        <v>94</v>
      </c>
      <c r="H541" t="s">
        <v>1162</v>
      </c>
      <c r="I541">
        <v>0</v>
      </c>
      <c r="J541" t="s">
        <v>1163</v>
      </c>
      <c r="K541" t="s">
        <v>8</v>
      </c>
      <c r="L541" t="s">
        <v>67</v>
      </c>
      <c r="M541" t="s">
        <v>9</v>
      </c>
      <c r="N541" t="s">
        <v>14</v>
      </c>
      <c r="O541" s="2">
        <v>759831.39</v>
      </c>
      <c r="P541" s="3">
        <v>5334.7160000000003</v>
      </c>
      <c r="Q541" s="1">
        <v>46033</v>
      </c>
      <c r="R541" s="1">
        <v>45992</v>
      </c>
      <c r="S541" s="1">
        <v>46022</v>
      </c>
      <c r="V541" s="8">
        <v>1</v>
      </c>
      <c r="W541" t="s">
        <v>24</v>
      </c>
      <c r="X541" t="s">
        <v>1164</v>
      </c>
      <c r="Y541" t="s">
        <v>10</v>
      </c>
      <c r="Z541" t="s">
        <v>11</v>
      </c>
      <c r="AA541">
        <v>62371</v>
      </c>
      <c r="AB541">
        <v>21137523</v>
      </c>
      <c r="AC541">
        <v>0</v>
      </c>
      <c r="AD541" s="8"/>
    </row>
    <row r="542" spans="1:30" x14ac:dyDescent="0.3">
      <c r="A542" t="s">
        <v>1627</v>
      </c>
      <c r="B542">
        <v>1359030</v>
      </c>
      <c r="D542" t="s">
        <v>7</v>
      </c>
      <c r="E542">
        <v>945898</v>
      </c>
      <c r="F542">
        <v>9015884123</v>
      </c>
      <c r="G542">
        <v>147</v>
      </c>
      <c r="H542" t="s">
        <v>202</v>
      </c>
      <c r="I542">
        <v>0</v>
      </c>
      <c r="J542" t="s">
        <v>203</v>
      </c>
      <c r="K542" t="s">
        <v>8</v>
      </c>
      <c r="L542" t="s">
        <v>15</v>
      </c>
      <c r="M542" t="s">
        <v>9</v>
      </c>
      <c r="N542" t="s">
        <v>14</v>
      </c>
      <c r="O542" s="2">
        <v>0</v>
      </c>
      <c r="P542" s="3">
        <v>3820.4960000000001</v>
      </c>
      <c r="Q542" s="1">
        <v>46033</v>
      </c>
      <c r="R542" s="1">
        <v>45992</v>
      </c>
      <c r="S542" s="1">
        <v>46022</v>
      </c>
      <c r="V542" s="8">
        <v>1</v>
      </c>
      <c r="W542" t="s">
        <v>24</v>
      </c>
      <c r="X542" t="s">
        <v>204</v>
      </c>
      <c r="Y542" t="s">
        <v>17</v>
      </c>
      <c r="Z542" t="s">
        <v>11</v>
      </c>
      <c r="AA542">
        <v>62371</v>
      </c>
      <c r="AB542">
        <v>18549020</v>
      </c>
      <c r="AC542">
        <v>1</v>
      </c>
      <c r="AD542" s="8"/>
    </row>
    <row r="543" spans="1:30" x14ac:dyDescent="0.3">
      <c r="A543" t="s">
        <v>1627</v>
      </c>
      <c r="B543">
        <v>1359031</v>
      </c>
      <c r="D543" t="s">
        <v>7</v>
      </c>
      <c r="E543">
        <v>945899</v>
      </c>
      <c r="F543">
        <v>9015884123</v>
      </c>
      <c r="G543">
        <v>148</v>
      </c>
      <c r="H543" t="s">
        <v>1165</v>
      </c>
      <c r="I543">
        <v>0</v>
      </c>
      <c r="J543" t="s">
        <v>1166</v>
      </c>
      <c r="K543" t="s">
        <v>8</v>
      </c>
      <c r="L543" t="s">
        <v>18</v>
      </c>
      <c r="M543" t="s">
        <v>9</v>
      </c>
      <c r="N543" t="s">
        <v>14</v>
      </c>
      <c r="O543" s="2">
        <v>-3.26</v>
      </c>
      <c r="P543" s="3">
        <v>0</v>
      </c>
      <c r="Q543" s="1">
        <v>46033</v>
      </c>
      <c r="R543" s="1">
        <v>45992</v>
      </c>
      <c r="S543" s="1">
        <v>46022</v>
      </c>
      <c r="V543" s="8">
        <v>1</v>
      </c>
      <c r="W543" t="s">
        <v>24</v>
      </c>
      <c r="X543" t="s">
        <v>1167</v>
      </c>
      <c r="Y543" t="s">
        <v>17</v>
      </c>
      <c r="Z543" t="s">
        <v>11</v>
      </c>
      <c r="AA543">
        <v>62371</v>
      </c>
      <c r="AB543">
        <v>18541175</v>
      </c>
      <c r="AC543">
        <v>1</v>
      </c>
      <c r="AD543" s="8"/>
    </row>
    <row r="544" spans="1:30" x14ac:dyDescent="0.3">
      <c r="A544" t="s">
        <v>1627</v>
      </c>
      <c r="B544">
        <v>1363124</v>
      </c>
      <c r="D544" t="s">
        <v>7</v>
      </c>
      <c r="E544">
        <v>945904</v>
      </c>
      <c r="F544">
        <v>9015884123</v>
      </c>
      <c r="G544">
        <v>153</v>
      </c>
      <c r="H544" t="s">
        <v>769</v>
      </c>
      <c r="I544">
        <v>0</v>
      </c>
      <c r="J544" t="s">
        <v>770</v>
      </c>
      <c r="K544" t="s">
        <v>8</v>
      </c>
      <c r="L544" t="s">
        <v>67</v>
      </c>
      <c r="M544" t="s">
        <v>9</v>
      </c>
      <c r="N544" t="s">
        <v>14</v>
      </c>
      <c r="O544" s="2">
        <v>230921.26</v>
      </c>
      <c r="P544" s="3">
        <v>2138.2440000000001</v>
      </c>
      <c r="Q544" s="1">
        <v>46033</v>
      </c>
      <c r="R544" s="1">
        <v>45992</v>
      </c>
      <c r="S544" s="1">
        <v>46022</v>
      </c>
      <c r="V544" s="8">
        <v>1</v>
      </c>
      <c r="W544" t="s">
        <v>24</v>
      </c>
      <c r="X544" t="s">
        <v>771</v>
      </c>
      <c r="Y544" t="s">
        <v>17</v>
      </c>
      <c r="Z544" t="s">
        <v>11</v>
      </c>
      <c r="AA544">
        <v>62371</v>
      </c>
      <c r="AB544">
        <v>19861748</v>
      </c>
      <c r="AC544">
        <v>1</v>
      </c>
      <c r="AD544" s="8"/>
    </row>
    <row r="545" spans="1:30" x14ac:dyDescent="0.3">
      <c r="A545" t="s">
        <v>1627</v>
      </c>
      <c r="B545">
        <v>1363377</v>
      </c>
      <c r="D545" t="s">
        <v>7</v>
      </c>
      <c r="E545">
        <v>945910</v>
      </c>
      <c r="F545">
        <v>9015884123</v>
      </c>
      <c r="G545">
        <v>159</v>
      </c>
      <c r="H545" t="s">
        <v>205</v>
      </c>
      <c r="I545">
        <v>0</v>
      </c>
      <c r="J545" t="s">
        <v>206</v>
      </c>
      <c r="K545" t="s">
        <v>8</v>
      </c>
      <c r="L545" t="s">
        <v>18</v>
      </c>
      <c r="M545" t="s">
        <v>9</v>
      </c>
      <c r="N545" t="s">
        <v>14</v>
      </c>
      <c r="O545" s="2">
        <v>0.54</v>
      </c>
      <c r="P545" s="3">
        <v>0</v>
      </c>
      <c r="Q545" s="1">
        <v>46033</v>
      </c>
      <c r="R545" s="1">
        <v>45992</v>
      </c>
      <c r="S545" s="1">
        <v>46022</v>
      </c>
      <c r="V545" s="8">
        <v>1</v>
      </c>
      <c r="W545" t="s">
        <v>24</v>
      </c>
      <c r="X545" t="s">
        <v>207</v>
      </c>
      <c r="Y545" t="s">
        <v>17</v>
      </c>
      <c r="Z545" t="s">
        <v>11</v>
      </c>
      <c r="AA545">
        <v>62371</v>
      </c>
      <c r="AB545">
        <v>19861998</v>
      </c>
      <c r="AC545">
        <v>1</v>
      </c>
      <c r="AD545" s="8"/>
    </row>
    <row r="546" spans="1:30" x14ac:dyDescent="0.3">
      <c r="A546" t="s">
        <v>1627</v>
      </c>
      <c r="B546">
        <v>1359031</v>
      </c>
      <c r="D546" t="s">
        <v>7</v>
      </c>
      <c r="E546">
        <v>945899</v>
      </c>
      <c r="F546">
        <v>9015884123</v>
      </c>
      <c r="G546">
        <v>148</v>
      </c>
      <c r="H546" t="s">
        <v>1165</v>
      </c>
      <c r="I546">
        <v>0</v>
      </c>
      <c r="J546" t="s">
        <v>1166</v>
      </c>
      <c r="K546" t="s">
        <v>8</v>
      </c>
      <c r="L546" t="s">
        <v>15</v>
      </c>
      <c r="M546" t="s">
        <v>9</v>
      </c>
      <c r="N546" t="s">
        <v>14</v>
      </c>
      <c r="O546" s="2">
        <v>0</v>
      </c>
      <c r="P546" s="3">
        <v>2199.8389999999999</v>
      </c>
      <c r="Q546" s="1">
        <v>46033</v>
      </c>
      <c r="R546" s="1">
        <v>45992</v>
      </c>
      <c r="S546" s="1">
        <v>46022</v>
      </c>
      <c r="V546" s="8">
        <v>1</v>
      </c>
      <c r="W546" t="s">
        <v>24</v>
      </c>
      <c r="X546" t="s">
        <v>1167</v>
      </c>
      <c r="Y546" t="s">
        <v>17</v>
      </c>
      <c r="Z546" t="s">
        <v>11</v>
      </c>
      <c r="AA546">
        <v>62371</v>
      </c>
      <c r="AB546">
        <v>18541175</v>
      </c>
      <c r="AC546">
        <v>1</v>
      </c>
      <c r="AD546" s="8"/>
    </row>
    <row r="547" spans="1:30" x14ac:dyDescent="0.3">
      <c r="A547" t="s">
        <v>1627</v>
      </c>
      <c r="B547">
        <v>1377542</v>
      </c>
      <c r="D547" t="s">
        <v>7</v>
      </c>
      <c r="E547">
        <v>945952</v>
      </c>
      <c r="F547">
        <v>9015884123</v>
      </c>
      <c r="G547">
        <v>194</v>
      </c>
      <c r="H547" t="s">
        <v>775</v>
      </c>
      <c r="I547">
        <v>0</v>
      </c>
      <c r="J547" t="s">
        <v>776</v>
      </c>
      <c r="K547" t="s">
        <v>8</v>
      </c>
      <c r="L547" t="s">
        <v>15</v>
      </c>
      <c r="M547" t="s">
        <v>9</v>
      </c>
      <c r="N547" t="s">
        <v>14</v>
      </c>
      <c r="O547" s="2">
        <v>0</v>
      </c>
      <c r="P547" s="3">
        <v>8309.4989999999998</v>
      </c>
      <c r="Q547" s="1">
        <v>46033</v>
      </c>
      <c r="R547" s="1">
        <v>45992</v>
      </c>
      <c r="S547" s="1">
        <v>46022</v>
      </c>
      <c r="V547" s="8">
        <v>1</v>
      </c>
      <c r="W547" t="s">
        <v>24</v>
      </c>
      <c r="X547" t="s">
        <v>777</v>
      </c>
      <c r="Y547" t="s">
        <v>17</v>
      </c>
      <c r="Z547" t="s">
        <v>11</v>
      </c>
      <c r="AA547">
        <v>62371</v>
      </c>
      <c r="AB547">
        <v>19453123</v>
      </c>
      <c r="AC547">
        <v>1</v>
      </c>
      <c r="AD547" s="8"/>
    </row>
    <row r="548" spans="1:30" x14ac:dyDescent="0.3">
      <c r="A548" t="s">
        <v>1627</v>
      </c>
      <c r="B548">
        <v>1356164</v>
      </c>
      <c r="D548" t="s">
        <v>7</v>
      </c>
      <c r="E548">
        <v>945391</v>
      </c>
      <c r="F548">
        <v>9015884123</v>
      </c>
      <c r="G548">
        <v>109</v>
      </c>
      <c r="H548" t="s">
        <v>1168</v>
      </c>
      <c r="I548">
        <v>0</v>
      </c>
      <c r="J548" t="s">
        <v>1169</v>
      </c>
      <c r="K548" t="s">
        <v>8</v>
      </c>
      <c r="L548" t="s">
        <v>15</v>
      </c>
      <c r="M548" t="s">
        <v>9</v>
      </c>
      <c r="N548" t="s">
        <v>14</v>
      </c>
      <c r="O548" s="2">
        <v>0</v>
      </c>
      <c r="P548" s="3">
        <v>3739.183</v>
      </c>
      <c r="Q548" s="1">
        <v>46033</v>
      </c>
      <c r="R548" s="1">
        <v>45992</v>
      </c>
      <c r="S548" s="1">
        <v>46022</v>
      </c>
      <c r="V548" s="8">
        <v>1</v>
      </c>
      <c r="W548" t="s">
        <v>24</v>
      </c>
      <c r="X548" t="s">
        <v>1170</v>
      </c>
      <c r="Y548" t="s">
        <v>10</v>
      </c>
      <c r="Z548" t="s">
        <v>11</v>
      </c>
      <c r="AA548">
        <v>62371</v>
      </c>
      <c r="AB548">
        <v>21113669</v>
      </c>
      <c r="AC548">
        <v>1</v>
      </c>
      <c r="AD548" s="8"/>
    </row>
    <row r="549" spans="1:30" x14ac:dyDescent="0.3">
      <c r="A549" t="s">
        <v>1627</v>
      </c>
      <c r="B549">
        <v>1356164</v>
      </c>
      <c r="D549" t="s">
        <v>7</v>
      </c>
      <c r="E549">
        <v>945391</v>
      </c>
      <c r="F549">
        <v>9015884123</v>
      </c>
      <c r="G549">
        <v>109</v>
      </c>
      <c r="H549" t="s">
        <v>1168</v>
      </c>
      <c r="I549">
        <v>0</v>
      </c>
      <c r="J549" t="s">
        <v>1169</v>
      </c>
      <c r="K549" t="s">
        <v>8</v>
      </c>
      <c r="L549" t="s">
        <v>67</v>
      </c>
      <c r="M549" t="s">
        <v>9</v>
      </c>
      <c r="N549" t="s">
        <v>14</v>
      </c>
      <c r="O549" s="2">
        <v>403815.87</v>
      </c>
      <c r="P549" s="3">
        <v>3739.183</v>
      </c>
      <c r="Q549" s="1">
        <v>46033</v>
      </c>
      <c r="R549" s="1">
        <v>45992</v>
      </c>
      <c r="S549" s="1">
        <v>46022</v>
      </c>
      <c r="V549" s="8">
        <v>1</v>
      </c>
      <c r="W549" t="s">
        <v>24</v>
      </c>
      <c r="X549" t="s">
        <v>1170</v>
      </c>
      <c r="Y549" t="s">
        <v>10</v>
      </c>
      <c r="Z549" t="s">
        <v>11</v>
      </c>
      <c r="AA549">
        <v>62371</v>
      </c>
      <c r="AB549">
        <v>21113669</v>
      </c>
      <c r="AC549">
        <v>1</v>
      </c>
      <c r="AD549" s="8"/>
    </row>
    <row r="550" spans="1:30" x14ac:dyDescent="0.3">
      <c r="A550" t="s">
        <v>1627</v>
      </c>
      <c r="B550">
        <v>1356164</v>
      </c>
      <c r="D550" t="s">
        <v>7</v>
      </c>
      <c r="E550">
        <v>945391</v>
      </c>
      <c r="F550">
        <v>9015884123</v>
      </c>
      <c r="G550">
        <v>109</v>
      </c>
      <c r="H550" t="s">
        <v>1168</v>
      </c>
      <c r="I550">
        <v>0</v>
      </c>
      <c r="J550" t="s">
        <v>1169</v>
      </c>
      <c r="K550" t="s">
        <v>8</v>
      </c>
      <c r="L550" t="s">
        <v>18</v>
      </c>
      <c r="M550" t="s">
        <v>9</v>
      </c>
      <c r="N550" t="s">
        <v>14</v>
      </c>
      <c r="O550" s="2">
        <v>-1.0900000000000001</v>
      </c>
      <c r="P550" s="3">
        <v>0</v>
      </c>
      <c r="Q550" s="1">
        <v>46033</v>
      </c>
      <c r="R550" s="1">
        <v>45992</v>
      </c>
      <c r="S550" s="1">
        <v>46022</v>
      </c>
      <c r="V550" s="8">
        <v>1</v>
      </c>
      <c r="W550" t="s">
        <v>24</v>
      </c>
      <c r="X550" t="s">
        <v>1170</v>
      </c>
      <c r="Y550" t="s">
        <v>10</v>
      </c>
      <c r="Z550" t="s">
        <v>11</v>
      </c>
      <c r="AA550">
        <v>62371</v>
      </c>
      <c r="AB550">
        <v>21113669</v>
      </c>
      <c r="AC550">
        <v>1</v>
      </c>
      <c r="AD550" s="8"/>
    </row>
    <row r="551" spans="1:30" x14ac:dyDescent="0.3">
      <c r="A551" t="s">
        <v>1627</v>
      </c>
      <c r="B551">
        <v>1356166</v>
      </c>
      <c r="D551" t="s">
        <v>7</v>
      </c>
      <c r="E551">
        <v>945394</v>
      </c>
      <c r="F551">
        <v>9015884123</v>
      </c>
      <c r="G551">
        <v>110</v>
      </c>
      <c r="H551" t="s">
        <v>1171</v>
      </c>
      <c r="I551">
        <v>0</v>
      </c>
      <c r="J551" t="s">
        <v>1172</v>
      </c>
      <c r="K551" t="s">
        <v>8</v>
      </c>
      <c r="L551" t="s">
        <v>15</v>
      </c>
      <c r="M551" t="s">
        <v>9</v>
      </c>
      <c r="N551" t="s">
        <v>14</v>
      </c>
      <c r="O551" s="2">
        <v>0</v>
      </c>
      <c r="P551" s="3">
        <v>1937.279</v>
      </c>
      <c r="Q551" s="1">
        <v>46033</v>
      </c>
      <c r="R551" s="1">
        <v>45992</v>
      </c>
      <c r="S551" s="1">
        <v>46022</v>
      </c>
      <c r="V551" s="8">
        <v>1</v>
      </c>
      <c r="W551" t="s">
        <v>24</v>
      </c>
      <c r="X551" t="s">
        <v>1173</v>
      </c>
      <c r="Y551" t="s">
        <v>10</v>
      </c>
      <c r="Z551" t="s">
        <v>11</v>
      </c>
      <c r="AA551">
        <v>62371</v>
      </c>
      <c r="AB551">
        <v>21141479</v>
      </c>
      <c r="AC551">
        <v>1</v>
      </c>
      <c r="AD551" s="8"/>
    </row>
    <row r="552" spans="1:30" x14ac:dyDescent="0.3">
      <c r="A552" t="s">
        <v>1627</v>
      </c>
      <c r="B552">
        <v>1356173</v>
      </c>
      <c r="D552" t="s">
        <v>7</v>
      </c>
      <c r="E552">
        <v>945401</v>
      </c>
      <c r="F552">
        <v>9015884123</v>
      </c>
      <c r="G552">
        <v>112</v>
      </c>
      <c r="H552" t="s">
        <v>793</v>
      </c>
      <c r="I552">
        <v>0</v>
      </c>
      <c r="J552" t="s">
        <v>794</v>
      </c>
      <c r="K552" t="s">
        <v>8</v>
      </c>
      <c r="L552" t="s">
        <v>15</v>
      </c>
      <c r="M552" t="s">
        <v>9</v>
      </c>
      <c r="N552" t="s">
        <v>14</v>
      </c>
      <c r="O552" s="2">
        <v>0</v>
      </c>
      <c r="P552" s="3">
        <v>3313.6840000000002</v>
      </c>
      <c r="Q552" s="1">
        <v>46033</v>
      </c>
      <c r="R552" s="1">
        <v>45992</v>
      </c>
      <c r="S552" s="1">
        <v>46022</v>
      </c>
      <c r="V552" s="8">
        <v>1</v>
      </c>
      <c r="W552" t="s">
        <v>24</v>
      </c>
      <c r="X552" t="s">
        <v>795</v>
      </c>
      <c r="Y552" t="s">
        <v>10</v>
      </c>
      <c r="Z552" t="s">
        <v>11</v>
      </c>
      <c r="AA552">
        <v>62371</v>
      </c>
      <c r="AB552">
        <v>21113537</v>
      </c>
      <c r="AC552">
        <v>1</v>
      </c>
      <c r="AD552" s="8"/>
    </row>
    <row r="553" spans="1:30" x14ac:dyDescent="0.3">
      <c r="A553" t="s">
        <v>1627</v>
      </c>
      <c r="B553">
        <v>1356173</v>
      </c>
      <c r="D553" t="s">
        <v>7</v>
      </c>
      <c r="E553">
        <v>945401</v>
      </c>
      <c r="F553">
        <v>9015884123</v>
      </c>
      <c r="G553">
        <v>112</v>
      </c>
      <c r="H553" t="s">
        <v>793</v>
      </c>
      <c r="I553">
        <v>0</v>
      </c>
      <c r="J553" t="s">
        <v>794</v>
      </c>
      <c r="K553" t="s">
        <v>8</v>
      </c>
      <c r="L553" t="s">
        <v>18</v>
      </c>
      <c r="M553" t="s">
        <v>9</v>
      </c>
      <c r="N553" t="s">
        <v>14</v>
      </c>
      <c r="O553" s="2">
        <v>-2.74</v>
      </c>
      <c r="P553" s="3">
        <v>0</v>
      </c>
      <c r="Q553" s="1">
        <v>46033</v>
      </c>
      <c r="R553" s="1">
        <v>45992</v>
      </c>
      <c r="S553" s="1">
        <v>46022</v>
      </c>
      <c r="V553" s="8">
        <v>1</v>
      </c>
      <c r="W553" t="s">
        <v>24</v>
      </c>
      <c r="X553" t="s">
        <v>795</v>
      </c>
      <c r="Y553" t="s">
        <v>10</v>
      </c>
      <c r="Z553" t="s">
        <v>11</v>
      </c>
      <c r="AA553">
        <v>62371</v>
      </c>
      <c r="AB553">
        <v>21113537</v>
      </c>
      <c r="AC553">
        <v>1</v>
      </c>
      <c r="AD553" s="8"/>
    </row>
    <row r="554" spans="1:30" x14ac:dyDescent="0.3">
      <c r="A554" t="s">
        <v>1627</v>
      </c>
      <c r="B554">
        <v>1356219</v>
      </c>
      <c r="D554" t="s">
        <v>7</v>
      </c>
      <c r="E554">
        <v>945416</v>
      </c>
      <c r="F554">
        <v>9015884123</v>
      </c>
      <c r="G554">
        <v>117</v>
      </c>
      <c r="H554" t="s">
        <v>796</v>
      </c>
      <c r="I554">
        <v>0</v>
      </c>
      <c r="J554" t="s">
        <v>797</v>
      </c>
      <c r="K554" t="s">
        <v>8</v>
      </c>
      <c r="L554" t="s">
        <v>67</v>
      </c>
      <c r="M554" t="s">
        <v>9</v>
      </c>
      <c r="N554" t="s">
        <v>14</v>
      </c>
      <c r="O554" s="2">
        <v>653331.82999999996</v>
      </c>
      <c r="P554" s="3">
        <v>4586.991</v>
      </c>
      <c r="Q554" s="1">
        <v>46033</v>
      </c>
      <c r="R554" s="1">
        <v>45992</v>
      </c>
      <c r="S554" s="1">
        <v>46022</v>
      </c>
      <c r="V554" s="8">
        <v>1</v>
      </c>
      <c r="W554" t="s">
        <v>24</v>
      </c>
      <c r="X554" t="s">
        <v>798</v>
      </c>
      <c r="Y554" t="s">
        <v>10</v>
      </c>
      <c r="Z554" t="s">
        <v>11</v>
      </c>
      <c r="AA554">
        <v>62371</v>
      </c>
      <c r="AB554">
        <v>17538944</v>
      </c>
      <c r="AC554">
        <v>0</v>
      </c>
      <c r="AD554" s="8"/>
    </row>
    <row r="555" spans="1:30" x14ac:dyDescent="0.3">
      <c r="A555" t="s">
        <v>1627</v>
      </c>
      <c r="B555">
        <v>1356233</v>
      </c>
      <c r="D555" t="s">
        <v>7</v>
      </c>
      <c r="E555">
        <v>945423</v>
      </c>
      <c r="F555">
        <v>9015884123</v>
      </c>
      <c r="G555">
        <v>119</v>
      </c>
      <c r="H555" t="s">
        <v>1174</v>
      </c>
      <c r="I555">
        <v>0</v>
      </c>
      <c r="J555" t="s">
        <v>1175</v>
      </c>
      <c r="K555" t="s">
        <v>8</v>
      </c>
      <c r="L555" t="s">
        <v>19</v>
      </c>
      <c r="M555" t="s">
        <v>9</v>
      </c>
      <c r="N555" t="s">
        <v>14</v>
      </c>
      <c r="O555" s="2">
        <v>30066.94</v>
      </c>
      <c r="P555" s="3">
        <v>152.167</v>
      </c>
      <c r="Q555" s="1">
        <v>46033</v>
      </c>
      <c r="R555" s="1">
        <v>45992</v>
      </c>
      <c r="S555" s="1">
        <v>46022</v>
      </c>
      <c r="V555" s="8">
        <v>1</v>
      </c>
      <c r="W555" t="s">
        <v>24</v>
      </c>
      <c r="X555" t="s">
        <v>1176</v>
      </c>
      <c r="Y555" t="s">
        <v>10</v>
      </c>
      <c r="Z555" t="s">
        <v>11</v>
      </c>
      <c r="AA555">
        <v>62371</v>
      </c>
      <c r="AB555">
        <v>17063770</v>
      </c>
      <c r="AC555">
        <v>0</v>
      </c>
      <c r="AD555" s="8"/>
    </row>
    <row r="556" spans="1:30" x14ac:dyDescent="0.3">
      <c r="A556" t="s">
        <v>1627</v>
      </c>
      <c r="B556">
        <v>1356297</v>
      </c>
      <c r="D556" t="s">
        <v>7</v>
      </c>
      <c r="E556">
        <v>945435</v>
      </c>
      <c r="F556">
        <v>9015884123</v>
      </c>
      <c r="G556">
        <v>123</v>
      </c>
      <c r="H556" t="s">
        <v>217</v>
      </c>
      <c r="I556">
        <v>0</v>
      </c>
      <c r="J556" t="s">
        <v>218</v>
      </c>
      <c r="K556" t="s">
        <v>8</v>
      </c>
      <c r="L556" t="s">
        <v>18</v>
      </c>
      <c r="M556" t="s">
        <v>9</v>
      </c>
      <c r="N556" t="s">
        <v>14</v>
      </c>
      <c r="O556" s="2">
        <v>3.56</v>
      </c>
      <c r="P556" s="3">
        <v>0</v>
      </c>
      <c r="Q556" s="1">
        <v>46033</v>
      </c>
      <c r="R556" s="1">
        <v>45992</v>
      </c>
      <c r="S556" s="1">
        <v>46022</v>
      </c>
      <c r="V556" s="8">
        <v>1</v>
      </c>
      <c r="W556" t="s">
        <v>24</v>
      </c>
      <c r="X556" t="s">
        <v>219</v>
      </c>
      <c r="Y556" t="s">
        <v>10</v>
      </c>
      <c r="Z556" t="s">
        <v>11</v>
      </c>
      <c r="AA556">
        <v>62371</v>
      </c>
      <c r="AB556">
        <v>17041720</v>
      </c>
      <c r="AC556">
        <v>0</v>
      </c>
      <c r="AD556" s="8"/>
    </row>
    <row r="557" spans="1:30" x14ac:dyDescent="0.3">
      <c r="A557" t="s">
        <v>1627</v>
      </c>
      <c r="B557">
        <v>1356253</v>
      </c>
      <c r="D557" t="s">
        <v>7</v>
      </c>
      <c r="E557">
        <v>945447</v>
      </c>
      <c r="F557">
        <v>9015884123</v>
      </c>
      <c r="G557">
        <v>127</v>
      </c>
      <c r="H557" t="s">
        <v>1177</v>
      </c>
      <c r="I557">
        <v>0</v>
      </c>
      <c r="J557" t="s">
        <v>1178</v>
      </c>
      <c r="K557" t="s">
        <v>8</v>
      </c>
      <c r="L557" t="s">
        <v>67</v>
      </c>
      <c r="M557" t="s">
        <v>9</v>
      </c>
      <c r="N557" t="s">
        <v>14</v>
      </c>
      <c r="O557" s="2">
        <v>1132005.93</v>
      </c>
      <c r="P557" s="3">
        <v>7947.7240000000002</v>
      </c>
      <c r="Q557" s="1">
        <v>46033</v>
      </c>
      <c r="R557" s="1">
        <v>45992</v>
      </c>
      <c r="S557" s="1">
        <v>46022</v>
      </c>
      <c r="V557" s="8">
        <v>1</v>
      </c>
      <c r="W557" t="s">
        <v>24</v>
      </c>
      <c r="X557" t="s">
        <v>1179</v>
      </c>
      <c r="Y557" t="s">
        <v>10</v>
      </c>
      <c r="Z557" t="s">
        <v>11</v>
      </c>
      <c r="AA557">
        <v>62371</v>
      </c>
      <c r="AB557">
        <v>17053509</v>
      </c>
      <c r="AC557">
        <v>0</v>
      </c>
      <c r="AD557" s="8"/>
    </row>
    <row r="558" spans="1:30" x14ac:dyDescent="0.3">
      <c r="A558" t="s">
        <v>1627</v>
      </c>
      <c r="B558">
        <v>1408951</v>
      </c>
      <c r="D558" t="s">
        <v>7</v>
      </c>
      <c r="E558">
        <v>946367</v>
      </c>
      <c r="F558">
        <v>9015884123</v>
      </c>
      <c r="G558">
        <v>356</v>
      </c>
      <c r="H558" t="s">
        <v>262</v>
      </c>
      <c r="I558">
        <v>0</v>
      </c>
      <c r="J558" t="s">
        <v>263</v>
      </c>
      <c r="K558" t="s">
        <v>8</v>
      </c>
      <c r="L558" t="s">
        <v>18</v>
      </c>
      <c r="M558" t="s">
        <v>9</v>
      </c>
      <c r="N558" t="s">
        <v>14</v>
      </c>
      <c r="O558" s="2">
        <v>0.2</v>
      </c>
      <c r="P558" s="3">
        <v>0</v>
      </c>
      <c r="Q558" s="1">
        <v>46033</v>
      </c>
      <c r="R558" s="1">
        <v>45992</v>
      </c>
      <c r="S558" s="1">
        <v>46022</v>
      </c>
      <c r="V558" s="8">
        <v>1</v>
      </c>
      <c r="W558" t="s">
        <v>24</v>
      </c>
      <c r="X558" t="s">
        <v>264</v>
      </c>
      <c r="Y558" t="s">
        <v>17</v>
      </c>
      <c r="Z558" t="s">
        <v>11</v>
      </c>
      <c r="AA558">
        <v>62371</v>
      </c>
      <c r="AB558">
        <v>17736438</v>
      </c>
      <c r="AC558">
        <v>0</v>
      </c>
      <c r="AD558" s="8"/>
    </row>
    <row r="559" spans="1:30" x14ac:dyDescent="0.3">
      <c r="A559" t="s">
        <v>1627</v>
      </c>
      <c r="B559">
        <v>1356149</v>
      </c>
      <c r="D559" t="s">
        <v>7</v>
      </c>
      <c r="E559">
        <v>945383</v>
      </c>
      <c r="F559">
        <v>9015884123</v>
      </c>
      <c r="G559">
        <v>106</v>
      </c>
      <c r="H559" t="s">
        <v>781</v>
      </c>
      <c r="I559">
        <v>0</v>
      </c>
      <c r="J559" t="s">
        <v>782</v>
      </c>
      <c r="K559" t="s">
        <v>8</v>
      </c>
      <c r="L559" t="s">
        <v>67</v>
      </c>
      <c r="M559" t="s">
        <v>9</v>
      </c>
      <c r="N559" t="s">
        <v>14</v>
      </c>
      <c r="O559" s="2">
        <v>462628.41</v>
      </c>
      <c r="P559" s="3">
        <v>4283.7650000000003</v>
      </c>
      <c r="Q559" s="1">
        <v>46033</v>
      </c>
      <c r="R559" s="1">
        <v>45992</v>
      </c>
      <c r="S559" s="1">
        <v>46022</v>
      </c>
      <c r="V559" s="8">
        <v>1</v>
      </c>
      <c r="W559" t="s">
        <v>24</v>
      </c>
      <c r="X559" t="s">
        <v>783</v>
      </c>
      <c r="Y559" t="s">
        <v>10</v>
      </c>
      <c r="Z559" t="s">
        <v>11</v>
      </c>
      <c r="AA559">
        <v>62371</v>
      </c>
      <c r="AB559">
        <v>17192106</v>
      </c>
      <c r="AC559">
        <v>1</v>
      </c>
      <c r="AD559" s="8"/>
    </row>
    <row r="560" spans="1:30" x14ac:dyDescent="0.3">
      <c r="A560" t="s">
        <v>1627</v>
      </c>
      <c r="B560">
        <v>1356216</v>
      </c>
      <c r="D560" t="s">
        <v>7</v>
      </c>
      <c r="E560">
        <v>945413</v>
      </c>
      <c r="F560">
        <v>9015884123</v>
      </c>
      <c r="G560">
        <v>116</v>
      </c>
      <c r="H560" t="s">
        <v>223</v>
      </c>
      <c r="I560">
        <v>0</v>
      </c>
      <c r="J560" t="s">
        <v>224</v>
      </c>
      <c r="K560" t="s">
        <v>8</v>
      </c>
      <c r="L560" t="s">
        <v>15</v>
      </c>
      <c r="M560" t="s">
        <v>9</v>
      </c>
      <c r="N560" t="s">
        <v>14</v>
      </c>
      <c r="O560" s="2">
        <v>0</v>
      </c>
      <c r="P560" s="3">
        <v>4612.2749999999996</v>
      </c>
      <c r="Q560" s="1">
        <v>46033</v>
      </c>
      <c r="R560" s="1">
        <v>45992</v>
      </c>
      <c r="S560" s="1">
        <v>46022</v>
      </c>
      <c r="V560" s="8">
        <v>1</v>
      </c>
      <c r="W560" t="s">
        <v>24</v>
      </c>
      <c r="X560" t="s">
        <v>225</v>
      </c>
      <c r="Y560" t="s">
        <v>10</v>
      </c>
      <c r="Z560" t="s">
        <v>11</v>
      </c>
      <c r="AA560">
        <v>62371</v>
      </c>
      <c r="AB560">
        <v>17160281</v>
      </c>
      <c r="AC560">
        <v>0</v>
      </c>
      <c r="AD560" s="8"/>
    </row>
    <row r="561" spans="1:30" x14ac:dyDescent="0.3">
      <c r="A561" t="s">
        <v>1627</v>
      </c>
      <c r="B561">
        <v>1418374</v>
      </c>
      <c r="D561" t="s">
        <v>7</v>
      </c>
      <c r="E561">
        <v>946609</v>
      </c>
      <c r="F561">
        <v>9015884123</v>
      </c>
      <c r="G561">
        <v>438</v>
      </c>
      <c r="H561" t="s">
        <v>1180</v>
      </c>
      <c r="I561">
        <v>0</v>
      </c>
      <c r="J561" t="s">
        <v>1181</v>
      </c>
      <c r="K561" t="s">
        <v>8</v>
      </c>
      <c r="L561" t="s">
        <v>19</v>
      </c>
      <c r="M561" t="s">
        <v>9</v>
      </c>
      <c r="N561" t="s">
        <v>14</v>
      </c>
      <c r="O561" s="2">
        <v>7340.73</v>
      </c>
      <c r="P561" s="3">
        <v>37.151000000000003</v>
      </c>
      <c r="Q561" s="1">
        <v>46033</v>
      </c>
      <c r="R561" s="1">
        <v>45992</v>
      </c>
      <c r="S561" s="1">
        <v>46022</v>
      </c>
      <c r="V561" s="8">
        <v>1</v>
      </c>
      <c r="W561" t="s">
        <v>24</v>
      </c>
      <c r="X561" t="s">
        <v>1182</v>
      </c>
      <c r="Y561" t="s">
        <v>17</v>
      </c>
      <c r="Z561" t="s">
        <v>11</v>
      </c>
      <c r="AA561">
        <v>62371</v>
      </c>
      <c r="AB561">
        <v>18948795</v>
      </c>
      <c r="AC561">
        <v>0</v>
      </c>
      <c r="AD561" s="8"/>
    </row>
    <row r="562" spans="1:30" x14ac:dyDescent="0.3">
      <c r="A562" t="s">
        <v>1627</v>
      </c>
      <c r="B562">
        <v>1356212</v>
      </c>
      <c r="D562" t="s">
        <v>7</v>
      </c>
      <c r="E562">
        <v>945410</v>
      </c>
      <c r="F562">
        <v>9015884123</v>
      </c>
      <c r="G562">
        <v>115</v>
      </c>
      <c r="H562" t="s">
        <v>1183</v>
      </c>
      <c r="I562">
        <v>0</v>
      </c>
      <c r="J562" t="s">
        <v>1184</v>
      </c>
      <c r="K562" t="s">
        <v>8</v>
      </c>
      <c r="L562" t="s">
        <v>67</v>
      </c>
      <c r="M562" t="s">
        <v>9</v>
      </c>
      <c r="N562" t="s">
        <v>14</v>
      </c>
      <c r="O562" s="2">
        <v>533849.63</v>
      </c>
      <c r="P562" s="3">
        <v>3748.116</v>
      </c>
      <c r="Q562" s="1">
        <v>46033</v>
      </c>
      <c r="R562" s="1">
        <v>45992</v>
      </c>
      <c r="S562" s="1">
        <v>46022</v>
      </c>
      <c r="V562" s="8">
        <v>1</v>
      </c>
      <c r="W562" t="s">
        <v>24</v>
      </c>
      <c r="X562" t="s">
        <v>1185</v>
      </c>
      <c r="Y562" t="s">
        <v>10</v>
      </c>
      <c r="Z562" t="s">
        <v>11</v>
      </c>
      <c r="AA562">
        <v>62371</v>
      </c>
      <c r="AB562">
        <v>17184168</v>
      </c>
      <c r="AC562">
        <v>0</v>
      </c>
      <c r="AD562" s="8"/>
    </row>
    <row r="563" spans="1:30" x14ac:dyDescent="0.3">
      <c r="A563" t="s">
        <v>1627</v>
      </c>
      <c r="B563">
        <v>1356212</v>
      </c>
      <c r="D563" t="s">
        <v>7</v>
      </c>
      <c r="E563">
        <v>945410</v>
      </c>
      <c r="F563">
        <v>9015884123</v>
      </c>
      <c r="G563">
        <v>115</v>
      </c>
      <c r="H563" t="s">
        <v>1183</v>
      </c>
      <c r="I563">
        <v>0</v>
      </c>
      <c r="J563" t="s">
        <v>1184</v>
      </c>
      <c r="K563" t="s">
        <v>8</v>
      </c>
      <c r="L563" t="s">
        <v>18</v>
      </c>
      <c r="M563" t="s">
        <v>9</v>
      </c>
      <c r="N563" t="s">
        <v>14</v>
      </c>
      <c r="O563" s="2">
        <v>0.37</v>
      </c>
      <c r="P563" s="3">
        <v>0</v>
      </c>
      <c r="Q563" s="1">
        <v>46033</v>
      </c>
      <c r="R563" s="1">
        <v>45992</v>
      </c>
      <c r="S563" s="1">
        <v>46022</v>
      </c>
      <c r="V563" s="8">
        <v>1</v>
      </c>
      <c r="W563" t="s">
        <v>24</v>
      </c>
      <c r="X563" t="s">
        <v>1185</v>
      </c>
      <c r="Y563" t="s">
        <v>10</v>
      </c>
      <c r="Z563" t="s">
        <v>11</v>
      </c>
      <c r="AA563">
        <v>62371</v>
      </c>
      <c r="AB563">
        <v>17184168</v>
      </c>
      <c r="AC563">
        <v>0</v>
      </c>
      <c r="AD563" s="8"/>
    </row>
    <row r="564" spans="1:30" x14ac:dyDescent="0.3">
      <c r="A564" t="s">
        <v>1627</v>
      </c>
      <c r="B564">
        <v>1356229</v>
      </c>
      <c r="D564" t="s">
        <v>7</v>
      </c>
      <c r="E564">
        <v>945419</v>
      </c>
      <c r="F564">
        <v>9015884123</v>
      </c>
      <c r="G564">
        <v>118</v>
      </c>
      <c r="H564" t="s">
        <v>805</v>
      </c>
      <c r="I564">
        <v>0</v>
      </c>
      <c r="J564" t="s">
        <v>806</v>
      </c>
      <c r="K564" t="s">
        <v>8</v>
      </c>
      <c r="L564" t="s">
        <v>67</v>
      </c>
      <c r="M564" t="s">
        <v>9</v>
      </c>
      <c r="N564" t="s">
        <v>14</v>
      </c>
      <c r="O564" s="2">
        <v>412787.08</v>
      </c>
      <c r="P564" s="3">
        <v>3822.2530000000002</v>
      </c>
      <c r="Q564" s="1">
        <v>46033</v>
      </c>
      <c r="R564" s="1">
        <v>45992</v>
      </c>
      <c r="S564" s="1">
        <v>46022</v>
      </c>
      <c r="V564" s="8">
        <v>1</v>
      </c>
      <c r="W564" t="s">
        <v>24</v>
      </c>
      <c r="X564" t="s">
        <v>807</v>
      </c>
      <c r="Y564" t="s">
        <v>10</v>
      </c>
      <c r="Z564" t="s">
        <v>11</v>
      </c>
      <c r="AA564">
        <v>62371</v>
      </c>
      <c r="AB564">
        <v>18533571</v>
      </c>
      <c r="AC564">
        <v>1</v>
      </c>
      <c r="AD564" s="8"/>
    </row>
    <row r="565" spans="1:30" x14ac:dyDescent="0.3">
      <c r="A565" t="s">
        <v>1627</v>
      </c>
      <c r="B565">
        <v>1356229</v>
      </c>
      <c r="D565" t="s">
        <v>7</v>
      </c>
      <c r="E565">
        <v>945419</v>
      </c>
      <c r="F565">
        <v>9015884123</v>
      </c>
      <c r="G565">
        <v>118</v>
      </c>
      <c r="H565" t="s">
        <v>805</v>
      </c>
      <c r="I565">
        <v>0</v>
      </c>
      <c r="J565" t="s">
        <v>806</v>
      </c>
      <c r="K565" t="s">
        <v>8</v>
      </c>
      <c r="L565" t="s">
        <v>18</v>
      </c>
      <c r="M565" t="s">
        <v>9</v>
      </c>
      <c r="N565" t="s">
        <v>14</v>
      </c>
      <c r="O565" s="2">
        <v>2.4900000000000002</v>
      </c>
      <c r="P565" s="3">
        <v>0</v>
      </c>
      <c r="Q565" s="1">
        <v>46033</v>
      </c>
      <c r="R565" s="1">
        <v>45992</v>
      </c>
      <c r="S565" s="1">
        <v>46022</v>
      </c>
      <c r="V565" s="8">
        <v>1</v>
      </c>
      <c r="W565" t="s">
        <v>24</v>
      </c>
      <c r="X565" t="s">
        <v>807</v>
      </c>
      <c r="Y565" t="s">
        <v>10</v>
      </c>
      <c r="Z565" t="s">
        <v>11</v>
      </c>
      <c r="AA565">
        <v>62371</v>
      </c>
      <c r="AB565">
        <v>18533571</v>
      </c>
      <c r="AC565">
        <v>1</v>
      </c>
      <c r="AD565" s="8"/>
    </row>
    <row r="566" spans="1:30" x14ac:dyDescent="0.3">
      <c r="A566" t="s">
        <v>1627</v>
      </c>
      <c r="B566">
        <v>1356241</v>
      </c>
      <c r="D566" t="s">
        <v>7</v>
      </c>
      <c r="E566">
        <v>945430</v>
      </c>
      <c r="F566">
        <v>9015884123</v>
      </c>
      <c r="G566">
        <v>121</v>
      </c>
      <c r="H566" t="s">
        <v>808</v>
      </c>
      <c r="I566">
        <v>0</v>
      </c>
      <c r="J566" t="s">
        <v>809</v>
      </c>
      <c r="K566" t="s">
        <v>8</v>
      </c>
      <c r="L566" t="s">
        <v>15</v>
      </c>
      <c r="M566" t="s">
        <v>9</v>
      </c>
      <c r="N566" t="s">
        <v>14</v>
      </c>
      <c r="O566" s="2">
        <v>0</v>
      </c>
      <c r="P566" s="3">
        <v>3086.1570000000002</v>
      </c>
      <c r="Q566" s="1">
        <v>46033</v>
      </c>
      <c r="R566" s="1">
        <v>45992</v>
      </c>
      <c r="S566" s="1">
        <v>46022</v>
      </c>
      <c r="V566" s="8">
        <v>1</v>
      </c>
      <c r="W566" t="s">
        <v>24</v>
      </c>
      <c r="X566" t="s">
        <v>810</v>
      </c>
      <c r="Y566" t="s">
        <v>10</v>
      </c>
      <c r="Z566" t="s">
        <v>11</v>
      </c>
      <c r="AA566">
        <v>62371</v>
      </c>
      <c r="AB566">
        <v>21250581</v>
      </c>
      <c r="AC566">
        <v>1</v>
      </c>
      <c r="AD566" s="8"/>
    </row>
    <row r="567" spans="1:30" x14ac:dyDescent="0.3">
      <c r="A567" t="s">
        <v>1627</v>
      </c>
      <c r="B567">
        <v>1403983</v>
      </c>
      <c r="D567" t="s">
        <v>7</v>
      </c>
      <c r="E567">
        <v>946242</v>
      </c>
      <c r="F567">
        <v>9015884123</v>
      </c>
      <c r="G567">
        <v>299</v>
      </c>
      <c r="H567" t="s">
        <v>1186</v>
      </c>
      <c r="I567">
        <v>0</v>
      </c>
      <c r="J567" t="s">
        <v>1187</v>
      </c>
      <c r="K567" t="s">
        <v>8</v>
      </c>
      <c r="L567" t="s">
        <v>18</v>
      </c>
      <c r="M567" t="s">
        <v>9</v>
      </c>
      <c r="N567" t="s">
        <v>14</v>
      </c>
      <c r="O567" s="2">
        <v>1.03</v>
      </c>
      <c r="P567" s="3">
        <v>0</v>
      </c>
      <c r="Q567" s="1">
        <v>46033</v>
      </c>
      <c r="R567" s="1">
        <v>45992</v>
      </c>
      <c r="S567" s="1">
        <v>46022</v>
      </c>
      <c r="V567" s="8">
        <v>1</v>
      </c>
      <c r="W567" t="s">
        <v>24</v>
      </c>
      <c r="X567" t="s">
        <v>1188</v>
      </c>
      <c r="Y567" t="s">
        <v>17</v>
      </c>
      <c r="Z567" t="s">
        <v>11</v>
      </c>
      <c r="AA567">
        <v>62371</v>
      </c>
      <c r="AB567">
        <v>19821470</v>
      </c>
      <c r="AC567">
        <v>1</v>
      </c>
      <c r="AD567" s="8"/>
    </row>
    <row r="568" spans="1:30" x14ac:dyDescent="0.3">
      <c r="A568" t="s">
        <v>1627</v>
      </c>
      <c r="B568">
        <v>1407563</v>
      </c>
      <c r="D568" t="s">
        <v>7</v>
      </c>
      <c r="E568">
        <v>946309</v>
      </c>
      <c r="F568">
        <v>9015884123</v>
      </c>
      <c r="G568">
        <v>326</v>
      </c>
      <c r="H568" t="s">
        <v>250</v>
      </c>
      <c r="I568">
        <v>0</v>
      </c>
      <c r="J568" t="s">
        <v>251</v>
      </c>
      <c r="K568" t="s">
        <v>8</v>
      </c>
      <c r="L568" t="s">
        <v>18</v>
      </c>
      <c r="M568" t="s">
        <v>9</v>
      </c>
      <c r="N568" t="s">
        <v>14</v>
      </c>
      <c r="O568" s="2">
        <v>-3.85</v>
      </c>
      <c r="P568" s="3">
        <v>0</v>
      </c>
      <c r="Q568" s="1">
        <v>46033</v>
      </c>
      <c r="R568" s="1">
        <v>45992</v>
      </c>
      <c r="S568" s="1">
        <v>46022</v>
      </c>
      <c r="V568" s="8">
        <v>1</v>
      </c>
      <c r="W568" t="s">
        <v>24</v>
      </c>
      <c r="X568" t="s">
        <v>252</v>
      </c>
      <c r="Y568" t="s">
        <v>17</v>
      </c>
      <c r="Z568" t="s">
        <v>11</v>
      </c>
      <c r="AA568">
        <v>62371</v>
      </c>
      <c r="AB568">
        <v>19447166</v>
      </c>
      <c r="AC568">
        <v>0</v>
      </c>
      <c r="AD568" s="8"/>
    </row>
    <row r="569" spans="1:30" x14ac:dyDescent="0.3">
      <c r="A569" t="s">
        <v>1627</v>
      </c>
      <c r="B569">
        <v>1408935</v>
      </c>
      <c r="D569" t="s">
        <v>7</v>
      </c>
      <c r="E569">
        <v>946335</v>
      </c>
      <c r="F569">
        <v>9015884123</v>
      </c>
      <c r="G569">
        <v>342</v>
      </c>
      <c r="H569" t="s">
        <v>1189</v>
      </c>
      <c r="I569">
        <v>0</v>
      </c>
      <c r="J569" t="s">
        <v>1190</v>
      </c>
      <c r="K569" t="s">
        <v>8</v>
      </c>
      <c r="L569" t="s">
        <v>67</v>
      </c>
      <c r="M569" t="s">
        <v>9</v>
      </c>
      <c r="N569" t="s">
        <v>14</v>
      </c>
      <c r="O569" s="2">
        <v>137716.94</v>
      </c>
      <c r="P569" s="3">
        <v>1275.2070000000001</v>
      </c>
      <c r="Q569" s="1">
        <v>46033</v>
      </c>
      <c r="R569" s="1">
        <v>45992</v>
      </c>
      <c r="S569" s="1">
        <v>46022</v>
      </c>
      <c r="V569" s="8">
        <v>1</v>
      </c>
      <c r="W569" t="s">
        <v>24</v>
      </c>
      <c r="X569" t="s">
        <v>1191</v>
      </c>
      <c r="Y569" t="s">
        <v>17</v>
      </c>
      <c r="Z569" t="s">
        <v>11</v>
      </c>
      <c r="AA569">
        <v>62371</v>
      </c>
      <c r="AB569">
        <v>18466873</v>
      </c>
      <c r="AC569">
        <v>1</v>
      </c>
      <c r="AD569" s="8"/>
    </row>
    <row r="570" spans="1:30" x14ac:dyDescent="0.3">
      <c r="A570" t="s">
        <v>1627</v>
      </c>
      <c r="B570">
        <v>1408945</v>
      </c>
      <c r="D570" t="s">
        <v>7</v>
      </c>
      <c r="E570">
        <v>946350</v>
      </c>
      <c r="F570">
        <v>9015884123</v>
      </c>
      <c r="G570">
        <v>348</v>
      </c>
      <c r="H570" t="s">
        <v>814</v>
      </c>
      <c r="I570">
        <v>0</v>
      </c>
      <c r="J570" t="s">
        <v>815</v>
      </c>
      <c r="K570" t="s">
        <v>8</v>
      </c>
      <c r="L570" t="s">
        <v>67</v>
      </c>
      <c r="M570" t="s">
        <v>9</v>
      </c>
      <c r="N570" t="s">
        <v>14</v>
      </c>
      <c r="O570" s="2">
        <v>111307.34</v>
      </c>
      <c r="P570" s="3">
        <v>781.48</v>
      </c>
      <c r="Q570" s="1">
        <v>46033</v>
      </c>
      <c r="R570" s="1">
        <v>45992</v>
      </c>
      <c r="S570" s="1">
        <v>46022</v>
      </c>
      <c r="V570" s="8">
        <v>1</v>
      </c>
      <c r="W570" t="s">
        <v>24</v>
      </c>
      <c r="X570" t="s">
        <v>816</v>
      </c>
      <c r="Y570" t="s">
        <v>21</v>
      </c>
      <c r="Z570" t="s">
        <v>11</v>
      </c>
      <c r="AA570">
        <v>62371</v>
      </c>
      <c r="AB570">
        <v>17678354</v>
      </c>
      <c r="AC570">
        <v>0</v>
      </c>
      <c r="AD570" s="8"/>
    </row>
    <row r="571" spans="1:30" x14ac:dyDescent="0.3">
      <c r="A571" t="s">
        <v>1627</v>
      </c>
      <c r="B571">
        <v>1411964</v>
      </c>
      <c r="D571" t="s">
        <v>7</v>
      </c>
      <c r="E571">
        <v>946380</v>
      </c>
      <c r="F571">
        <v>9015884123</v>
      </c>
      <c r="G571">
        <v>364</v>
      </c>
      <c r="H571" t="s">
        <v>244</v>
      </c>
      <c r="I571">
        <v>0</v>
      </c>
      <c r="J571" t="s">
        <v>245</v>
      </c>
      <c r="K571" t="s">
        <v>8</v>
      </c>
      <c r="L571" t="s">
        <v>67</v>
      </c>
      <c r="M571" t="s">
        <v>9</v>
      </c>
      <c r="N571" t="s">
        <v>14</v>
      </c>
      <c r="O571" s="2">
        <v>230630.32</v>
      </c>
      <c r="P571" s="3">
        <v>2135.5500000000002</v>
      </c>
      <c r="Q571" s="1">
        <v>46033</v>
      </c>
      <c r="R571" s="1">
        <v>45992</v>
      </c>
      <c r="S571" s="1">
        <v>46022</v>
      </c>
      <c r="V571" s="8">
        <v>1</v>
      </c>
      <c r="W571" t="s">
        <v>24</v>
      </c>
      <c r="X571" t="s">
        <v>246</v>
      </c>
      <c r="Y571" t="s">
        <v>17</v>
      </c>
      <c r="Z571" t="s">
        <v>11</v>
      </c>
      <c r="AA571">
        <v>62371</v>
      </c>
      <c r="AB571">
        <v>19862171</v>
      </c>
      <c r="AC571">
        <v>1</v>
      </c>
      <c r="AD571" s="8"/>
    </row>
    <row r="572" spans="1:30" x14ac:dyDescent="0.3">
      <c r="A572" t="s">
        <v>1627</v>
      </c>
      <c r="B572">
        <v>1412841</v>
      </c>
      <c r="D572" t="s">
        <v>7</v>
      </c>
      <c r="E572">
        <v>946418</v>
      </c>
      <c r="F572">
        <v>9015884123</v>
      </c>
      <c r="G572">
        <v>379</v>
      </c>
      <c r="H572" t="s">
        <v>265</v>
      </c>
      <c r="I572">
        <v>0</v>
      </c>
      <c r="J572" t="s">
        <v>266</v>
      </c>
      <c r="K572" t="s">
        <v>8</v>
      </c>
      <c r="L572" t="s">
        <v>19</v>
      </c>
      <c r="M572" t="s">
        <v>9</v>
      </c>
      <c r="N572" t="s">
        <v>14</v>
      </c>
      <c r="O572" s="2">
        <v>88439.06</v>
      </c>
      <c r="P572" s="3">
        <v>542.05200000000002</v>
      </c>
      <c r="Q572" s="1">
        <v>46033</v>
      </c>
      <c r="R572" s="1">
        <v>45992</v>
      </c>
      <c r="S572" s="1">
        <v>46022</v>
      </c>
      <c r="V572" s="8">
        <v>1</v>
      </c>
      <c r="W572" t="s">
        <v>24</v>
      </c>
      <c r="X572" t="s">
        <v>267</v>
      </c>
      <c r="Y572" t="s">
        <v>17</v>
      </c>
      <c r="Z572" t="s">
        <v>11</v>
      </c>
      <c r="AA572">
        <v>62371</v>
      </c>
      <c r="AB572">
        <v>19748260</v>
      </c>
      <c r="AC572">
        <v>1</v>
      </c>
      <c r="AD572" s="8"/>
    </row>
    <row r="573" spans="1:30" x14ac:dyDescent="0.3">
      <c r="A573" t="s">
        <v>1627</v>
      </c>
      <c r="B573">
        <v>1415365</v>
      </c>
      <c r="D573" t="s">
        <v>7</v>
      </c>
      <c r="E573">
        <v>946449</v>
      </c>
      <c r="F573">
        <v>9015884123</v>
      </c>
      <c r="G573">
        <v>389</v>
      </c>
      <c r="H573" t="s">
        <v>268</v>
      </c>
      <c r="I573">
        <v>0</v>
      </c>
      <c r="J573" t="s">
        <v>269</v>
      </c>
      <c r="K573" t="s">
        <v>8</v>
      </c>
      <c r="L573" t="s">
        <v>67</v>
      </c>
      <c r="M573" t="s">
        <v>9</v>
      </c>
      <c r="N573" t="s">
        <v>14</v>
      </c>
      <c r="O573" s="2">
        <v>437267.66</v>
      </c>
      <c r="P573" s="3">
        <v>4048.9340000000002</v>
      </c>
      <c r="Q573" s="1">
        <v>46033</v>
      </c>
      <c r="R573" s="1">
        <v>45992</v>
      </c>
      <c r="S573" s="1">
        <v>46022</v>
      </c>
      <c r="V573" s="8">
        <v>1</v>
      </c>
      <c r="W573" t="s">
        <v>24</v>
      </c>
      <c r="X573" t="s">
        <v>270</v>
      </c>
      <c r="Y573" t="s">
        <v>17</v>
      </c>
      <c r="Z573" t="s">
        <v>11</v>
      </c>
      <c r="AA573">
        <v>62371</v>
      </c>
      <c r="AB573">
        <v>19821473</v>
      </c>
      <c r="AC573">
        <v>1</v>
      </c>
      <c r="AD573" s="8"/>
    </row>
    <row r="574" spans="1:30" x14ac:dyDescent="0.3">
      <c r="A574" t="s">
        <v>1627</v>
      </c>
      <c r="B574">
        <v>1415367</v>
      </c>
      <c r="D574" t="s">
        <v>7</v>
      </c>
      <c r="E574">
        <v>946532</v>
      </c>
      <c r="F574">
        <v>9015884123</v>
      </c>
      <c r="G574">
        <v>415</v>
      </c>
      <c r="H574" t="s">
        <v>253</v>
      </c>
      <c r="I574">
        <v>0</v>
      </c>
      <c r="J574" t="s">
        <v>254</v>
      </c>
      <c r="K574" t="s">
        <v>8</v>
      </c>
      <c r="L574" t="s">
        <v>18</v>
      </c>
      <c r="M574" t="s">
        <v>9</v>
      </c>
      <c r="N574" t="s">
        <v>14</v>
      </c>
      <c r="O574" s="2">
        <v>3.58</v>
      </c>
      <c r="P574" s="3">
        <v>0</v>
      </c>
      <c r="Q574" s="1">
        <v>46033</v>
      </c>
      <c r="R574" s="1">
        <v>45992</v>
      </c>
      <c r="S574" s="1">
        <v>46022</v>
      </c>
      <c r="V574" s="8">
        <v>1</v>
      </c>
      <c r="W574" t="s">
        <v>24</v>
      </c>
      <c r="X574" t="s">
        <v>255</v>
      </c>
      <c r="Y574" t="s">
        <v>17</v>
      </c>
      <c r="Z574" t="s">
        <v>11</v>
      </c>
      <c r="AA574">
        <v>62371</v>
      </c>
      <c r="AB574">
        <v>18360148</v>
      </c>
      <c r="AC574">
        <v>1</v>
      </c>
      <c r="AD574" s="8"/>
    </row>
    <row r="575" spans="1:30" x14ac:dyDescent="0.3">
      <c r="A575" t="s">
        <v>1627</v>
      </c>
      <c r="B575">
        <v>1417714</v>
      </c>
      <c r="D575" t="s">
        <v>7</v>
      </c>
      <c r="E575">
        <v>946591</v>
      </c>
      <c r="F575">
        <v>9015884123</v>
      </c>
      <c r="G575">
        <v>432</v>
      </c>
      <c r="H575" t="s">
        <v>823</v>
      </c>
      <c r="I575">
        <v>0</v>
      </c>
      <c r="J575" t="s">
        <v>824</v>
      </c>
      <c r="K575" t="s">
        <v>8</v>
      </c>
      <c r="L575" t="s">
        <v>18</v>
      </c>
      <c r="M575" t="s">
        <v>9</v>
      </c>
      <c r="N575" t="s">
        <v>14</v>
      </c>
      <c r="O575" s="2">
        <v>-1.45</v>
      </c>
      <c r="P575" s="3">
        <v>0</v>
      </c>
      <c r="Q575" s="1">
        <v>46033</v>
      </c>
      <c r="R575" s="1">
        <v>45992</v>
      </c>
      <c r="S575" s="1">
        <v>46022</v>
      </c>
      <c r="V575" s="8">
        <v>1</v>
      </c>
      <c r="W575" t="s">
        <v>24</v>
      </c>
      <c r="X575" t="s">
        <v>825</v>
      </c>
      <c r="Y575" t="s">
        <v>17</v>
      </c>
      <c r="Z575" t="s">
        <v>11</v>
      </c>
      <c r="AA575">
        <v>62371</v>
      </c>
      <c r="AB575">
        <v>17752477</v>
      </c>
      <c r="AC575">
        <v>0</v>
      </c>
      <c r="AD575" s="8"/>
    </row>
    <row r="576" spans="1:30" x14ac:dyDescent="0.3">
      <c r="A576" t="s">
        <v>1627</v>
      </c>
      <c r="B576">
        <v>1448586</v>
      </c>
      <c r="D576" t="s">
        <v>7</v>
      </c>
      <c r="E576">
        <v>949190</v>
      </c>
      <c r="F576">
        <v>9015884123</v>
      </c>
      <c r="G576">
        <v>536</v>
      </c>
      <c r="H576" t="s">
        <v>1192</v>
      </c>
      <c r="I576">
        <v>0</v>
      </c>
      <c r="J576" t="s">
        <v>1193</v>
      </c>
      <c r="K576" t="s">
        <v>8</v>
      </c>
      <c r="L576" t="s">
        <v>67</v>
      </c>
      <c r="M576" t="s">
        <v>9</v>
      </c>
      <c r="N576" t="s">
        <v>14</v>
      </c>
      <c r="O576" s="2">
        <v>2606390.9300000002</v>
      </c>
      <c r="P576" s="3">
        <v>31721.773000000001</v>
      </c>
      <c r="Q576" s="1">
        <v>46035</v>
      </c>
      <c r="R576" s="1">
        <v>45995</v>
      </c>
      <c r="S576" s="1">
        <v>46022</v>
      </c>
      <c r="V576" s="8">
        <v>2</v>
      </c>
      <c r="W576" t="s">
        <v>24</v>
      </c>
      <c r="X576" t="s">
        <v>1194</v>
      </c>
      <c r="Y576" t="s">
        <v>17</v>
      </c>
      <c r="Z576" t="s">
        <v>11</v>
      </c>
      <c r="AA576">
        <v>62371</v>
      </c>
      <c r="AB576">
        <v>21418922</v>
      </c>
      <c r="AC576">
        <v>1</v>
      </c>
      <c r="AD576" s="8"/>
    </row>
    <row r="577" spans="1:30" x14ac:dyDescent="0.3">
      <c r="A577" t="s">
        <v>1627</v>
      </c>
      <c r="B577">
        <v>1448586</v>
      </c>
      <c r="D577" t="s">
        <v>7</v>
      </c>
      <c r="E577">
        <v>949190</v>
      </c>
      <c r="F577">
        <v>9015884123</v>
      </c>
      <c r="G577">
        <v>536</v>
      </c>
      <c r="H577" t="s">
        <v>1192</v>
      </c>
      <c r="I577">
        <v>0</v>
      </c>
      <c r="J577" t="s">
        <v>1193</v>
      </c>
      <c r="K577" t="s">
        <v>8</v>
      </c>
      <c r="L577" t="s">
        <v>19</v>
      </c>
      <c r="M577" t="s">
        <v>9</v>
      </c>
      <c r="N577" t="s">
        <v>14</v>
      </c>
      <c r="O577" s="2">
        <v>27965.79</v>
      </c>
      <c r="P577" s="3">
        <v>219.72200000000001</v>
      </c>
      <c r="Q577" s="1">
        <v>46035</v>
      </c>
      <c r="R577" s="1">
        <v>45995</v>
      </c>
      <c r="S577" s="1">
        <v>46022</v>
      </c>
      <c r="V577" s="8">
        <v>2</v>
      </c>
      <c r="W577" t="s">
        <v>24</v>
      </c>
      <c r="X577" t="s">
        <v>1194</v>
      </c>
      <c r="Y577" t="s">
        <v>17</v>
      </c>
      <c r="Z577" t="s">
        <v>11</v>
      </c>
      <c r="AA577">
        <v>62371</v>
      </c>
      <c r="AB577">
        <v>21418922</v>
      </c>
      <c r="AC577">
        <v>1</v>
      </c>
      <c r="AD577" s="8"/>
    </row>
    <row r="578" spans="1:30" x14ac:dyDescent="0.3">
      <c r="A578" t="s">
        <v>1627</v>
      </c>
      <c r="B578">
        <v>1303924</v>
      </c>
      <c r="D578" t="s">
        <v>7</v>
      </c>
      <c r="E578">
        <v>945165</v>
      </c>
      <c r="F578">
        <v>9015884123</v>
      </c>
      <c r="G578">
        <v>34</v>
      </c>
      <c r="H578" t="s">
        <v>1195</v>
      </c>
      <c r="I578">
        <v>0</v>
      </c>
      <c r="J578" t="s">
        <v>1196</v>
      </c>
      <c r="K578" t="s">
        <v>8</v>
      </c>
      <c r="L578" t="s">
        <v>15</v>
      </c>
      <c r="M578" t="s">
        <v>9</v>
      </c>
      <c r="N578" t="s">
        <v>14</v>
      </c>
      <c r="O578" s="2">
        <v>0</v>
      </c>
      <c r="P578" s="3">
        <v>5145.4210000000003</v>
      </c>
      <c r="Q578" s="1">
        <v>46033</v>
      </c>
      <c r="R578" s="1">
        <v>45992</v>
      </c>
      <c r="S578" s="1">
        <v>46022</v>
      </c>
      <c r="V578" s="8">
        <v>1</v>
      </c>
      <c r="W578" t="s">
        <v>24</v>
      </c>
      <c r="X578" t="s">
        <v>1197</v>
      </c>
      <c r="Y578" t="s">
        <v>17</v>
      </c>
      <c r="Z578" t="s">
        <v>11</v>
      </c>
      <c r="AA578">
        <v>62371</v>
      </c>
      <c r="AB578">
        <v>18686952</v>
      </c>
      <c r="AC578">
        <v>1</v>
      </c>
      <c r="AD578" s="8"/>
    </row>
    <row r="579" spans="1:30" x14ac:dyDescent="0.3">
      <c r="A579" t="s">
        <v>1627</v>
      </c>
      <c r="B579">
        <v>1415695</v>
      </c>
      <c r="D579" t="s">
        <v>7</v>
      </c>
      <c r="E579">
        <v>946536</v>
      </c>
      <c r="F579">
        <v>9015884123</v>
      </c>
      <c r="G579">
        <v>416</v>
      </c>
      <c r="H579" t="s">
        <v>1198</v>
      </c>
      <c r="I579">
        <v>0</v>
      </c>
      <c r="J579" t="s">
        <v>1199</v>
      </c>
      <c r="K579" t="s">
        <v>8</v>
      </c>
      <c r="L579" t="s">
        <v>15</v>
      </c>
      <c r="M579" t="s">
        <v>9</v>
      </c>
      <c r="N579" t="s">
        <v>14</v>
      </c>
      <c r="O579" s="2">
        <v>0</v>
      </c>
      <c r="P579" s="3">
        <v>1042.925</v>
      </c>
      <c r="Q579" s="1">
        <v>46033</v>
      </c>
      <c r="R579" s="1">
        <v>45992</v>
      </c>
      <c r="S579" s="1">
        <v>46022</v>
      </c>
      <c r="V579" s="8">
        <v>1</v>
      </c>
      <c r="W579" t="s">
        <v>24</v>
      </c>
      <c r="X579" t="s">
        <v>1200</v>
      </c>
      <c r="Y579" t="s">
        <v>1201</v>
      </c>
      <c r="Z579" t="s">
        <v>11</v>
      </c>
      <c r="AA579">
        <v>62371</v>
      </c>
      <c r="AB579">
        <v>18508884</v>
      </c>
      <c r="AC579">
        <v>0</v>
      </c>
      <c r="AD579" s="8"/>
    </row>
    <row r="580" spans="1:30" x14ac:dyDescent="0.3">
      <c r="A580" t="s">
        <v>1627</v>
      </c>
      <c r="B580">
        <v>1418637</v>
      </c>
      <c r="D580" t="s">
        <v>7</v>
      </c>
      <c r="E580">
        <v>946648</v>
      </c>
      <c r="F580">
        <v>9015884123</v>
      </c>
      <c r="G580">
        <v>451</v>
      </c>
      <c r="H580" t="s">
        <v>301</v>
      </c>
      <c r="I580">
        <v>0</v>
      </c>
      <c r="J580" t="s">
        <v>302</v>
      </c>
      <c r="K580" t="s">
        <v>8</v>
      </c>
      <c r="L580" t="s">
        <v>18</v>
      </c>
      <c r="M580" t="s">
        <v>9</v>
      </c>
      <c r="N580" t="s">
        <v>14</v>
      </c>
      <c r="O580" s="2">
        <v>-0.18</v>
      </c>
      <c r="P580" s="3">
        <v>0</v>
      </c>
      <c r="Q580" s="1">
        <v>46033</v>
      </c>
      <c r="R580" s="1">
        <v>45992</v>
      </c>
      <c r="S580" s="1">
        <v>46022</v>
      </c>
      <c r="V580" s="8">
        <v>1</v>
      </c>
      <c r="W580" t="s">
        <v>24</v>
      </c>
      <c r="X580" t="s">
        <v>303</v>
      </c>
      <c r="Y580" t="s">
        <v>300</v>
      </c>
      <c r="Z580" t="s">
        <v>11</v>
      </c>
      <c r="AA580">
        <v>62371</v>
      </c>
      <c r="AB580">
        <v>17955985</v>
      </c>
      <c r="AC580">
        <v>0</v>
      </c>
      <c r="AD580" s="8"/>
    </row>
    <row r="581" spans="1:30" x14ac:dyDescent="0.3">
      <c r="A581" t="s">
        <v>1627</v>
      </c>
      <c r="B581">
        <v>1364859</v>
      </c>
      <c r="D581" t="s">
        <v>7</v>
      </c>
      <c r="E581">
        <v>945933</v>
      </c>
      <c r="F581">
        <v>9015884123</v>
      </c>
      <c r="G581">
        <v>184</v>
      </c>
      <c r="H581" t="s">
        <v>317</v>
      </c>
      <c r="I581">
        <v>0</v>
      </c>
      <c r="J581" t="s">
        <v>318</v>
      </c>
      <c r="K581" t="s">
        <v>8</v>
      </c>
      <c r="L581" t="s">
        <v>15</v>
      </c>
      <c r="M581" t="s">
        <v>9</v>
      </c>
      <c r="N581" t="s">
        <v>14</v>
      </c>
      <c r="O581" s="2">
        <v>0</v>
      </c>
      <c r="P581" s="3">
        <v>3605.1559999999999</v>
      </c>
      <c r="Q581" s="1">
        <v>46033</v>
      </c>
      <c r="R581" s="1">
        <v>45992</v>
      </c>
      <c r="S581" s="1">
        <v>46022</v>
      </c>
      <c r="V581" s="8">
        <v>1</v>
      </c>
      <c r="W581" t="s">
        <v>24</v>
      </c>
      <c r="X581" t="s">
        <v>319</v>
      </c>
      <c r="Y581" t="s">
        <v>10</v>
      </c>
      <c r="Z581" t="s">
        <v>11</v>
      </c>
      <c r="AA581">
        <v>62371</v>
      </c>
      <c r="AB581">
        <v>19649447</v>
      </c>
      <c r="AC581">
        <v>1</v>
      </c>
      <c r="AD581" s="8"/>
    </row>
    <row r="582" spans="1:30" x14ac:dyDescent="0.3">
      <c r="A582" t="s">
        <v>1627</v>
      </c>
      <c r="B582">
        <v>1320924</v>
      </c>
      <c r="D582" t="s">
        <v>7</v>
      </c>
      <c r="E582">
        <v>945188</v>
      </c>
      <c r="F582">
        <v>9015884123</v>
      </c>
      <c r="G582">
        <v>46</v>
      </c>
      <c r="H582" t="s">
        <v>868</v>
      </c>
      <c r="I582">
        <v>0</v>
      </c>
      <c r="J582" t="s">
        <v>869</v>
      </c>
      <c r="K582" t="s">
        <v>8</v>
      </c>
      <c r="L582" t="s">
        <v>18</v>
      </c>
      <c r="M582" t="s">
        <v>9</v>
      </c>
      <c r="N582" t="s">
        <v>14</v>
      </c>
      <c r="O582" s="2">
        <v>4.87</v>
      </c>
      <c r="P582" s="3">
        <v>0</v>
      </c>
      <c r="Q582" s="1">
        <v>46033</v>
      </c>
      <c r="R582" s="1">
        <v>45992</v>
      </c>
      <c r="S582" s="1">
        <v>46022</v>
      </c>
      <c r="V582" s="8">
        <v>1</v>
      </c>
      <c r="W582" t="s">
        <v>24</v>
      </c>
      <c r="X582" t="s">
        <v>870</v>
      </c>
      <c r="Y582" t="s">
        <v>39</v>
      </c>
      <c r="Z582" t="s">
        <v>11</v>
      </c>
      <c r="AA582">
        <v>62371</v>
      </c>
      <c r="AB582">
        <v>17913520</v>
      </c>
      <c r="AC582">
        <v>0</v>
      </c>
      <c r="AD582" s="8"/>
    </row>
    <row r="583" spans="1:30" x14ac:dyDescent="0.3">
      <c r="A583" t="s">
        <v>1627</v>
      </c>
      <c r="B583">
        <v>1377666</v>
      </c>
      <c r="D583" t="s">
        <v>7</v>
      </c>
      <c r="E583">
        <v>945950</v>
      </c>
      <c r="F583">
        <v>9015884123</v>
      </c>
      <c r="G583">
        <v>193</v>
      </c>
      <c r="H583" t="s">
        <v>871</v>
      </c>
      <c r="I583">
        <v>0</v>
      </c>
      <c r="J583" t="s">
        <v>872</v>
      </c>
      <c r="K583" t="s">
        <v>8</v>
      </c>
      <c r="L583" t="s">
        <v>19</v>
      </c>
      <c r="M583" t="s">
        <v>9</v>
      </c>
      <c r="N583" t="s">
        <v>14</v>
      </c>
      <c r="O583" s="2">
        <v>65020.33</v>
      </c>
      <c r="P583" s="3">
        <v>329.06400000000002</v>
      </c>
      <c r="Q583" s="1">
        <v>46033</v>
      </c>
      <c r="R583" s="1">
        <v>45992</v>
      </c>
      <c r="S583" s="1">
        <v>46022</v>
      </c>
      <c r="V583" s="8">
        <v>1</v>
      </c>
      <c r="W583" t="s">
        <v>24</v>
      </c>
      <c r="X583" t="s">
        <v>873</v>
      </c>
      <c r="Y583" t="s">
        <v>10</v>
      </c>
      <c r="Z583" t="s">
        <v>11</v>
      </c>
      <c r="AA583">
        <v>62371</v>
      </c>
      <c r="AB583">
        <v>19371215</v>
      </c>
      <c r="AC583">
        <v>0</v>
      </c>
      <c r="AD583" s="8"/>
    </row>
    <row r="584" spans="1:30" x14ac:dyDescent="0.3">
      <c r="A584" t="s">
        <v>1627</v>
      </c>
      <c r="B584">
        <v>1340403</v>
      </c>
      <c r="D584" t="s">
        <v>7</v>
      </c>
      <c r="E584">
        <v>945238</v>
      </c>
      <c r="F584">
        <v>9015884123</v>
      </c>
      <c r="G584">
        <v>63</v>
      </c>
      <c r="H584" t="s">
        <v>836</v>
      </c>
      <c r="I584">
        <v>0</v>
      </c>
      <c r="J584" t="s">
        <v>837</v>
      </c>
      <c r="K584" t="s">
        <v>8</v>
      </c>
      <c r="L584" t="s">
        <v>67</v>
      </c>
      <c r="M584" t="s">
        <v>9</v>
      </c>
      <c r="N584" t="s">
        <v>14</v>
      </c>
      <c r="O584" s="2">
        <v>297349.17</v>
      </c>
      <c r="P584" s="3">
        <v>2087.665</v>
      </c>
      <c r="Q584" s="1">
        <v>46033</v>
      </c>
      <c r="R584" s="1">
        <v>45992</v>
      </c>
      <c r="S584" s="1">
        <v>46022</v>
      </c>
      <c r="V584" s="8">
        <v>1</v>
      </c>
      <c r="W584" t="s">
        <v>24</v>
      </c>
      <c r="X584" t="s">
        <v>838</v>
      </c>
      <c r="Y584" t="s">
        <v>17</v>
      </c>
      <c r="Z584" t="s">
        <v>11</v>
      </c>
      <c r="AA584">
        <v>62371</v>
      </c>
      <c r="AB584">
        <v>18958210</v>
      </c>
      <c r="AC584">
        <v>0</v>
      </c>
      <c r="AD584" s="8"/>
    </row>
    <row r="585" spans="1:30" x14ac:dyDescent="0.3">
      <c r="A585" t="s">
        <v>1627</v>
      </c>
      <c r="B585">
        <v>1377790</v>
      </c>
      <c r="D585" t="s">
        <v>7</v>
      </c>
      <c r="E585">
        <v>945957</v>
      </c>
      <c r="F585">
        <v>9015884123</v>
      </c>
      <c r="G585">
        <v>196</v>
      </c>
      <c r="H585" t="s">
        <v>1202</v>
      </c>
      <c r="I585">
        <v>0</v>
      </c>
      <c r="J585" t="s">
        <v>1203</v>
      </c>
      <c r="K585" t="s">
        <v>8</v>
      </c>
      <c r="L585" t="s">
        <v>19</v>
      </c>
      <c r="M585" t="s">
        <v>9</v>
      </c>
      <c r="N585" t="s">
        <v>14</v>
      </c>
      <c r="O585" s="2">
        <v>15692.14</v>
      </c>
      <c r="P585" s="3">
        <v>79.417000000000002</v>
      </c>
      <c r="Q585" s="1">
        <v>46033</v>
      </c>
      <c r="R585" s="1">
        <v>45992</v>
      </c>
      <c r="S585" s="1">
        <v>46022</v>
      </c>
      <c r="V585" s="8">
        <v>1</v>
      </c>
      <c r="W585" t="s">
        <v>24</v>
      </c>
      <c r="X585" t="s">
        <v>1204</v>
      </c>
      <c r="Y585" t="s">
        <v>10</v>
      </c>
      <c r="Z585" t="s">
        <v>11</v>
      </c>
      <c r="AA585">
        <v>62371</v>
      </c>
      <c r="AB585">
        <v>17161448</v>
      </c>
      <c r="AC585">
        <v>0</v>
      </c>
      <c r="AD585" s="8"/>
    </row>
    <row r="586" spans="1:30" x14ac:dyDescent="0.3">
      <c r="A586" t="s">
        <v>1627</v>
      </c>
      <c r="B586">
        <v>1363524</v>
      </c>
      <c r="D586" t="s">
        <v>7</v>
      </c>
      <c r="E586">
        <v>945912</v>
      </c>
      <c r="F586">
        <v>9015884123</v>
      </c>
      <c r="G586">
        <v>161</v>
      </c>
      <c r="H586" t="s">
        <v>1205</v>
      </c>
      <c r="I586">
        <v>0</v>
      </c>
      <c r="J586" t="s">
        <v>1206</v>
      </c>
      <c r="K586" t="s">
        <v>8</v>
      </c>
      <c r="L586" t="s">
        <v>19</v>
      </c>
      <c r="M586" t="s">
        <v>9</v>
      </c>
      <c r="N586" t="s">
        <v>14</v>
      </c>
      <c r="O586" s="2">
        <v>259.04000000000002</v>
      </c>
      <c r="P586" s="3">
        <v>1.3109999999999999</v>
      </c>
      <c r="Q586" s="1">
        <v>46033</v>
      </c>
      <c r="R586" s="1">
        <v>45992</v>
      </c>
      <c r="S586" s="1">
        <v>46022</v>
      </c>
      <c r="V586" s="8">
        <v>1</v>
      </c>
      <c r="W586" t="s">
        <v>24</v>
      </c>
      <c r="X586" t="s">
        <v>1207</v>
      </c>
      <c r="Y586" t="s">
        <v>10</v>
      </c>
      <c r="Z586" t="s">
        <v>11</v>
      </c>
      <c r="AA586">
        <v>62371</v>
      </c>
      <c r="AB586">
        <v>19398651</v>
      </c>
      <c r="AC586">
        <v>0</v>
      </c>
      <c r="AD586" s="8"/>
    </row>
    <row r="587" spans="1:30" x14ac:dyDescent="0.3">
      <c r="A587" t="s">
        <v>1627</v>
      </c>
      <c r="B587">
        <v>1363562</v>
      </c>
      <c r="D587" t="s">
        <v>7</v>
      </c>
      <c r="E587">
        <v>945925</v>
      </c>
      <c r="F587">
        <v>9015884123</v>
      </c>
      <c r="G587">
        <v>176</v>
      </c>
      <c r="H587" t="s">
        <v>842</v>
      </c>
      <c r="I587">
        <v>0</v>
      </c>
      <c r="J587" t="s">
        <v>843</v>
      </c>
      <c r="K587" t="s">
        <v>8</v>
      </c>
      <c r="L587" t="s">
        <v>18</v>
      </c>
      <c r="M587" t="s">
        <v>9</v>
      </c>
      <c r="N587" t="s">
        <v>14</v>
      </c>
      <c r="O587" s="2">
        <v>-1.31</v>
      </c>
      <c r="P587" s="3">
        <v>0</v>
      </c>
      <c r="Q587" s="1">
        <v>46033</v>
      </c>
      <c r="R587" s="1">
        <v>45992</v>
      </c>
      <c r="S587" s="1">
        <v>46022</v>
      </c>
      <c r="V587" s="8">
        <v>1</v>
      </c>
      <c r="W587" t="s">
        <v>24</v>
      </c>
      <c r="X587" t="s">
        <v>844</v>
      </c>
      <c r="Y587" t="s">
        <v>10</v>
      </c>
      <c r="Z587" t="s">
        <v>11</v>
      </c>
      <c r="AA587">
        <v>62371</v>
      </c>
      <c r="AB587">
        <v>17682334</v>
      </c>
      <c r="AC587">
        <v>0</v>
      </c>
      <c r="AD587" s="8"/>
    </row>
    <row r="588" spans="1:30" x14ac:dyDescent="0.3">
      <c r="A588" t="s">
        <v>1627</v>
      </c>
      <c r="B588">
        <v>1363557</v>
      </c>
      <c r="D588" t="s">
        <v>7</v>
      </c>
      <c r="E588">
        <v>945926</v>
      </c>
      <c r="F588">
        <v>9015884123</v>
      </c>
      <c r="G588">
        <v>177</v>
      </c>
      <c r="H588" t="s">
        <v>845</v>
      </c>
      <c r="I588">
        <v>0</v>
      </c>
      <c r="J588" t="s">
        <v>846</v>
      </c>
      <c r="K588" t="s">
        <v>8</v>
      </c>
      <c r="L588" t="s">
        <v>15</v>
      </c>
      <c r="M588" t="s">
        <v>9</v>
      </c>
      <c r="N588" t="s">
        <v>14</v>
      </c>
      <c r="O588" s="2">
        <v>0</v>
      </c>
      <c r="P588" s="3">
        <v>3472.7640000000001</v>
      </c>
      <c r="Q588" s="1">
        <v>46033</v>
      </c>
      <c r="R588" s="1">
        <v>45992</v>
      </c>
      <c r="S588" s="1">
        <v>46022</v>
      </c>
      <c r="V588" s="8">
        <v>1</v>
      </c>
      <c r="W588" t="s">
        <v>24</v>
      </c>
      <c r="X588" t="s">
        <v>847</v>
      </c>
      <c r="Y588" t="s">
        <v>10</v>
      </c>
      <c r="Z588" t="s">
        <v>11</v>
      </c>
      <c r="AA588">
        <v>62371</v>
      </c>
      <c r="AB588">
        <v>17682333</v>
      </c>
      <c r="AC588">
        <v>0</v>
      </c>
      <c r="AD588" s="8"/>
    </row>
    <row r="589" spans="1:30" x14ac:dyDescent="0.3">
      <c r="A589" t="s">
        <v>1627</v>
      </c>
      <c r="B589">
        <v>1415695</v>
      </c>
      <c r="D589" t="s">
        <v>7</v>
      </c>
      <c r="E589">
        <v>946536</v>
      </c>
      <c r="F589">
        <v>9015884123</v>
      </c>
      <c r="G589">
        <v>416</v>
      </c>
      <c r="H589" t="s">
        <v>1198</v>
      </c>
      <c r="I589">
        <v>0</v>
      </c>
      <c r="J589" t="s">
        <v>1199</v>
      </c>
      <c r="K589" t="s">
        <v>8</v>
      </c>
      <c r="L589" t="s">
        <v>67</v>
      </c>
      <c r="M589" t="s">
        <v>9</v>
      </c>
      <c r="N589" t="s">
        <v>14</v>
      </c>
      <c r="O589" s="2">
        <v>148545.32999999999</v>
      </c>
      <c r="P589" s="3">
        <v>1042.925</v>
      </c>
      <c r="Q589" s="1">
        <v>46033</v>
      </c>
      <c r="R589" s="1">
        <v>45992</v>
      </c>
      <c r="S589" s="1">
        <v>46022</v>
      </c>
      <c r="V589" s="8">
        <v>1</v>
      </c>
      <c r="W589" t="s">
        <v>24</v>
      </c>
      <c r="X589" t="s">
        <v>1200</v>
      </c>
      <c r="Y589" t="s">
        <v>1201</v>
      </c>
      <c r="Z589" t="s">
        <v>11</v>
      </c>
      <c r="AA589">
        <v>62371</v>
      </c>
      <c r="AB589">
        <v>18508884</v>
      </c>
      <c r="AC589">
        <v>0</v>
      </c>
      <c r="AD589" s="8"/>
    </row>
    <row r="590" spans="1:30" x14ac:dyDescent="0.3">
      <c r="A590" t="s">
        <v>1627</v>
      </c>
      <c r="B590">
        <v>1383092</v>
      </c>
      <c r="D590" t="s">
        <v>7</v>
      </c>
      <c r="E590">
        <v>946016</v>
      </c>
      <c r="F590">
        <v>9015884123</v>
      </c>
      <c r="G590">
        <v>226</v>
      </c>
      <c r="H590" t="s">
        <v>1208</v>
      </c>
      <c r="I590">
        <v>0</v>
      </c>
      <c r="J590" t="s">
        <v>1209</v>
      </c>
      <c r="K590" t="s">
        <v>8</v>
      </c>
      <c r="L590" t="s">
        <v>15</v>
      </c>
      <c r="M590" t="s">
        <v>9</v>
      </c>
      <c r="N590" t="s">
        <v>14</v>
      </c>
      <c r="O590" s="2">
        <v>0</v>
      </c>
      <c r="P590" s="3">
        <v>10321.957</v>
      </c>
      <c r="Q590" s="1">
        <v>46033</v>
      </c>
      <c r="R590" s="1">
        <v>45992</v>
      </c>
      <c r="S590" s="1">
        <v>46022</v>
      </c>
      <c r="V590" s="8">
        <v>1</v>
      </c>
      <c r="W590" t="s">
        <v>24</v>
      </c>
      <c r="X590" t="s">
        <v>1210</v>
      </c>
      <c r="Y590" t="s">
        <v>10</v>
      </c>
      <c r="Z590" t="s">
        <v>11</v>
      </c>
      <c r="AA590">
        <v>62371</v>
      </c>
      <c r="AB590">
        <v>18347149</v>
      </c>
      <c r="AC590">
        <v>1</v>
      </c>
      <c r="AD590" s="8"/>
    </row>
    <row r="591" spans="1:30" x14ac:dyDescent="0.3">
      <c r="A591" t="s">
        <v>1627</v>
      </c>
      <c r="B591">
        <v>1379412</v>
      </c>
      <c r="D591" t="s">
        <v>7</v>
      </c>
      <c r="E591">
        <v>945980</v>
      </c>
      <c r="F591">
        <v>9015884123</v>
      </c>
      <c r="G591">
        <v>209</v>
      </c>
      <c r="H591" t="s">
        <v>354</v>
      </c>
      <c r="I591">
        <v>0</v>
      </c>
      <c r="J591" t="s">
        <v>355</v>
      </c>
      <c r="K591" t="s">
        <v>8</v>
      </c>
      <c r="L591" t="s">
        <v>19</v>
      </c>
      <c r="M591" t="s">
        <v>9</v>
      </c>
      <c r="N591" t="s">
        <v>14</v>
      </c>
      <c r="O591" s="2">
        <v>18950.900000000001</v>
      </c>
      <c r="P591" s="3">
        <v>116.152</v>
      </c>
      <c r="Q591" s="1">
        <v>46033</v>
      </c>
      <c r="R591" s="1">
        <v>45992</v>
      </c>
      <c r="S591" s="1">
        <v>46022</v>
      </c>
      <c r="V591" s="8">
        <v>1</v>
      </c>
      <c r="W591" t="s">
        <v>24</v>
      </c>
      <c r="X591" t="s">
        <v>356</v>
      </c>
      <c r="Y591" t="s">
        <v>10</v>
      </c>
      <c r="Z591" t="s">
        <v>11</v>
      </c>
      <c r="AA591">
        <v>62371</v>
      </c>
      <c r="AB591">
        <v>21376636</v>
      </c>
      <c r="AC591">
        <v>1</v>
      </c>
      <c r="AD591" s="8"/>
    </row>
    <row r="592" spans="1:30" x14ac:dyDescent="0.3">
      <c r="A592" t="s">
        <v>1627</v>
      </c>
      <c r="B592">
        <v>1320924</v>
      </c>
      <c r="D592" t="s">
        <v>7</v>
      </c>
      <c r="E592">
        <v>945188</v>
      </c>
      <c r="F592">
        <v>9015884123</v>
      </c>
      <c r="G592">
        <v>46</v>
      </c>
      <c r="H592" t="s">
        <v>868</v>
      </c>
      <c r="I592">
        <v>0</v>
      </c>
      <c r="J592" t="s">
        <v>869</v>
      </c>
      <c r="K592" t="s">
        <v>8</v>
      </c>
      <c r="L592" t="s">
        <v>67</v>
      </c>
      <c r="M592" t="s">
        <v>9</v>
      </c>
      <c r="N592" t="s">
        <v>14</v>
      </c>
      <c r="O592" s="2">
        <v>725595.28</v>
      </c>
      <c r="P592" s="3">
        <v>5094.3469999999998</v>
      </c>
      <c r="Q592" s="1">
        <v>46033</v>
      </c>
      <c r="R592" s="1">
        <v>45992</v>
      </c>
      <c r="S592" s="1">
        <v>46022</v>
      </c>
      <c r="V592" s="8">
        <v>1</v>
      </c>
      <c r="W592" t="s">
        <v>24</v>
      </c>
      <c r="X592" t="s">
        <v>870</v>
      </c>
      <c r="Y592" t="s">
        <v>39</v>
      </c>
      <c r="Z592" t="s">
        <v>11</v>
      </c>
      <c r="AA592">
        <v>62371</v>
      </c>
      <c r="AB592">
        <v>17913520</v>
      </c>
      <c r="AC592">
        <v>0</v>
      </c>
      <c r="AD592" s="8"/>
    </row>
    <row r="593" spans="1:30" x14ac:dyDescent="0.3">
      <c r="A593" t="s">
        <v>1627</v>
      </c>
      <c r="B593">
        <v>1377801</v>
      </c>
      <c r="D593" t="s">
        <v>7</v>
      </c>
      <c r="E593">
        <v>945965</v>
      </c>
      <c r="F593">
        <v>9015884123</v>
      </c>
      <c r="G593">
        <v>200</v>
      </c>
      <c r="H593" t="s">
        <v>330</v>
      </c>
      <c r="I593">
        <v>0</v>
      </c>
      <c r="J593" t="s">
        <v>331</v>
      </c>
      <c r="K593" t="s">
        <v>8</v>
      </c>
      <c r="L593" t="s">
        <v>15</v>
      </c>
      <c r="M593" t="s">
        <v>9</v>
      </c>
      <c r="N593" t="s">
        <v>14</v>
      </c>
      <c r="O593" s="2">
        <v>0</v>
      </c>
      <c r="P593" s="3">
        <v>4177.7259999999997</v>
      </c>
      <c r="Q593" s="1">
        <v>46033</v>
      </c>
      <c r="R593" s="1">
        <v>45992</v>
      </c>
      <c r="S593" s="1">
        <v>46022</v>
      </c>
      <c r="V593" s="8">
        <v>1</v>
      </c>
      <c r="W593" t="s">
        <v>24</v>
      </c>
      <c r="X593" t="s">
        <v>332</v>
      </c>
      <c r="Y593" t="s">
        <v>10</v>
      </c>
      <c r="Z593" t="s">
        <v>11</v>
      </c>
      <c r="AA593">
        <v>62371</v>
      </c>
      <c r="AB593">
        <v>17058663</v>
      </c>
      <c r="AC593">
        <v>1</v>
      </c>
      <c r="AD593" s="8"/>
    </row>
    <row r="594" spans="1:30" x14ac:dyDescent="0.3">
      <c r="A594" t="s">
        <v>1627</v>
      </c>
      <c r="B594">
        <v>1379402</v>
      </c>
      <c r="D594" t="s">
        <v>7</v>
      </c>
      <c r="E594">
        <v>945971</v>
      </c>
      <c r="F594">
        <v>9015884123</v>
      </c>
      <c r="G594">
        <v>204</v>
      </c>
      <c r="H594" t="s">
        <v>1211</v>
      </c>
      <c r="I594">
        <v>0</v>
      </c>
      <c r="J594" t="s">
        <v>1212</v>
      </c>
      <c r="K594" t="s">
        <v>8</v>
      </c>
      <c r="L594" t="s">
        <v>18</v>
      </c>
      <c r="M594" t="s">
        <v>9</v>
      </c>
      <c r="N594" t="s">
        <v>14</v>
      </c>
      <c r="O594" s="2">
        <v>2.98</v>
      </c>
      <c r="P594" s="3">
        <v>0</v>
      </c>
      <c r="Q594" s="1">
        <v>46033</v>
      </c>
      <c r="R594" s="1">
        <v>45992</v>
      </c>
      <c r="S594" s="1">
        <v>46022</v>
      </c>
      <c r="V594" s="8">
        <v>1</v>
      </c>
      <c r="W594" t="s">
        <v>24</v>
      </c>
      <c r="X594" t="s">
        <v>1213</v>
      </c>
      <c r="Y594" t="s">
        <v>10</v>
      </c>
      <c r="Z594" t="s">
        <v>11</v>
      </c>
      <c r="AA594">
        <v>62371</v>
      </c>
      <c r="AB594">
        <v>21177723</v>
      </c>
      <c r="AC594">
        <v>0</v>
      </c>
      <c r="AD594" s="8"/>
    </row>
    <row r="595" spans="1:30" x14ac:dyDescent="0.3">
      <c r="A595" t="s">
        <v>1627</v>
      </c>
      <c r="B595">
        <v>1383084</v>
      </c>
      <c r="D595" t="s">
        <v>7</v>
      </c>
      <c r="E595">
        <v>946003</v>
      </c>
      <c r="F595">
        <v>9015884123</v>
      </c>
      <c r="G595">
        <v>219</v>
      </c>
      <c r="H595" t="s">
        <v>877</v>
      </c>
      <c r="I595">
        <v>0</v>
      </c>
      <c r="J595" t="s">
        <v>878</v>
      </c>
      <c r="K595" t="s">
        <v>8</v>
      </c>
      <c r="L595" t="s">
        <v>19</v>
      </c>
      <c r="M595" t="s">
        <v>9</v>
      </c>
      <c r="N595" t="s">
        <v>14</v>
      </c>
      <c r="O595" s="2">
        <v>42660.74</v>
      </c>
      <c r="P595" s="3">
        <v>261.47199999999998</v>
      </c>
      <c r="Q595" s="1">
        <v>46033</v>
      </c>
      <c r="R595" s="1">
        <v>45992</v>
      </c>
      <c r="S595" s="1">
        <v>46022</v>
      </c>
      <c r="V595" s="8">
        <v>1</v>
      </c>
      <c r="W595" t="s">
        <v>24</v>
      </c>
      <c r="X595" t="s">
        <v>879</v>
      </c>
      <c r="Y595" t="s">
        <v>10</v>
      </c>
      <c r="Z595" t="s">
        <v>11</v>
      </c>
      <c r="AA595">
        <v>62371</v>
      </c>
      <c r="AB595">
        <v>19781239</v>
      </c>
      <c r="AC595">
        <v>1</v>
      </c>
      <c r="AD595" s="8"/>
    </row>
    <row r="596" spans="1:30" x14ac:dyDescent="0.3">
      <c r="A596" t="s">
        <v>1627</v>
      </c>
      <c r="B596">
        <v>1383088</v>
      </c>
      <c r="D596" t="s">
        <v>7</v>
      </c>
      <c r="E596">
        <v>946012</v>
      </c>
      <c r="F596">
        <v>9015884123</v>
      </c>
      <c r="G596">
        <v>223</v>
      </c>
      <c r="H596" t="s">
        <v>350</v>
      </c>
      <c r="I596">
        <v>0</v>
      </c>
      <c r="J596" t="s">
        <v>351</v>
      </c>
      <c r="K596" t="s">
        <v>8</v>
      </c>
      <c r="L596" t="s">
        <v>15</v>
      </c>
      <c r="M596" t="s">
        <v>9</v>
      </c>
      <c r="N596" t="s">
        <v>14</v>
      </c>
      <c r="O596" s="2">
        <v>0</v>
      </c>
      <c r="P596" s="3">
        <v>3253.1909999999998</v>
      </c>
      <c r="Q596" s="1">
        <v>46033</v>
      </c>
      <c r="R596" s="1">
        <v>45992</v>
      </c>
      <c r="S596" s="1">
        <v>46022</v>
      </c>
      <c r="V596" s="8">
        <v>1</v>
      </c>
      <c r="W596" t="s">
        <v>24</v>
      </c>
      <c r="X596" t="s">
        <v>352</v>
      </c>
      <c r="Y596" t="s">
        <v>10</v>
      </c>
      <c r="Z596" t="s">
        <v>11</v>
      </c>
      <c r="AA596">
        <v>62371</v>
      </c>
      <c r="AB596">
        <v>19664227</v>
      </c>
      <c r="AC596">
        <v>0</v>
      </c>
      <c r="AD596" s="8"/>
    </row>
    <row r="597" spans="1:30" x14ac:dyDescent="0.3">
      <c r="A597" t="s">
        <v>1627</v>
      </c>
      <c r="B597">
        <v>1383088</v>
      </c>
      <c r="D597" t="s">
        <v>7</v>
      </c>
      <c r="E597">
        <v>946012</v>
      </c>
      <c r="F597">
        <v>9015884123</v>
      </c>
      <c r="G597">
        <v>223</v>
      </c>
      <c r="H597" t="s">
        <v>350</v>
      </c>
      <c r="I597">
        <v>0</v>
      </c>
      <c r="J597" t="s">
        <v>351</v>
      </c>
      <c r="K597" t="s">
        <v>8</v>
      </c>
      <c r="L597" t="s">
        <v>18</v>
      </c>
      <c r="M597" t="s">
        <v>9</v>
      </c>
      <c r="N597" t="s">
        <v>14</v>
      </c>
      <c r="O597" s="2">
        <v>1.95</v>
      </c>
      <c r="P597" s="3">
        <v>0</v>
      </c>
      <c r="Q597" s="1">
        <v>46033</v>
      </c>
      <c r="R597" s="1">
        <v>45992</v>
      </c>
      <c r="S597" s="1">
        <v>46022</v>
      </c>
      <c r="V597" s="8">
        <v>1</v>
      </c>
      <c r="W597" t="s">
        <v>24</v>
      </c>
      <c r="X597" t="s">
        <v>352</v>
      </c>
      <c r="Y597" t="s">
        <v>10</v>
      </c>
      <c r="Z597" t="s">
        <v>11</v>
      </c>
      <c r="AA597">
        <v>62371</v>
      </c>
      <c r="AB597">
        <v>19664227</v>
      </c>
      <c r="AC597">
        <v>0</v>
      </c>
      <c r="AD597" s="8"/>
    </row>
    <row r="598" spans="1:30" x14ac:dyDescent="0.3">
      <c r="A598" t="s">
        <v>1627</v>
      </c>
      <c r="B598">
        <v>1379385</v>
      </c>
      <c r="D598" t="s">
        <v>7</v>
      </c>
      <c r="E598">
        <v>945969</v>
      </c>
      <c r="F598">
        <v>9015884123</v>
      </c>
      <c r="G598">
        <v>203</v>
      </c>
      <c r="H598" t="s">
        <v>1214</v>
      </c>
      <c r="I598">
        <v>0</v>
      </c>
      <c r="J598" t="s">
        <v>1215</v>
      </c>
      <c r="K598" t="s">
        <v>8</v>
      </c>
      <c r="L598" t="s">
        <v>15</v>
      </c>
      <c r="M598" t="s">
        <v>9</v>
      </c>
      <c r="N598" t="s">
        <v>14</v>
      </c>
      <c r="O598" s="2">
        <v>0</v>
      </c>
      <c r="P598" s="3">
        <v>5032.192</v>
      </c>
      <c r="Q598" s="1">
        <v>46033</v>
      </c>
      <c r="R598" s="1">
        <v>45992</v>
      </c>
      <c r="S598" s="1">
        <v>46022</v>
      </c>
      <c r="V598" s="8">
        <v>1</v>
      </c>
      <c r="W598" t="s">
        <v>24</v>
      </c>
      <c r="X598" t="s">
        <v>1216</v>
      </c>
      <c r="Y598" t="s">
        <v>10</v>
      </c>
      <c r="Z598" t="s">
        <v>11</v>
      </c>
      <c r="AA598">
        <v>62371</v>
      </c>
      <c r="AB598">
        <v>19369206</v>
      </c>
      <c r="AC598">
        <v>1</v>
      </c>
      <c r="AD598" s="8"/>
    </row>
    <row r="599" spans="1:30" x14ac:dyDescent="0.3">
      <c r="A599" t="s">
        <v>1627</v>
      </c>
      <c r="B599">
        <v>1383128</v>
      </c>
      <c r="D599" t="s">
        <v>7</v>
      </c>
      <c r="E599">
        <v>946019</v>
      </c>
      <c r="F599">
        <v>9015884123</v>
      </c>
      <c r="G599">
        <v>227</v>
      </c>
      <c r="H599" t="s">
        <v>1217</v>
      </c>
      <c r="I599">
        <v>0</v>
      </c>
      <c r="J599" t="s">
        <v>1218</v>
      </c>
      <c r="K599" t="s">
        <v>8</v>
      </c>
      <c r="L599" t="s">
        <v>15</v>
      </c>
      <c r="M599" t="s">
        <v>9</v>
      </c>
      <c r="N599" t="s">
        <v>14</v>
      </c>
      <c r="O599" s="2">
        <v>0</v>
      </c>
      <c r="P599" s="3">
        <v>4286.2169999999996</v>
      </c>
      <c r="Q599" s="1">
        <v>46033</v>
      </c>
      <c r="R599" s="1">
        <v>45992</v>
      </c>
      <c r="S599" s="1">
        <v>46022</v>
      </c>
      <c r="V599" s="8">
        <v>1</v>
      </c>
      <c r="W599" t="s">
        <v>24</v>
      </c>
      <c r="X599" t="s">
        <v>1219</v>
      </c>
      <c r="Y599" t="s">
        <v>10</v>
      </c>
      <c r="Z599" t="s">
        <v>11</v>
      </c>
      <c r="AA599">
        <v>62371</v>
      </c>
      <c r="AB599">
        <v>18799272</v>
      </c>
      <c r="AC599">
        <v>1</v>
      </c>
      <c r="AD599" s="8"/>
    </row>
    <row r="600" spans="1:30" x14ac:dyDescent="0.3">
      <c r="A600" t="s">
        <v>1627</v>
      </c>
      <c r="B600">
        <v>1395779</v>
      </c>
      <c r="D600" t="s">
        <v>7</v>
      </c>
      <c r="E600">
        <v>946052</v>
      </c>
      <c r="F600">
        <v>9015884123</v>
      </c>
      <c r="G600">
        <v>238</v>
      </c>
      <c r="H600" t="s">
        <v>1220</v>
      </c>
      <c r="I600">
        <v>0</v>
      </c>
      <c r="J600" t="s">
        <v>1221</v>
      </c>
      <c r="K600" t="s">
        <v>8</v>
      </c>
      <c r="L600" t="s">
        <v>67</v>
      </c>
      <c r="M600" t="s">
        <v>9</v>
      </c>
      <c r="N600" t="s">
        <v>14</v>
      </c>
      <c r="O600" s="2">
        <v>596443.85</v>
      </c>
      <c r="P600" s="3">
        <v>4187.585</v>
      </c>
      <c r="Q600" s="1">
        <v>46033</v>
      </c>
      <c r="R600" s="1">
        <v>45992</v>
      </c>
      <c r="S600" s="1">
        <v>46022</v>
      </c>
      <c r="V600" s="8">
        <v>1</v>
      </c>
      <c r="W600" t="s">
        <v>24</v>
      </c>
      <c r="X600" t="s">
        <v>1222</v>
      </c>
      <c r="Y600" t="s">
        <v>10</v>
      </c>
      <c r="Z600" t="s">
        <v>11</v>
      </c>
      <c r="AA600">
        <v>62371</v>
      </c>
      <c r="AB600">
        <v>19392126</v>
      </c>
      <c r="AC600">
        <v>0</v>
      </c>
      <c r="AD600" s="8"/>
    </row>
    <row r="601" spans="1:30" x14ac:dyDescent="0.3">
      <c r="A601" t="s">
        <v>1627</v>
      </c>
      <c r="B601">
        <v>1395834</v>
      </c>
      <c r="D601" t="s">
        <v>7</v>
      </c>
      <c r="E601">
        <v>946089</v>
      </c>
      <c r="F601">
        <v>9015884123</v>
      </c>
      <c r="G601">
        <v>249</v>
      </c>
      <c r="H601" t="s">
        <v>1223</v>
      </c>
      <c r="I601">
        <v>0</v>
      </c>
      <c r="J601" t="s">
        <v>1224</v>
      </c>
      <c r="K601" t="s">
        <v>8</v>
      </c>
      <c r="L601" t="s">
        <v>67</v>
      </c>
      <c r="M601" t="s">
        <v>9</v>
      </c>
      <c r="N601" t="s">
        <v>14</v>
      </c>
      <c r="O601" s="2">
        <v>399475.38</v>
      </c>
      <c r="P601" s="3">
        <v>2804.6849999999999</v>
      </c>
      <c r="Q601" s="1">
        <v>46033</v>
      </c>
      <c r="R601" s="1">
        <v>45992</v>
      </c>
      <c r="S601" s="1">
        <v>46022</v>
      </c>
      <c r="V601" s="8">
        <v>1</v>
      </c>
      <c r="W601" t="s">
        <v>24</v>
      </c>
      <c r="X601" t="s">
        <v>1225</v>
      </c>
      <c r="Y601" t="s">
        <v>10</v>
      </c>
      <c r="Z601" t="s">
        <v>11</v>
      </c>
      <c r="AA601">
        <v>62371</v>
      </c>
      <c r="AB601">
        <v>17682335</v>
      </c>
      <c r="AC601">
        <v>0</v>
      </c>
      <c r="AD601" s="8"/>
    </row>
    <row r="602" spans="1:30" x14ac:dyDescent="0.3">
      <c r="A602" t="s">
        <v>1627</v>
      </c>
      <c r="B602">
        <v>1395781</v>
      </c>
      <c r="D602" t="s">
        <v>7</v>
      </c>
      <c r="E602">
        <v>946055</v>
      </c>
      <c r="F602">
        <v>9015884123</v>
      </c>
      <c r="G602">
        <v>239</v>
      </c>
      <c r="H602" t="s">
        <v>1226</v>
      </c>
      <c r="I602">
        <v>0</v>
      </c>
      <c r="J602" t="s">
        <v>1227</v>
      </c>
      <c r="K602" t="s">
        <v>8</v>
      </c>
      <c r="L602" t="s">
        <v>19</v>
      </c>
      <c r="M602" t="s">
        <v>9</v>
      </c>
      <c r="N602" t="s">
        <v>14</v>
      </c>
      <c r="O602" s="2">
        <v>816.6</v>
      </c>
      <c r="P602" s="3">
        <v>5.0049999999999999</v>
      </c>
      <c r="Q602" s="1">
        <v>46033</v>
      </c>
      <c r="R602" s="1">
        <v>45992</v>
      </c>
      <c r="S602" s="1">
        <v>46022</v>
      </c>
      <c r="V602" s="8">
        <v>1</v>
      </c>
      <c r="W602" t="s">
        <v>24</v>
      </c>
      <c r="X602" t="s">
        <v>1228</v>
      </c>
      <c r="Y602" t="s">
        <v>10</v>
      </c>
      <c r="Z602" t="s">
        <v>11</v>
      </c>
      <c r="AA602">
        <v>62371</v>
      </c>
      <c r="AB602">
        <v>21388849</v>
      </c>
      <c r="AC602">
        <v>1</v>
      </c>
      <c r="AD602" s="8"/>
    </row>
    <row r="603" spans="1:30" x14ac:dyDescent="0.3">
      <c r="A603" t="s">
        <v>1627</v>
      </c>
      <c r="B603">
        <v>1395779</v>
      </c>
      <c r="D603" t="s">
        <v>7</v>
      </c>
      <c r="E603">
        <v>946052</v>
      </c>
      <c r="F603">
        <v>9015884123</v>
      </c>
      <c r="G603">
        <v>238</v>
      </c>
      <c r="H603" t="s">
        <v>1220</v>
      </c>
      <c r="I603">
        <v>0</v>
      </c>
      <c r="J603" t="s">
        <v>1221</v>
      </c>
      <c r="K603" t="s">
        <v>8</v>
      </c>
      <c r="L603" t="s">
        <v>15</v>
      </c>
      <c r="M603" t="s">
        <v>9</v>
      </c>
      <c r="N603" t="s">
        <v>14</v>
      </c>
      <c r="O603" s="2">
        <v>0</v>
      </c>
      <c r="P603" s="3">
        <v>4187.585</v>
      </c>
      <c r="Q603" s="1">
        <v>46033</v>
      </c>
      <c r="R603" s="1">
        <v>45992</v>
      </c>
      <c r="S603" s="1">
        <v>46022</v>
      </c>
      <c r="V603" s="8">
        <v>1</v>
      </c>
      <c r="W603" t="s">
        <v>24</v>
      </c>
      <c r="X603" t="s">
        <v>1222</v>
      </c>
      <c r="Y603" t="s">
        <v>10</v>
      </c>
      <c r="Z603" t="s">
        <v>11</v>
      </c>
      <c r="AA603">
        <v>62371</v>
      </c>
      <c r="AB603">
        <v>19392126</v>
      </c>
      <c r="AC603">
        <v>0</v>
      </c>
      <c r="AD603" s="8"/>
    </row>
    <row r="604" spans="1:30" x14ac:dyDescent="0.3">
      <c r="A604" t="s">
        <v>1627</v>
      </c>
      <c r="B604">
        <v>1403650</v>
      </c>
      <c r="D604" t="s">
        <v>7</v>
      </c>
      <c r="E604">
        <v>946117</v>
      </c>
      <c r="F604">
        <v>9015884123</v>
      </c>
      <c r="G604">
        <v>259</v>
      </c>
      <c r="H604" t="s">
        <v>382</v>
      </c>
      <c r="I604">
        <v>0</v>
      </c>
      <c r="J604" t="s">
        <v>383</v>
      </c>
      <c r="K604" t="s">
        <v>8</v>
      </c>
      <c r="L604" t="s">
        <v>18</v>
      </c>
      <c r="M604" t="s">
        <v>9</v>
      </c>
      <c r="N604" t="s">
        <v>14</v>
      </c>
      <c r="O604" s="2">
        <v>3.92</v>
      </c>
      <c r="P604" s="3">
        <v>0</v>
      </c>
      <c r="Q604" s="1">
        <v>46033</v>
      </c>
      <c r="R604" s="1">
        <v>45992</v>
      </c>
      <c r="S604" s="1">
        <v>46022</v>
      </c>
      <c r="V604" s="8">
        <v>1</v>
      </c>
      <c r="W604" t="s">
        <v>24</v>
      </c>
      <c r="X604" t="s">
        <v>384</v>
      </c>
      <c r="Y604" t="s">
        <v>10</v>
      </c>
      <c r="Z604" t="s">
        <v>11</v>
      </c>
      <c r="AA604">
        <v>62371</v>
      </c>
      <c r="AB604">
        <v>18586820</v>
      </c>
      <c r="AC604">
        <v>1</v>
      </c>
      <c r="AD604" s="8"/>
    </row>
    <row r="605" spans="1:30" x14ac:dyDescent="0.3">
      <c r="A605" t="s">
        <v>1627</v>
      </c>
      <c r="B605">
        <v>1395799</v>
      </c>
      <c r="D605" t="s">
        <v>7</v>
      </c>
      <c r="E605">
        <v>946078</v>
      </c>
      <c r="F605">
        <v>9015884123</v>
      </c>
      <c r="G605">
        <v>246</v>
      </c>
      <c r="H605" t="s">
        <v>379</v>
      </c>
      <c r="I605">
        <v>0</v>
      </c>
      <c r="J605" t="s">
        <v>380</v>
      </c>
      <c r="K605" t="s">
        <v>8</v>
      </c>
      <c r="L605" t="s">
        <v>19</v>
      </c>
      <c r="M605" t="s">
        <v>9</v>
      </c>
      <c r="N605" t="s">
        <v>14</v>
      </c>
      <c r="O605" s="2">
        <v>126507.72</v>
      </c>
      <c r="P605" s="3">
        <v>640.24800000000005</v>
      </c>
      <c r="Q605" s="1">
        <v>46033</v>
      </c>
      <c r="R605" s="1">
        <v>45992</v>
      </c>
      <c r="S605" s="1">
        <v>46022</v>
      </c>
      <c r="V605" s="8">
        <v>1</v>
      </c>
      <c r="W605" t="s">
        <v>24</v>
      </c>
      <c r="X605" t="s">
        <v>381</v>
      </c>
      <c r="Y605" t="s">
        <v>10</v>
      </c>
      <c r="Z605" t="s">
        <v>11</v>
      </c>
      <c r="AA605">
        <v>62371</v>
      </c>
      <c r="AB605">
        <v>19392504</v>
      </c>
      <c r="AC605">
        <v>0</v>
      </c>
      <c r="AD605" s="8"/>
    </row>
    <row r="606" spans="1:30" x14ac:dyDescent="0.3">
      <c r="A606" t="s">
        <v>1627</v>
      </c>
      <c r="B606">
        <v>1403606</v>
      </c>
      <c r="D606" t="s">
        <v>7</v>
      </c>
      <c r="E606">
        <v>946110</v>
      </c>
      <c r="F606">
        <v>9015884123</v>
      </c>
      <c r="G606">
        <v>257</v>
      </c>
      <c r="H606" t="s">
        <v>1229</v>
      </c>
      <c r="I606">
        <v>0</v>
      </c>
      <c r="J606" t="s">
        <v>1230</v>
      </c>
      <c r="K606" t="s">
        <v>8</v>
      </c>
      <c r="L606" t="s">
        <v>18</v>
      </c>
      <c r="M606" t="s">
        <v>9</v>
      </c>
      <c r="N606" t="s">
        <v>14</v>
      </c>
      <c r="O606" s="2">
        <v>-0.18</v>
      </c>
      <c r="P606" s="3">
        <v>0</v>
      </c>
      <c r="Q606" s="1">
        <v>46033</v>
      </c>
      <c r="R606" s="1">
        <v>45992</v>
      </c>
      <c r="S606" s="1">
        <v>46022</v>
      </c>
      <c r="V606" s="8">
        <v>1</v>
      </c>
      <c r="W606" t="s">
        <v>24</v>
      </c>
      <c r="X606" t="s">
        <v>1231</v>
      </c>
      <c r="Y606" t="s">
        <v>10</v>
      </c>
      <c r="Z606" t="s">
        <v>11</v>
      </c>
      <c r="AA606">
        <v>62371</v>
      </c>
      <c r="AB606">
        <v>17045364</v>
      </c>
      <c r="AC606">
        <v>1</v>
      </c>
      <c r="AD606" s="8"/>
    </row>
    <row r="607" spans="1:30" x14ac:dyDescent="0.3">
      <c r="A607" t="s">
        <v>1627</v>
      </c>
      <c r="B607">
        <v>1403655</v>
      </c>
      <c r="D607" t="s">
        <v>7</v>
      </c>
      <c r="E607">
        <v>946126</v>
      </c>
      <c r="F607">
        <v>9015884123</v>
      </c>
      <c r="G607">
        <v>262</v>
      </c>
      <c r="H607" t="s">
        <v>1232</v>
      </c>
      <c r="I607">
        <v>0</v>
      </c>
      <c r="J607" t="s">
        <v>1233</v>
      </c>
      <c r="K607" t="s">
        <v>8</v>
      </c>
      <c r="L607" t="s">
        <v>18</v>
      </c>
      <c r="M607" t="s">
        <v>9</v>
      </c>
      <c r="N607" t="s">
        <v>14</v>
      </c>
      <c r="O607" s="2">
        <v>-0.57999999999999996</v>
      </c>
      <c r="P607" s="3">
        <v>0</v>
      </c>
      <c r="Q607" s="1">
        <v>46033</v>
      </c>
      <c r="R607" s="1">
        <v>45992</v>
      </c>
      <c r="S607" s="1">
        <v>46022</v>
      </c>
      <c r="V607" s="8">
        <v>1</v>
      </c>
      <c r="W607" t="s">
        <v>24</v>
      </c>
      <c r="X607" t="s">
        <v>1234</v>
      </c>
      <c r="Y607" t="s">
        <v>10</v>
      </c>
      <c r="Z607" t="s">
        <v>11</v>
      </c>
      <c r="AA607">
        <v>62371</v>
      </c>
      <c r="AB607">
        <v>18164113</v>
      </c>
      <c r="AC607">
        <v>1</v>
      </c>
      <c r="AD607" s="8"/>
    </row>
    <row r="608" spans="1:30" x14ac:dyDescent="0.3">
      <c r="A608" t="s">
        <v>1627</v>
      </c>
      <c r="B608">
        <v>1403817</v>
      </c>
      <c r="D608" t="s">
        <v>7</v>
      </c>
      <c r="E608">
        <v>946233</v>
      </c>
      <c r="F608">
        <v>9015884123</v>
      </c>
      <c r="G608">
        <v>296</v>
      </c>
      <c r="H608" t="s">
        <v>412</v>
      </c>
      <c r="I608">
        <v>0</v>
      </c>
      <c r="J608" t="s">
        <v>413</v>
      </c>
      <c r="K608" t="s">
        <v>8</v>
      </c>
      <c r="L608" t="s">
        <v>18</v>
      </c>
      <c r="M608" t="s">
        <v>9</v>
      </c>
      <c r="N608" t="s">
        <v>14</v>
      </c>
      <c r="O608" s="2">
        <v>0.3</v>
      </c>
      <c r="P608" s="3">
        <v>0</v>
      </c>
      <c r="Q608" s="1">
        <v>46033</v>
      </c>
      <c r="R608" s="1">
        <v>45992</v>
      </c>
      <c r="S608" s="1">
        <v>46022</v>
      </c>
      <c r="V608" s="8">
        <v>1</v>
      </c>
      <c r="W608" t="s">
        <v>24</v>
      </c>
      <c r="X608" t="s">
        <v>414</v>
      </c>
      <c r="Y608" t="s">
        <v>10</v>
      </c>
      <c r="Z608" t="s">
        <v>11</v>
      </c>
      <c r="AA608">
        <v>62371</v>
      </c>
      <c r="AB608">
        <v>19386270</v>
      </c>
      <c r="AC608">
        <v>0</v>
      </c>
      <c r="AD608" s="8"/>
    </row>
    <row r="609" spans="1:30" x14ac:dyDescent="0.3">
      <c r="A609" t="s">
        <v>1627</v>
      </c>
      <c r="B609">
        <v>1405517</v>
      </c>
      <c r="D609" t="s">
        <v>7</v>
      </c>
      <c r="E609">
        <v>946270</v>
      </c>
      <c r="F609">
        <v>9015884123</v>
      </c>
      <c r="G609">
        <v>309</v>
      </c>
      <c r="H609" t="s">
        <v>1235</v>
      </c>
      <c r="I609">
        <v>0</v>
      </c>
      <c r="J609" t="s">
        <v>1236</v>
      </c>
      <c r="K609" t="s">
        <v>8</v>
      </c>
      <c r="L609" t="s">
        <v>19</v>
      </c>
      <c r="M609" t="s">
        <v>9</v>
      </c>
      <c r="N609" t="s">
        <v>14</v>
      </c>
      <c r="O609" s="2">
        <v>146.02000000000001</v>
      </c>
      <c r="P609" s="3">
        <v>0.73899999999999999</v>
      </c>
      <c r="Q609" s="1">
        <v>46033</v>
      </c>
      <c r="R609" s="1">
        <v>45992</v>
      </c>
      <c r="S609" s="1">
        <v>46022</v>
      </c>
      <c r="V609" s="8">
        <v>1</v>
      </c>
      <c r="W609" t="s">
        <v>24</v>
      </c>
      <c r="X609" t="s">
        <v>1237</v>
      </c>
      <c r="Y609" t="s">
        <v>10</v>
      </c>
      <c r="Z609" t="s">
        <v>11</v>
      </c>
      <c r="AA609">
        <v>62371</v>
      </c>
      <c r="AB609">
        <v>19402884</v>
      </c>
      <c r="AC609">
        <v>0</v>
      </c>
      <c r="AD609" s="8"/>
    </row>
    <row r="610" spans="1:30" x14ac:dyDescent="0.3">
      <c r="A610" t="s">
        <v>1627</v>
      </c>
      <c r="B610">
        <v>1403647</v>
      </c>
      <c r="D610" t="s">
        <v>7</v>
      </c>
      <c r="E610">
        <v>946114</v>
      </c>
      <c r="F610">
        <v>9015884123</v>
      </c>
      <c r="G610">
        <v>258</v>
      </c>
      <c r="H610" t="s">
        <v>385</v>
      </c>
      <c r="I610">
        <v>0</v>
      </c>
      <c r="J610" t="s">
        <v>386</v>
      </c>
      <c r="K610" t="s">
        <v>8</v>
      </c>
      <c r="L610" t="s">
        <v>15</v>
      </c>
      <c r="M610" t="s">
        <v>9</v>
      </c>
      <c r="N610" t="s">
        <v>14</v>
      </c>
      <c r="O610" s="2">
        <v>0</v>
      </c>
      <c r="P610" s="3">
        <v>1432.6610000000001</v>
      </c>
      <c r="Q610" s="1">
        <v>46033</v>
      </c>
      <c r="R610" s="1">
        <v>45992</v>
      </c>
      <c r="S610" s="1">
        <v>46022</v>
      </c>
      <c r="V610" s="8">
        <v>1</v>
      </c>
      <c r="W610" t="s">
        <v>24</v>
      </c>
      <c r="X610" t="s">
        <v>387</v>
      </c>
      <c r="Y610" t="s">
        <v>10</v>
      </c>
      <c r="Z610" t="s">
        <v>11</v>
      </c>
      <c r="AA610">
        <v>62371</v>
      </c>
      <c r="AB610">
        <v>18575550</v>
      </c>
      <c r="AC610">
        <v>0</v>
      </c>
      <c r="AD610" s="8"/>
    </row>
    <row r="611" spans="1:30" x14ac:dyDescent="0.3">
      <c r="A611" t="s">
        <v>1627</v>
      </c>
      <c r="B611">
        <v>1403726</v>
      </c>
      <c r="D611" t="s">
        <v>7</v>
      </c>
      <c r="E611">
        <v>946154</v>
      </c>
      <c r="F611">
        <v>9015884123</v>
      </c>
      <c r="G611">
        <v>270</v>
      </c>
      <c r="H611" t="s">
        <v>892</v>
      </c>
      <c r="I611">
        <v>0</v>
      </c>
      <c r="J611" t="s">
        <v>893</v>
      </c>
      <c r="K611" t="s">
        <v>8</v>
      </c>
      <c r="L611" t="s">
        <v>67</v>
      </c>
      <c r="M611" t="s">
        <v>9</v>
      </c>
      <c r="N611" t="s">
        <v>14</v>
      </c>
      <c r="O611" s="2">
        <v>233432.34</v>
      </c>
      <c r="P611" s="3">
        <v>1638.91</v>
      </c>
      <c r="Q611" s="1">
        <v>46033</v>
      </c>
      <c r="R611" s="1">
        <v>45992</v>
      </c>
      <c r="S611" s="1">
        <v>46022</v>
      </c>
      <c r="V611" s="8">
        <v>1</v>
      </c>
      <c r="W611" t="s">
        <v>24</v>
      </c>
      <c r="X611" t="s">
        <v>894</v>
      </c>
      <c r="Y611" t="s">
        <v>10</v>
      </c>
      <c r="Z611" t="s">
        <v>11</v>
      </c>
      <c r="AA611">
        <v>62371</v>
      </c>
      <c r="AB611">
        <v>19397223</v>
      </c>
      <c r="AC611">
        <v>0</v>
      </c>
      <c r="AD611" s="8"/>
    </row>
    <row r="612" spans="1:30" x14ac:dyDescent="0.3">
      <c r="A612" t="s">
        <v>1627</v>
      </c>
      <c r="B612">
        <v>1403807</v>
      </c>
      <c r="D612" t="s">
        <v>7</v>
      </c>
      <c r="E612">
        <v>946200</v>
      </c>
      <c r="F612">
        <v>9015884123</v>
      </c>
      <c r="G612">
        <v>285</v>
      </c>
      <c r="H612" t="s">
        <v>1238</v>
      </c>
      <c r="I612">
        <v>0</v>
      </c>
      <c r="J612" t="s">
        <v>1239</v>
      </c>
      <c r="K612" t="s">
        <v>8</v>
      </c>
      <c r="L612" t="s">
        <v>18</v>
      </c>
      <c r="M612" t="s">
        <v>9</v>
      </c>
      <c r="N612" t="s">
        <v>14</v>
      </c>
      <c r="O612" s="2">
        <v>-0.04</v>
      </c>
      <c r="P612" s="3">
        <v>0</v>
      </c>
      <c r="Q612" s="1">
        <v>46033</v>
      </c>
      <c r="R612" s="1">
        <v>45992</v>
      </c>
      <c r="S612" s="1">
        <v>46022</v>
      </c>
      <c r="V612" s="8">
        <v>1</v>
      </c>
      <c r="W612" t="s">
        <v>24</v>
      </c>
      <c r="X612" t="s">
        <v>1240</v>
      </c>
      <c r="Y612" t="s">
        <v>10</v>
      </c>
      <c r="Z612" t="s">
        <v>11</v>
      </c>
      <c r="AA612">
        <v>62371</v>
      </c>
      <c r="AB612">
        <v>18472273</v>
      </c>
      <c r="AC612">
        <v>1</v>
      </c>
      <c r="AD612" s="8"/>
    </row>
    <row r="613" spans="1:30" x14ac:dyDescent="0.3">
      <c r="A613" t="s">
        <v>1627</v>
      </c>
      <c r="B613">
        <v>1403810</v>
      </c>
      <c r="D613" t="s">
        <v>7</v>
      </c>
      <c r="E613">
        <v>946206</v>
      </c>
      <c r="F613">
        <v>9015884123</v>
      </c>
      <c r="G613">
        <v>288</v>
      </c>
      <c r="H613" t="s">
        <v>901</v>
      </c>
      <c r="I613">
        <v>0</v>
      </c>
      <c r="J613" t="s">
        <v>902</v>
      </c>
      <c r="K613" t="s">
        <v>8</v>
      </c>
      <c r="L613" t="s">
        <v>15</v>
      </c>
      <c r="M613" t="s">
        <v>9</v>
      </c>
      <c r="N613" t="s">
        <v>14</v>
      </c>
      <c r="O613" s="2">
        <v>0</v>
      </c>
      <c r="P613" s="3">
        <v>359.07</v>
      </c>
      <c r="Q613" s="1">
        <v>46033</v>
      </c>
      <c r="R613" s="1">
        <v>45992</v>
      </c>
      <c r="S613" s="1">
        <v>46022</v>
      </c>
      <c r="V613" s="8">
        <v>1</v>
      </c>
      <c r="W613" t="s">
        <v>24</v>
      </c>
      <c r="X613" t="s">
        <v>903</v>
      </c>
      <c r="Y613" t="s">
        <v>10</v>
      </c>
      <c r="Z613" t="s">
        <v>11</v>
      </c>
      <c r="AA613">
        <v>62371</v>
      </c>
      <c r="AB613">
        <v>21406892</v>
      </c>
      <c r="AC613">
        <v>1</v>
      </c>
      <c r="AD613" s="8"/>
    </row>
    <row r="614" spans="1:30" x14ac:dyDescent="0.3">
      <c r="A614" t="s">
        <v>1627</v>
      </c>
      <c r="B614">
        <v>1405499</v>
      </c>
      <c r="D614" t="s">
        <v>7</v>
      </c>
      <c r="E614">
        <v>946267</v>
      </c>
      <c r="F614">
        <v>9015884123</v>
      </c>
      <c r="G614">
        <v>308</v>
      </c>
      <c r="H614" t="s">
        <v>1241</v>
      </c>
      <c r="I614">
        <v>0</v>
      </c>
      <c r="J614" t="s">
        <v>1242</v>
      </c>
      <c r="K614" t="s">
        <v>8</v>
      </c>
      <c r="L614" t="s">
        <v>15</v>
      </c>
      <c r="M614" t="s">
        <v>9</v>
      </c>
      <c r="N614" t="s">
        <v>14</v>
      </c>
      <c r="O614" s="2">
        <v>0</v>
      </c>
      <c r="P614" s="3">
        <v>1501.943</v>
      </c>
      <c r="Q614" s="1">
        <v>46033</v>
      </c>
      <c r="R614" s="1">
        <v>45992</v>
      </c>
      <c r="S614" s="1">
        <v>46022</v>
      </c>
      <c r="V614" s="8">
        <v>1</v>
      </c>
      <c r="W614" t="s">
        <v>24</v>
      </c>
      <c r="X614" t="s">
        <v>1243</v>
      </c>
      <c r="Y614" t="s">
        <v>10</v>
      </c>
      <c r="Z614" t="s">
        <v>11</v>
      </c>
      <c r="AA614">
        <v>62371</v>
      </c>
      <c r="AB614">
        <v>19402887</v>
      </c>
      <c r="AC614">
        <v>0</v>
      </c>
      <c r="AD614" s="8"/>
    </row>
    <row r="615" spans="1:30" x14ac:dyDescent="0.3">
      <c r="A615" t="s">
        <v>1627</v>
      </c>
      <c r="B615">
        <v>1406176</v>
      </c>
      <c r="D615" t="s">
        <v>7</v>
      </c>
      <c r="E615">
        <v>946283</v>
      </c>
      <c r="F615">
        <v>9015884123</v>
      </c>
      <c r="G615">
        <v>314</v>
      </c>
      <c r="H615" t="s">
        <v>1244</v>
      </c>
      <c r="I615">
        <v>0</v>
      </c>
      <c r="J615" t="s">
        <v>1245</v>
      </c>
      <c r="K615" t="s">
        <v>8</v>
      </c>
      <c r="L615" t="s">
        <v>18</v>
      </c>
      <c r="M615" t="s">
        <v>9</v>
      </c>
      <c r="N615" t="s">
        <v>14</v>
      </c>
      <c r="O615" s="2">
        <v>3.29</v>
      </c>
      <c r="P615" s="3">
        <v>0</v>
      </c>
      <c r="Q615" s="1">
        <v>46033</v>
      </c>
      <c r="R615" s="1">
        <v>45992</v>
      </c>
      <c r="S615" s="1">
        <v>46022</v>
      </c>
      <c r="V615" s="8">
        <v>1</v>
      </c>
      <c r="W615" t="s">
        <v>24</v>
      </c>
      <c r="X615" t="s">
        <v>1246</v>
      </c>
      <c r="Y615" t="s">
        <v>10</v>
      </c>
      <c r="Z615" t="s">
        <v>11</v>
      </c>
      <c r="AA615">
        <v>62371</v>
      </c>
      <c r="AB615">
        <v>18897363</v>
      </c>
      <c r="AC615">
        <v>0</v>
      </c>
      <c r="AD615" s="8"/>
    </row>
    <row r="616" spans="1:30" x14ac:dyDescent="0.3">
      <c r="A616" t="s">
        <v>1627</v>
      </c>
      <c r="B616">
        <v>1406172</v>
      </c>
      <c r="D616" t="s">
        <v>7</v>
      </c>
      <c r="E616">
        <v>946279</v>
      </c>
      <c r="F616">
        <v>9015884123</v>
      </c>
      <c r="G616">
        <v>312</v>
      </c>
      <c r="H616" t="s">
        <v>904</v>
      </c>
      <c r="I616">
        <v>0</v>
      </c>
      <c r="J616" t="s">
        <v>905</v>
      </c>
      <c r="K616" t="s">
        <v>8</v>
      </c>
      <c r="L616" t="s">
        <v>15</v>
      </c>
      <c r="M616" t="s">
        <v>9</v>
      </c>
      <c r="N616" t="s">
        <v>14</v>
      </c>
      <c r="O616" s="2">
        <v>0</v>
      </c>
      <c r="P616" s="3">
        <v>43581.120999999999</v>
      </c>
      <c r="Q616" s="1">
        <v>46033</v>
      </c>
      <c r="R616" s="1">
        <v>45992</v>
      </c>
      <c r="S616" s="1">
        <v>46022</v>
      </c>
      <c r="V616" s="8">
        <v>1</v>
      </c>
      <c r="W616" t="s">
        <v>24</v>
      </c>
      <c r="X616" t="s">
        <v>906</v>
      </c>
      <c r="Y616" t="s">
        <v>10</v>
      </c>
      <c r="Z616" t="s">
        <v>11</v>
      </c>
      <c r="AA616">
        <v>62371</v>
      </c>
      <c r="AB616">
        <v>18171106</v>
      </c>
      <c r="AC616">
        <v>1</v>
      </c>
      <c r="AD616" s="8"/>
    </row>
    <row r="617" spans="1:30" x14ac:dyDescent="0.3">
      <c r="A617" t="s">
        <v>1627</v>
      </c>
      <c r="B617">
        <v>1406179</v>
      </c>
      <c r="D617" t="s">
        <v>7</v>
      </c>
      <c r="E617">
        <v>946287</v>
      </c>
      <c r="F617">
        <v>9015884123</v>
      </c>
      <c r="G617">
        <v>316</v>
      </c>
      <c r="H617" t="s">
        <v>1247</v>
      </c>
      <c r="I617">
        <v>0</v>
      </c>
      <c r="J617" t="s">
        <v>1248</v>
      </c>
      <c r="K617" t="s">
        <v>8</v>
      </c>
      <c r="L617" t="s">
        <v>18</v>
      </c>
      <c r="M617" t="s">
        <v>9</v>
      </c>
      <c r="N617" t="s">
        <v>14</v>
      </c>
      <c r="O617" s="2">
        <v>-4.07</v>
      </c>
      <c r="P617" s="3">
        <v>0</v>
      </c>
      <c r="Q617" s="1">
        <v>46033</v>
      </c>
      <c r="R617" s="1">
        <v>45992</v>
      </c>
      <c r="S617" s="1">
        <v>46022</v>
      </c>
      <c r="V617" s="8">
        <v>1</v>
      </c>
      <c r="W617" t="s">
        <v>24</v>
      </c>
      <c r="X617" t="s">
        <v>1249</v>
      </c>
      <c r="Y617" t="s">
        <v>10</v>
      </c>
      <c r="Z617" t="s">
        <v>11</v>
      </c>
      <c r="AA617">
        <v>62371</v>
      </c>
      <c r="AB617">
        <v>19395700</v>
      </c>
      <c r="AC617">
        <v>0</v>
      </c>
      <c r="AD617" s="8"/>
    </row>
    <row r="618" spans="1:30" x14ac:dyDescent="0.3">
      <c r="A618" t="s">
        <v>1627</v>
      </c>
      <c r="B618">
        <v>1407503</v>
      </c>
      <c r="D618" t="s">
        <v>7</v>
      </c>
      <c r="E618">
        <v>946311</v>
      </c>
      <c r="F618">
        <v>9015884123</v>
      </c>
      <c r="G618">
        <v>327</v>
      </c>
      <c r="H618" t="s">
        <v>907</v>
      </c>
      <c r="I618">
        <v>0</v>
      </c>
      <c r="J618" t="s">
        <v>908</v>
      </c>
      <c r="K618" t="s">
        <v>8</v>
      </c>
      <c r="L618" t="s">
        <v>15</v>
      </c>
      <c r="M618" t="s">
        <v>9</v>
      </c>
      <c r="N618" t="s">
        <v>14</v>
      </c>
      <c r="O618" s="2">
        <v>0</v>
      </c>
      <c r="P618" s="3">
        <v>7023.4970000000003</v>
      </c>
      <c r="Q618" s="1">
        <v>46033</v>
      </c>
      <c r="R618" s="1">
        <v>45992</v>
      </c>
      <c r="S618" s="1">
        <v>46022</v>
      </c>
      <c r="V618" s="8">
        <v>1</v>
      </c>
      <c r="W618" t="s">
        <v>24</v>
      </c>
      <c r="X618" t="s">
        <v>909</v>
      </c>
      <c r="Y618" t="s">
        <v>10</v>
      </c>
      <c r="Z618" t="s">
        <v>11</v>
      </c>
      <c r="AA618">
        <v>62371</v>
      </c>
      <c r="AB618">
        <v>19383328</v>
      </c>
      <c r="AC618">
        <v>0</v>
      </c>
      <c r="AD618" s="8"/>
    </row>
    <row r="619" spans="1:30" x14ac:dyDescent="0.3">
      <c r="A619" t="s">
        <v>1627</v>
      </c>
      <c r="B619">
        <v>1407518</v>
      </c>
      <c r="D619" t="s">
        <v>7</v>
      </c>
      <c r="E619">
        <v>946325</v>
      </c>
      <c r="F619">
        <v>9015884123</v>
      </c>
      <c r="G619">
        <v>335</v>
      </c>
      <c r="H619" t="s">
        <v>1250</v>
      </c>
      <c r="I619">
        <v>0</v>
      </c>
      <c r="J619" t="s">
        <v>1251</v>
      </c>
      <c r="K619" t="s">
        <v>8</v>
      </c>
      <c r="L619" t="s">
        <v>15</v>
      </c>
      <c r="M619" t="s">
        <v>9</v>
      </c>
      <c r="N619" t="s">
        <v>14</v>
      </c>
      <c r="O619" s="2">
        <v>0</v>
      </c>
      <c r="P619" s="3">
        <v>3630.24</v>
      </c>
      <c r="Q619" s="1">
        <v>46033</v>
      </c>
      <c r="R619" s="1">
        <v>45992</v>
      </c>
      <c r="S619" s="1">
        <v>46022</v>
      </c>
      <c r="V619" s="8">
        <v>1</v>
      </c>
      <c r="W619" t="s">
        <v>24</v>
      </c>
      <c r="X619" t="s">
        <v>1252</v>
      </c>
      <c r="Y619" t="s">
        <v>10</v>
      </c>
      <c r="Z619" t="s">
        <v>11</v>
      </c>
      <c r="AA619">
        <v>62371</v>
      </c>
      <c r="AB619">
        <v>19510026</v>
      </c>
      <c r="AC619">
        <v>0</v>
      </c>
      <c r="AD619" s="8"/>
    </row>
    <row r="620" spans="1:30" x14ac:dyDescent="0.3">
      <c r="A620" t="s">
        <v>1627</v>
      </c>
      <c r="B620">
        <v>1407506</v>
      </c>
      <c r="D620" t="s">
        <v>7</v>
      </c>
      <c r="E620">
        <v>946313</v>
      </c>
      <c r="F620">
        <v>9015884123</v>
      </c>
      <c r="G620">
        <v>329</v>
      </c>
      <c r="H620" t="s">
        <v>1253</v>
      </c>
      <c r="I620">
        <v>0</v>
      </c>
      <c r="J620" t="s">
        <v>1254</v>
      </c>
      <c r="K620" t="s">
        <v>8</v>
      </c>
      <c r="L620" t="s">
        <v>18</v>
      </c>
      <c r="M620" t="s">
        <v>9</v>
      </c>
      <c r="N620" t="s">
        <v>14</v>
      </c>
      <c r="O620" s="2">
        <v>2.69</v>
      </c>
      <c r="P620" s="3">
        <v>0</v>
      </c>
      <c r="Q620" s="1">
        <v>46033</v>
      </c>
      <c r="R620" s="1">
        <v>45992</v>
      </c>
      <c r="S620" s="1">
        <v>46022</v>
      </c>
      <c r="V620" s="8">
        <v>1</v>
      </c>
      <c r="W620" t="s">
        <v>24</v>
      </c>
      <c r="X620" t="s">
        <v>1255</v>
      </c>
      <c r="Y620" t="s">
        <v>10</v>
      </c>
      <c r="Z620" t="s">
        <v>11</v>
      </c>
      <c r="AA620">
        <v>62371</v>
      </c>
      <c r="AB620">
        <v>18427569</v>
      </c>
      <c r="AC620">
        <v>1</v>
      </c>
      <c r="AD620" s="8"/>
    </row>
    <row r="621" spans="1:30" x14ac:dyDescent="0.3">
      <c r="A621" t="s">
        <v>1627</v>
      </c>
      <c r="B621">
        <v>1407510</v>
      </c>
      <c r="D621" t="s">
        <v>7</v>
      </c>
      <c r="E621">
        <v>946319</v>
      </c>
      <c r="F621">
        <v>9015884123</v>
      </c>
      <c r="G621">
        <v>332</v>
      </c>
      <c r="H621" t="s">
        <v>1256</v>
      </c>
      <c r="I621">
        <v>0</v>
      </c>
      <c r="J621" t="s">
        <v>1257</v>
      </c>
      <c r="K621" t="s">
        <v>8</v>
      </c>
      <c r="L621" t="s">
        <v>15</v>
      </c>
      <c r="M621" t="s">
        <v>9</v>
      </c>
      <c r="N621" t="s">
        <v>14</v>
      </c>
      <c r="O621" s="2">
        <v>0</v>
      </c>
      <c r="P621" s="3">
        <v>782.01800000000003</v>
      </c>
      <c r="Q621" s="1">
        <v>46033</v>
      </c>
      <c r="R621" s="1">
        <v>45992</v>
      </c>
      <c r="S621" s="1">
        <v>46022</v>
      </c>
      <c r="V621" s="8">
        <v>1</v>
      </c>
      <c r="W621" t="s">
        <v>24</v>
      </c>
      <c r="X621" t="s">
        <v>1258</v>
      </c>
      <c r="Y621" t="s">
        <v>10</v>
      </c>
      <c r="Z621" t="s">
        <v>11</v>
      </c>
      <c r="AA621">
        <v>62371</v>
      </c>
      <c r="AB621">
        <v>21406893</v>
      </c>
      <c r="AC621">
        <v>1</v>
      </c>
      <c r="AD621" s="8"/>
    </row>
    <row r="622" spans="1:30" x14ac:dyDescent="0.3">
      <c r="A622" t="s">
        <v>1627</v>
      </c>
      <c r="B622">
        <v>1412055</v>
      </c>
      <c r="D622" t="s">
        <v>7</v>
      </c>
      <c r="E622">
        <v>946334</v>
      </c>
      <c r="F622">
        <v>9015884123</v>
      </c>
      <c r="G622">
        <v>341</v>
      </c>
      <c r="H622" t="s">
        <v>421</v>
      </c>
      <c r="I622">
        <v>0</v>
      </c>
      <c r="J622" t="s">
        <v>422</v>
      </c>
      <c r="K622" t="s">
        <v>8</v>
      </c>
      <c r="L622" t="s">
        <v>67</v>
      </c>
      <c r="M622" t="s">
        <v>9</v>
      </c>
      <c r="N622" t="s">
        <v>14</v>
      </c>
      <c r="O622" s="2">
        <v>2219429.2999999998</v>
      </c>
      <c r="P622" s="3">
        <v>20551.080000000002</v>
      </c>
      <c r="Q622" s="1">
        <v>46033</v>
      </c>
      <c r="R622" s="1">
        <v>45992</v>
      </c>
      <c r="S622" s="1">
        <v>46022</v>
      </c>
      <c r="V622" s="8">
        <v>1</v>
      </c>
      <c r="W622" t="s">
        <v>24</v>
      </c>
      <c r="X622" t="s">
        <v>423</v>
      </c>
      <c r="Y622" t="s">
        <v>10</v>
      </c>
      <c r="Z622" t="s">
        <v>11</v>
      </c>
      <c r="AA622">
        <v>62371</v>
      </c>
      <c r="AB622">
        <v>18412837</v>
      </c>
      <c r="AC622">
        <v>1</v>
      </c>
      <c r="AD622" s="8"/>
    </row>
    <row r="623" spans="1:30" x14ac:dyDescent="0.3">
      <c r="A623" t="s">
        <v>1627</v>
      </c>
      <c r="B623">
        <v>1407508</v>
      </c>
      <c r="D623" t="s">
        <v>7</v>
      </c>
      <c r="E623">
        <v>946315</v>
      </c>
      <c r="F623">
        <v>9015884123</v>
      </c>
      <c r="G623">
        <v>330</v>
      </c>
      <c r="H623" t="s">
        <v>1259</v>
      </c>
      <c r="I623">
        <v>0</v>
      </c>
      <c r="J623" t="s">
        <v>1260</v>
      </c>
      <c r="K623" t="s">
        <v>8</v>
      </c>
      <c r="L623" t="s">
        <v>67</v>
      </c>
      <c r="M623" t="s">
        <v>9</v>
      </c>
      <c r="N623" t="s">
        <v>14</v>
      </c>
      <c r="O623" s="2">
        <v>154614.49</v>
      </c>
      <c r="P623" s="3">
        <v>1431.672</v>
      </c>
      <c r="Q623" s="1">
        <v>46033</v>
      </c>
      <c r="R623" s="1">
        <v>45992</v>
      </c>
      <c r="S623" s="1">
        <v>46022</v>
      </c>
      <c r="V623" s="8">
        <v>1</v>
      </c>
      <c r="W623" t="s">
        <v>24</v>
      </c>
      <c r="X623" t="s">
        <v>1261</v>
      </c>
      <c r="Y623" t="s">
        <v>10</v>
      </c>
      <c r="Z623" t="s">
        <v>11</v>
      </c>
      <c r="AA623">
        <v>62371</v>
      </c>
      <c r="AB623">
        <v>19844095</v>
      </c>
      <c r="AC623">
        <v>1</v>
      </c>
      <c r="AD623" s="8"/>
    </row>
    <row r="624" spans="1:30" x14ac:dyDescent="0.3">
      <c r="A624" t="s">
        <v>1627</v>
      </c>
      <c r="B624">
        <v>1407512</v>
      </c>
      <c r="D624" t="s">
        <v>7</v>
      </c>
      <c r="E624">
        <v>946321</v>
      </c>
      <c r="F624">
        <v>9015884123</v>
      </c>
      <c r="G624">
        <v>333</v>
      </c>
      <c r="H624" t="s">
        <v>1262</v>
      </c>
      <c r="I624">
        <v>0</v>
      </c>
      <c r="J624" t="s">
        <v>1263</v>
      </c>
      <c r="K624" t="s">
        <v>8</v>
      </c>
      <c r="L624" t="s">
        <v>67</v>
      </c>
      <c r="M624" t="s">
        <v>9</v>
      </c>
      <c r="N624" t="s">
        <v>14</v>
      </c>
      <c r="O624" s="2">
        <v>56056.75</v>
      </c>
      <c r="P624" s="3">
        <v>393.57</v>
      </c>
      <c r="Q624" s="1">
        <v>46033</v>
      </c>
      <c r="R624" s="1">
        <v>45992</v>
      </c>
      <c r="S624" s="1">
        <v>46022</v>
      </c>
      <c r="V624" s="8">
        <v>1</v>
      </c>
      <c r="W624" t="s">
        <v>24</v>
      </c>
      <c r="X624" t="s">
        <v>1264</v>
      </c>
      <c r="Y624" t="s">
        <v>10</v>
      </c>
      <c r="Z624" t="s">
        <v>11</v>
      </c>
      <c r="AA624">
        <v>62371</v>
      </c>
      <c r="AB624">
        <v>18543225</v>
      </c>
      <c r="AC624">
        <v>0</v>
      </c>
      <c r="AD624" s="8"/>
    </row>
    <row r="625" spans="1:30" x14ac:dyDescent="0.3">
      <c r="A625" t="s">
        <v>1627</v>
      </c>
      <c r="B625">
        <v>1412132</v>
      </c>
      <c r="D625" t="s">
        <v>7</v>
      </c>
      <c r="E625">
        <v>946363</v>
      </c>
      <c r="F625">
        <v>9015884123</v>
      </c>
      <c r="G625">
        <v>354</v>
      </c>
      <c r="H625" t="s">
        <v>436</v>
      </c>
      <c r="I625">
        <v>0</v>
      </c>
      <c r="J625" t="s">
        <v>437</v>
      </c>
      <c r="K625" t="s">
        <v>8</v>
      </c>
      <c r="L625" t="s">
        <v>67</v>
      </c>
      <c r="M625" t="s">
        <v>9</v>
      </c>
      <c r="N625" t="s">
        <v>14</v>
      </c>
      <c r="O625" s="2">
        <v>116302.27</v>
      </c>
      <c r="P625" s="3">
        <v>816.54899999999998</v>
      </c>
      <c r="Q625" s="1">
        <v>46033</v>
      </c>
      <c r="R625" s="1">
        <v>45992</v>
      </c>
      <c r="S625" s="1">
        <v>46022</v>
      </c>
      <c r="V625" s="8">
        <v>1</v>
      </c>
      <c r="W625" t="s">
        <v>24</v>
      </c>
      <c r="X625" t="s">
        <v>438</v>
      </c>
      <c r="Y625" t="s">
        <v>10</v>
      </c>
      <c r="Z625" t="s">
        <v>11</v>
      </c>
      <c r="AA625">
        <v>62371</v>
      </c>
      <c r="AB625">
        <v>19389314</v>
      </c>
      <c r="AC625">
        <v>0</v>
      </c>
      <c r="AD625" s="8"/>
    </row>
    <row r="626" spans="1:30" x14ac:dyDescent="0.3">
      <c r="A626" t="s">
        <v>1627</v>
      </c>
      <c r="B626">
        <v>1412132</v>
      </c>
      <c r="D626" t="s">
        <v>7</v>
      </c>
      <c r="E626">
        <v>946363</v>
      </c>
      <c r="F626">
        <v>9015884123</v>
      </c>
      <c r="G626">
        <v>354</v>
      </c>
      <c r="H626" t="s">
        <v>436</v>
      </c>
      <c r="I626">
        <v>0</v>
      </c>
      <c r="J626" t="s">
        <v>437</v>
      </c>
      <c r="K626" t="s">
        <v>8</v>
      </c>
      <c r="L626" t="s">
        <v>18</v>
      </c>
      <c r="M626" t="s">
        <v>9</v>
      </c>
      <c r="N626" t="s">
        <v>14</v>
      </c>
      <c r="O626" s="2">
        <v>-1.92</v>
      </c>
      <c r="P626" s="3">
        <v>0</v>
      </c>
      <c r="Q626" s="1">
        <v>46033</v>
      </c>
      <c r="R626" s="1">
        <v>45992</v>
      </c>
      <c r="S626" s="1">
        <v>46022</v>
      </c>
      <c r="V626" s="8">
        <v>1</v>
      </c>
      <c r="W626" t="s">
        <v>24</v>
      </c>
      <c r="X626" t="s">
        <v>438</v>
      </c>
      <c r="Y626" t="s">
        <v>10</v>
      </c>
      <c r="Z626" t="s">
        <v>11</v>
      </c>
      <c r="AA626">
        <v>62371</v>
      </c>
      <c r="AB626">
        <v>19389314</v>
      </c>
      <c r="AC626">
        <v>0</v>
      </c>
      <c r="AD626" s="8"/>
    </row>
    <row r="627" spans="1:30" x14ac:dyDescent="0.3">
      <c r="A627" t="s">
        <v>1627</v>
      </c>
      <c r="B627">
        <v>1412641</v>
      </c>
      <c r="D627" t="s">
        <v>7</v>
      </c>
      <c r="E627">
        <v>946398</v>
      </c>
      <c r="F627">
        <v>9015884123</v>
      </c>
      <c r="G627">
        <v>373</v>
      </c>
      <c r="H627" t="s">
        <v>451</v>
      </c>
      <c r="I627">
        <v>0</v>
      </c>
      <c r="J627" t="s">
        <v>452</v>
      </c>
      <c r="K627" t="s">
        <v>8</v>
      </c>
      <c r="L627" t="s">
        <v>19</v>
      </c>
      <c r="M627" t="s">
        <v>9</v>
      </c>
      <c r="N627" t="s">
        <v>14</v>
      </c>
      <c r="O627" s="2">
        <v>25920.09</v>
      </c>
      <c r="P627" s="3">
        <v>131.18</v>
      </c>
      <c r="Q627" s="1">
        <v>46033</v>
      </c>
      <c r="R627" s="1">
        <v>45992</v>
      </c>
      <c r="S627" s="1">
        <v>46022</v>
      </c>
      <c r="V627" s="8">
        <v>1</v>
      </c>
      <c r="W627" t="s">
        <v>24</v>
      </c>
      <c r="X627" t="s">
        <v>453</v>
      </c>
      <c r="Y627" t="s">
        <v>10</v>
      </c>
      <c r="Z627" t="s">
        <v>11</v>
      </c>
      <c r="AA627">
        <v>62371</v>
      </c>
      <c r="AB627">
        <v>21238147</v>
      </c>
      <c r="AC627">
        <v>0</v>
      </c>
      <c r="AD627" s="8"/>
    </row>
    <row r="628" spans="1:30" x14ac:dyDescent="0.3">
      <c r="A628" t="s">
        <v>1627</v>
      </c>
      <c r="B628">
        <v>1413688</v>
      </c>
      <c r="D628" t="s">
        <v>7</v>
      </c>
      <c r="E628">
        <v>946427</v>
      </c>
      <c r="F628">
        <v>9015884123</v>
      </c>
      <c r="G628">
        <v>382</v>
      </c>
      <c r="H628" t="s">
        <v>1265</v>
      </c>
      <c r="I628">
        <v>0</v>
      </c>
      <c r="J628" t="s">
        <v>1266</v>
      </c>
      <c r="K628" t="s">
        <v>8</v>
      </c>
      <c r="L628" t="s">
        <v>67</v>
      </c>
      <c r="M628" t="s">
        <v>9</v>
      </c>
      <c r="N628" t="s">
        <v>14</v>
      </c>
      <c r="O628" s="2">
        <v>2768332.84</v>
      </c>
      <c r="P628" s="3">
        <v>33692.730000000003</v>
      </c>
      <c r="Q628" s="1">
        <v>46033</v>
      </c>
      <c r="R628" s="1">
        <v>45992</v>
      </c>
      <c r="S628" s="1">
        <v>46022</v>
      </c>
      <c r="V628" s="8">
        <v>2</v>
      </c>
      <c r="W628" t="s">
        <v>24</v>
      </c>
      <c r="X628" t="s">
        <v>1267</v>
      </c>
      <c r="Y628" t="s">
        <v>10</v>
      </c>
      <c r="Z628" t="s">
        <v>11</v>
      </c>
      <c r="AA628">
        <v>62371</v>
      </c>
      <c r="AB628">
        <v>17185784</v>
      </c>
      <c r="AC628">
        <v>1</v>
      </c>
      <c r="AD628" s="8"/>
    </row>
    <row r="629" spans="1:30" x14ac:dyDescent="0.3">
      <c r="A629" t="s">
        <v>1627</v>
      </c>
      <c r="B629">
        <v>1412141</v>
      </c>
      <c r="D629" t="s">
        <v>7</v>
      </c>
      <c r="E629">
        <v>946388</v>
      </c>
      <c r="F629">
        <v>9015884123</v>
      </c>
      <c r="G629">
        <v>368</v>
      </c>
      <c r="H629" t="s">
        <v>919</v>
      </c>
      <c r="I629">
        <v>0</v>
      </c>
      <c r="J629" t="s">
        <v>920</v>
      </c>
      <c r="K629" t="s">
        <v>8</v>
      </c>
      <c r="L629" t="s">
        <v>15</v>
      </c>
      <c r="M629" t="s">
        <v>9</v>
      </c>
      <c r="N629" t="s">
        <v>14</v>
      </c>
      <c r="O629" s="2">
        <v>0</v>
      </c>
      <c r="P629" s="3">
        <v>31177.300999999999</v>
      </c>
      <c r="Q629" s="1">
        <v>46033</v>
      </c>
      <c r="R629" s="1">
        <v>45992</v>
      </c>
      <c r="S629" s="1">
        <v>46022</v>
      </c>
      <c r="V629" s="8">
        <v>1</v>
      </c>
      <c r="W629" t="s">
        <v>24</v>
      </c>
      <c r="X629" t="s">
        <v>921</v>
      </c>
      <c r="Y629" t="s">
        <v>10</v>
      </c>
      <c r="Z629" t="s">
        <v>11</v>
      </c>
      <c r="AA629">
        <v>62371</v>
      </c>
      <c r="AB629">
        <v>18664152</v>
      </c>
      <c r="AC629">
        <v>0</v>
      </c>
      <c r="AD629" s="8"/>
    </row>
    <row r="630" spans="1:30" x14ac:dyDescent="0.3">
      <c r="A630" t="s">
        <v>1627</v>
      </c>
      <c r="B630">
        <v>1412141</v>
      </c>
      <c r="D630" t="s">
        <v>7</v>
      </c>
      <c r="E630">
        <v>946388</v>
      </c>
      <c r="F630">
        <v>9015884123</v>
      </c>
      <c r="G630">
        <v>368</v>
      </c>
      <c r="H630" t="s">
        <v>919</v>
      </c>
      <c r="I630">
        <v>0</v>
      </c>
      <c r="J630" t="s">
        <v>920</v>
      </c>
      <c r="K630" t="s">
        <v>8</v>
      </c>
      <c r="L630" t="s">
        <v>67</v>
      </c>
      <c r="M630" t="s">
        <v>9</v>
      </c>
      <c r="N630" t="s">
        <v>14</v>
      </c>
      <c r="O630" s="2">
        <v>4440628.5</v>
      </c>
      <c r="P630" s="3">
        <v>31177.300999999999</v>
      </c>
      <c r="Q630" s="1">
        <v>46033</v>
      </c>
      <c r="R630" s="1">
        <v>45992</v>
      </c>
      <c r="S630" s="1">
        <v>46022</v>
      </c>
      <c r="V630" s="8">
        <v>1</v>
      </c>
      <c r="W630" t="s">
        <v>24</v>
      </c>
      <c r="X630" t="s">
        <v>921</v>
      </c>
      <c r="Y630" t="s">
        <v>10</v>
      </c>
      <c r="Z630" t="s">
        <v>11</v>
      </c>
      <c r="AA630">
        <v>62371</v>
      </c>
      <c r="AB630">
        <v>18664152</v>
      </c>
      <c r="AC630">
        <v>0</v>
      </c>
      <c r="AD630" s="8"/>
    </row>
    <row r="631" spans="1:30" x14ac:dyDescent="0.3">
      <c r="A631" t="s">
        <v>1627</v>
      </c>
      <c r="B631">
        <v>1412680</v>
      </c>
      <c r="D631" t="s">
        <v>7</v>
      </c>
      <c r="E631">
        <v>946421</v>
      </c>
      <c r="F631">
        <v>9015884123</v>
      </c>
      <c r="G631">
        <v>380</v>
      </c>
      <c r="H631" t="s">
        <v>1268</v>
      </c>
      <c r="I631">
        <v>0</v>
      </c>
      <c r="J631" t="s">
        <v>1269</v>
      </c>
      <c r="K631" t="s">
        <v>8</v>
      </c>
      <c r="L631" t="s">
        <v>67</v>
      </c>
      <c r="M631" t="s">
        <v>9</v>
      </c>
      <c r="N631" t="s">
        <v>14</v>
      </c>
      <c r="O631" s="2">
        <v>471665.06</v>
      </c>
      <c r="P631" s="3">
        <v>3311.5230000000001</v>
      </c>
      <c r="Q631" s="1">
        <v>46033</v>
      </c>
      <c r="R631" s="1">
        <v>45992</v>
      </c>
      <c r="S631" s="1">
        <v>46022</v>
      </c>
      <c r="V631" s="8">
        <v>1</v>
      </c>
      <c r="W631" t="s">
        <v>24</v>
      </c>
      <c r="X631" t="s">
        <v>1270</v>
      </c>
      <c r="Y631" t="s">
        <v>10</v>
      </c>
      <c r="Z631" t="s">
        <v>11</v>
      </c>
      <c r="AA631">
        <v>62371</v>
      </c>
      <c r="AB631">
        <v>17055396</v>
      </c>
      <c r="AC631">
        <v>0</v>
      </c>
      <c r="AD631" s="8"/>
    </row>
    <row r="632" spans="1:30" x14ac:dyDescent="0.3">
      <c r="A632" t="s">
        <v>1627</v>
      </c>
      <c r="B632">
        <v>1415545</v>
      </c>
      <c r="D632" t="s">
        <v>7</v>
      </c>
      <c r="E632">
        <v>946446</v>
      </c>
      <c r="F632">
        <v>9015884123</v>
      </c>
      <c r="G632">
        <v>388</v>
      </c>
      <c r="H632" t="s">
        <v>1271</v>
      </c>
      <c r="I632">
        <v>0</v>
      </c>
      <c r="J632" t="s">
        <v>1272</v>
      </c>
      <c r="K632" t="s">
        <v>8</v>
      </c>
      <c r="L632" t="s">
        <v>15</v>
      </c>
      <c r="M632" t="s">
        <v>9</v>
      </c>
      <c r="N632" t="s">
        <v>14</v>
      </c>
      <c r="O632" s="2">
        <v>0</v>
      </c>
      <c r="P632" s="3">
        <v>35786.788999999997</v>
      </c>
      <c r="Q632" s="1">
        <v>46033</v>
      </c>
      <c r="R632" s="1">
        <v>45992</v>
      </c>
      <c r="S632" s="1">
        <v>46022</v>
      </c>
      <c r="V632" s="8">
        <v>2</v>
      </c>
      <c r="W632" t="s">
        <v>24</v>
      </c>
      <c r="X632" t="s">
        <v>1273</v>
      </c>
      <c r="Y632" t="s">
        <v>10</v>
      </c>
      <c r="Z632" t="s">
        <v>11</v>
      </c>
      <c r="AA632">
        <v>62371</v>
      </c>
      <c r="AB632">
        <v>20035766</v>
      </c>
      <c r="AC632">
        <v>1</v>
      </c>
      <c r="AD632" s="8"/>
    </row>
    <row r="633" spans="1:30" x14ac:dyDescent="0.3">
      <c r="A633" t="s">
        <v>1627</v>
      </c>
      <c r="B633">
        <v>1415509</v>
      </c>
      <c r="D633" t="s">
        <v>7</v>
      </c>
      <c r="E633">
        <v>946509</v>
      </c>
      <c r="F633">
        <v>9015884123</v>
      </c>
      <c r="G633">
        <v>408</v>
      </c>
      <c r="H633" t="s">
        <v>916</v>
      </c>
      <c r="I633">
        <v>0</v>
      </c>
      <c r="J633" t="s">
        <v>917</v>
      </c>
      <c r="K633" t="s">
        <v>8</v>
      </c>
      <c r="L633" t="s">
        <v>15</v>
      </c>
      <c r="M633" t="s">
        <v>9</v>
      </c>
      <c r="N633" t="s">
        <v>14</v>
      </c>
      <c r="O633" s="2">
        <v>0</v>
      </c>
      <c r="P633" s="3">
        <v>572.83000000000004</v>
      </c>
      <c r="Q633" s="1">
        <v>46033</v>
      </c>
      <c r="R633" s="1">
        <v>45992</v>
      </c>
      <c r="S633" s="1">
        <v>46022</v>
      </c>
      <c r="V633" s="8">
        <v>1</v>
      </c>
      <c r="W633" t="s">
        <v>24</v>
      </c>
      <c r="X633" t="s">
        <v>918</v>
      </c>
      <c r="Y633" t="s">
        <v>10</v>
      </c>
      <c r="Z633" t="s">
        <v>11</v>
      </c>
      <c r="AA633">
        <v>62371</v>
      </c>
      <c r="AB633">
        <v>21493271</v>
      </c>
      <c r="AC633">
        <v>1</v>
      </c>
      <c r="AD633" s="8"/>
    </row>
    <row r="634" spans="1:30" x14ac:dyDescent="0.3">
      <c r="A634" t="s">
        <v>1627</v>
      </c>
      <c r="B634">
        <v>1412643</v>
      </c>
      <c r="D634" t="s">
        <v>7</v>
      </c>
      <c r="E634">
        <v>946402</v>
      </c>
      <c r="F634">
        <v>9015884123</v>
      </c>
      <c r="G634">
        <v>374</v>
      </c>
      <c r="H634" t="s">
        <v>1274</v>
      </c>
      <c r="I634">
        <v>0</v>
      </c>
      <c r="J634" t="s">
        <v>1275</v>
      </c>
      <c r="K634" t="s">
        <v>8</v>
      </c>
      <c r="L634" t="s">
        <v>15</v>
      </c>
      <c r="M634" t="s">
        <v>9</v>
      </c>
      <c r="N634" t="s">
        <v>14</v>
      </c>
      <c r="O634" s="2">
        <v>0</v>
      </c>
      <c r="P634" s="3">
        <v>0</v>
      </c>
      <c r="Q634" s="1">
        <v>46033</v>
      </c>
      <c r="R634" s="1">
        <v>45992</v>
      </c>
      <c r="S634" s="1">
        <v>46022</v>
      </c>
      <c r="V634" s="8">
        <v>1</v>
      </c>
      <c r="W634" t="s">
        <v>24</v>
      </c>
      <c r="X634" t="s">
        <v>1276</v>
      </c>
      <c r="Y634" t="s">
        <v>10</v>
      </c>
      <c r="Z634" t="s">
        <v>11</v>
      </c>
      <c r="AA634">
        <v>62371</v>
      </c>
      <c r="AB634">
        <v>21240554</v>
      </c>
      <c r="AC634">
        <v>0</v>
      </c>
      <c r="AD634" s="8"/>
    </row>
    <row r="635" spans="1:30" x14ac:dyDescent="0.3">
      <c r="A635" t="s">
        <v>1627</v>
      </c>
      <c r="B635">
        <v>1413688</v>
      </c>
      <c r="D635" t="s">
        <v>7</v>
      </c>
      <c r="E635">
        <v>946427</v>
      </c>
      <c r="F635">
        <v>9015884123</v>
      </c>
      <c r="G635">
        <v>382</v>
      </c>
      <c r="H635" t="s">
        <v>1265</v>
      </c>
      <c r="I635">
        <v>0</v>
      </c>
      <c r="J635" t="s">
        <v>1266</v>
      </c>
      <c r="K635" t="s">
        <v>8</v>
      </c>
      <c r="L635" t="s">
        <v>18</v>
      </c>
      <c r="M635" t="s">
        <v>9</v>
      </c>
      <c r="N635" t="s">
        <v>14</v>
      </c>
      <c r="O635" s="2">
        <v>-2.84</v>
      </c>
      <c r="P635" s="3">
        <v>0</v>
      </c>
      <c r="Q635" s="1">
        <v>46033</v>
      </c>
      <c r="R635" s="1">
        <v>45992</v>
      </c>
      <c r="S635" s="1">
        <v>46022</v>
      </c>
      <c r="V635" s="8">
        <v>2</v>
      </c>
      <c r="W635" t="s">
        <v>24</v>
      </c>
      <c r="X635" t="s">
        <v>1267</v>
      </c>
      <c r="Y635" t="s">
        <v>10</v>
      </c>
      <c r="Z635" t="s">
        <v>11</v>
      </c>
      <c r="AA635">
        <v>62371</v>
      </c>
      <c r="AB635">
        <v>17185784</v>
      </c>
      <c r="AC635">
        <v>1</v>
      </c>
      <c r="AD635" s="8"/>
    </row>
    <row r="636" spans="1:30" x14ac:dyDescent="0.3">
      <c r="A636" t="s">
        <v>1627</v>
      </c>
      <c r="B636">
        <v>1415527</v>
      </c>
      <c r="D636" t="s">
        <v>7</v>
      </c>
      <c r="E636">
        <v>946518</v>
      </c>
      <c r="F636">
        <v>9015884123</v>
      </c>
      <c r="G636">
        <v>411</v>
      </c>
      <c r="H636" t="s">
        <v>1277</v>
      </c>
      <c r="I636">
        <v>0</v>
      </c>
      <c r="J636" t="s">
        <v>1278</v>
      </c>
      <c r="K636" t="s">
        <v>8</v>
      </c>
      <c r="L636" t="s">
        <v>67</v>
      </c>
      <c r="M636" t="s">
        <v>9</v>
      </c>
      <c r="N636" t="s">
        <v>14</v>
      </c>
      <c r="O636" s="2">
        <v>157980.93</v>
      </c>
      <c r="P636" s="3">
        <v>1462.8440000000001</v>
      </c>
      <c r="Q636" s="1">
        <v>46033</v>
      </c>
      <c r="R636" s="1">
        <v>45992</v>
      </c>
      <c r="S636" s="1">
        <v>46022</v>
      </c>
      <c r="V636" s="8">
        <v>1</v>
      </c>
      <c r="W636" t="s">
        <v>24</v>
      </c>
      <c r="X636" t="s">
        <v>1279</v>
      </c>
      <c r="Y636" t="s">
        <v>189</v>
      </c>
      <c r="Z636" t="s">
        <v>11</v>
      </c>
      <c r="AA636">
        <v>62371</v>
      </c>
      <c r="AB636">
        <v>21145462</v>
      </c>
      <c r="AC636">
        <v>1</v>
      </c>
      <c r="AD636" s="8"/>
    </row>
    <row r="637" spans="1:30" x14ac:dyDescent="0.3">
      <c r="A637" t="s">
        <v>1627</v>
      </c>
      <c r="B637">
        <v>1415527</v>
      </c>
      <c r="D637" t="s">
        <v>7</v>
      </c>
      <c r="E637">
        <v>946518</v>
      </c>
      <c r="F637">
        <v>9015884123</v>
      </c>
      <c r="G637">
        <v>411</v>
      </c>
      <c r="H637" t="s">
        <v>1277</v>
      </c>
      <c r="I637">
        <v>0</v>
      </c>
      <c r="J637" t="s">
        <v>1278</v>
      </c>
      <c r="K637" t="s">
        <v>8</v>
      </c>
      <c r="L637" t="s">
        <v>19</v>
      </c>
      <c r="M637" t="s">
        <v>9</v>
      </c>
      <c r="N637" t="s">
        <v>14</v>
      </c>
      <c r="O637" s="2">
        <v>35291.96</v>
      </c>
      <c r="P637" s="3">
        <v>216.30799999999999</v>
      </c>
      <c r="Q637" s="1">
        <v>46033</v>
      </c>
      <c r="R637" s="1">
        <v>45992</v>
      </c>
      <c r="S637" s="1">
        <v>46022</v>
      </c>
      <c r="V637" s="8">
        <v>1</v>
      </c>
      <c r="W637" t="s">
        <v>24</v>
      </c>
      <c r="X637" t="s">
        <v>1279</v>
      </c>
      <c r="Y637" t="s">
        <v>189</v>
      </c>
      <c r="Z637" t="s">
        <v>11</v>
      </c>
      <c r="AA637">
        <v>62371</v>
      </c>
      <c r="AB637">
        <v>21145462</v>
      </c>
      <c r="AC637">
        <v>1</v>
      </c>
      <c r="AD637" s="8"/>
    </row>
    <row r="638" spans="1:30" x14ac:dyDescent="0.3">
      <c r="A638" t="s">
        <v>1627</v>
      </c>
      <c r="B638">
        <v>1415526</v>
      </c>
      <c r="D638" t="s">
        <v>7</v>
      </c>
      <c r="E638">
        <v>946515</v>
      </c>
      <c r="F638">
        <v>9015884123</v>
      </c>
      <c r="G638">
        <v>410</v>
      </c>
      <c r="H638" t="s">
        <v>922</v>
      </c>
      <c r="I638">
        <v>0</v>
      </c>
      <c r="J638" t="s">
        <v>923</v>
      </c>
      <c r="K638" t="s">
        <v>8</v>
      </c>
      <c r="L638" t="s">
        <v>18</v>
      </c>
      <c r="M638" t="s">
        <v>9</v>
      </c>
      <c r="N638" t="s">
        <v>14</v>
      </c>
      <c r="O638" s="2">
        <v>2.82</v>
      </c>
      <c r="P638" s="3">
        <v>0</v>
      </c>
      <c r="Q638" s="1">
        <v>46033</v>
      </c>
      <c r="R638" s="1">
        <v>45992</v>
      </c>
      <c r="S638" s="1">
        <v>46022</v>
      </c>
      <c r="V638" s="8">
        <v>1</v>
      </c>
      <c r="W638" t="s">
        <v>24</v>
      </c>
      <c r="X638" t="s">
        <v>924</v>
      </c>
      <c r="Y638" t="s">
        <v>189</v>
      </c>
      <c r="Z638" t="s">
        <v>11</v>
      </c>
      <c r="AA638">
        <v>62371</v>
      </c>
      <c r="AB638">
        <v>21145461</v>
      </c>
      <c r="AC638">
        <v>1</v>
      </c>
      <c r="AD638" s="8"/>
    </row>
    <row r="639" spans="1:30" x14ac:dyDescent="0.3">
      <c r="A639" t="s">
        <v>1627</v>
      </c>
      <c r="B639">
        <v>1415530</v>
      </c>
      <c r="D639" t="s">
        <v>7</v>
      </c>
      <c r="E639">
        <v>946525</v>
      </c>
      <c r="F639">
        <v>9015884123</v>
      </c>
      <c r="G639">
        <v>413</v>
      </c>
      <c r="H639" t="s">
        <v>1280</v>
      </c>
      <c r="I639">
        <v>0</v>
      </c>
      <c r="J639" t="s">
        <v>1281</v>
      </c>
      <c r="K639" t="s">
        <v>8</v>
      </c>
      <c r="L639" t="s">
        <v>19</v>
      </c>
      <c r="M639" t="s">
        <v>9</v>
      </c>
      <c r="N639" t="s">
        <v>14</v>
      </c>
      <c r="O639" s="2">
        <v>215547.11</v>
      </c>
      <c r="P639" s="3">
        <v>1090.8710000000001</v>
      </c>
      <c r="Q639" s="1">
        <v>46033</v>
      </c>
      <c r="R639" s="1">
        <v>45992</v>
      </c>
      <c r="S639" s="1">
        <v>46022</v>
      </c>
      <c r="V639" s="8">
        <v>1</v>
      </c>
      <c r="W639" t="s">
        <v>24</v>
      </c>
      <c r="X639" t="s">
        <v>1282</v>
      </c>
      <c r="Y639" t="s">
        <v>10</v>
      </c>
      <c r="Z639" t="s">
        <v>11</v>
      </c>
      <c r="AA639">
        <v>62371</v>
      </c>
      <c r="AB639">
        <v>19391536</v>
      </c>
      <c r="AC639">
        <v>0</v>
      </c>
      <c r="AD639" s="8"/>
    </row>
    <row r="640" spans="1:30" x14ac:dyDescent="0.3">
      <c r="A640" t="s">
        <v>1627</v>
      </c>
      <c r="B640">
        <v>1418010</v>
      </c>
      <c r="D640" t="s">
        <v>7</v>
      </c>
      <c r="E640">
        <v>946618</v>
      </c>
      <c r="F640">
        <v>9015884123</v>
      </c>
      <c r="G640">
        <v>441</v>
      </c>
      <c r="H640" t="s">
        <v>463</v>
      </c>
      <c r="I640">
        <v>0</v>
      </c>
      <c r="J640" t="s">
        <v>464</v>
      </c>
      <c r="K640" t="s">
        <v>8</v>
      </c>
      <c r="L640" t="s">
        <v>15</v>
      </c>
      <c r="M640" t="s">
        <v>9</v>
      </c>
      <c r="N640" t="s">
        <v>14</v>
      </c>
      <c r="O640" s="2">
        <v>0</v>
      </c>
      <c r="P640" s="3">
        <v>1521.9929999999999</v>
      </c>
      <c r="Q640" s="1">
        <v>46033</v>
      </c>
      <c r="R640" s="1">
        <v>45992</v>
      </c>
      <c r="S640" s="1">
        <v>46022</v>
      </c>
      <c r="V640" s="8">
        <v>1</v>
      </c>
      <c r="W640" t="s">
        <v>24</v>
      </c>
      <c r="X640" t="s">
        <v>465</v>
      </c>
      <c r="Y640" t="s">
        <v>10</v>
      </c>
      <c r="Z640" t="s">
        <v>11</v>
      </c>
      <c r="AA640">
        <v>62371</v>
      </c>
      <c r="AB640">
        <v>17037607</v>
      </c>
      <c r="AC640">
        <v>1</v>
      </c>
      <c r="AD640" s="8"/>
    </row>
    <row r="641" spans="1:30" x14ac:dyDescent="0.3">
      <c r="A641" t="s">
        <v>1627</v>
      </c>
      <c r="B641">
        <v>1415538</v>
      </c>
      <c r="D641" t="s">
        <v>7</v>
      </c>
      <c r="E641">
        <v>946547</v>
      </c>
      <c r="F641">
        <v>9015884123</v>
      </c>
      <c r="G641">
        <v>419</v>
      </c>
      <c r="H641" t="s">
        <v>931</v>
      </c>
      <c r="I641">
        <v>0</v>
      </c>
      <c r="J641" t="s">
        <v>932</v>
      </c>
      <c r="K641" t="s">
        <v>8</v>
      </c>
      <c r="L641" t="s">
        <v>67</v>
      </c>
      <c r="M641" t="s">
        <v>9</v>
      </c>
      <c r="N641" t="s">
        <v>14</v>
      </c>
      <c r="O641" s="2">
        <v>2115699.36</v>
      </c>
      <c r="P641" s="3">
        <v>25749.681</v>
      </c>
      <c r="Q641" s="1">
        <v>46033</v>
      </c>
      <c r="R641" s="1">
        <v>45992</v>
      </c>
      <c r="S641" s="1">
        <v>46022</v>
      </c>
      <c r="V641" s="8">
        <v>2</v>
      </c>
      <c r="W641" t="s">
        <v>24</v>
      </c>
      <c r="X641" t="s">
        <v>933</v>
      </c>
      <c r="Y641" t="s">
        <v>10</v>
      </c>
      <c r="Z641" t="s">
        <v>11</v>
      </c>
      <c r="AA641">
        <v>62371</v>
      </c>
      <c r="AB641">
        <v>18326236</v>
      </c>
      <c r="AC641">
        <v>1</v>
      </c>
      <c r="AD641" s="8"/>
    </row>
    <row r="642" spans="1:30" x14ac:dyDescent="0.3">
      <c r="A642" t="s">
        <v>1627</v>
      </c>
      <c r="B642">
        <v>1415539</v>
      </c>
      <c r="D642" t="s">
        <v>7</v>
      </c>
      <c r="E642">
        <v>946557</v>
      </c>
      <c r="F642">
        <v>9015884123</v>
      </c>
      <c r="G642">
        <v>422</v>
      </c>
      <c r="H642" t="s">
        <v>925</v>
      </c>
      <c r="I642">
        <v>0</v>
      </c>
      <c r="J642" t="s">
        <v>926</v>
      </c>
      <c r="K642" t="s">
        <v>8</v>
      </c>
      <c r="L642" t="s">
        <v>19</v>
      </c>
      <c r="M642" t="s">
        <v>9</v>
      </c>
      <c r="N642" t="s">
        <v>14</v>
      </c>
      <c r="O642" s="2">
        <v>10331.41</v>
      </c>
      <c r="P642" s="3">
        <v>81.171999999999997</v>
      </c>
      <c r="Q642" s="1">
        <v>46033</v>
      </c>
      <c r="R642" s="1">
        <v>45992</v>
      </c>
      <c r="S642" s="1">
        <v>46022</v>
      </c>
      <c r="V642" s="8">
        <v>2</v>
      </c>
      <c r="W642" t="s">
        <v>24</v>
      </c>
      <c r="X642" t="s">
        <v>927</v>
      </c>
      <c r="Y642" t="s">
        <v>10</v>
      </c>
      <c r="Z642" t="s">
        <v>11</v>
      </c>
      <c r="AA642">
        <v>62371</v>
      </c>
      <c r="AB642">
        <v>21378050</v>
      </c>
      <c r="AC642">
        <v>1</v>
      </c>
      <c r="AD642" s="8"/>
    </row>
    <row r="643" spans="1:30" x14ac:dyDescent="0.3">
      <c r="A643" t="s">
        <v>1627</v>
      </c>
      <c r="B643">
        <v>1418011</v>
      </c>
      <c r="D643" t="s">
        <v>7</v>
      </c>
      <c r="E643">
        <v>946624</v>
      </c>
      <c r="F643">
        <v>9015884123</v>
      </c>
      <c r="G643">
        <v>443</v>
      </c>
      <c r="H643" t="s">
        <v>1283</v>
      </c>
      <c r="I643">
        <v>0</v>
      </c>
      <c r="J643" t="s">
        <v>1284</v>
      </c>
      <c r="K643" t="s">
        <v>8</v>
      </c>
      <c r="L643" t="s">
        <v>18</v>
      </c>
      <c r="M643" t="s">
        <v>9</v>
      </c>
      <c r="N643" t="s">
        <v>14</v>
      </c>
      <c r="O643" s="2">
        <v>3.79</v>
      </c>
      <c r="P643" s="3">
        <v>0</v>
      </c>
      <c r="Q643" s="1">
        <v>46033</v>
      </c>
      <c r="R643" s="1">
        <v>45992</v>
      </c>
      <c r="S643" s="1">
        <v>46022</v>
      </c>
      <c r="V643" s="8">
        <v>1</v>
      </c>
      <c r="W643" t="s">
        <v>24</v>
      </c>
      <c r="X643" t="s">
        <v>1285</v>
      </c>
      <c r="Y643" t="s">
        <v>10</v>
      </c>
      <c r="Z643" t="s">
        <v>11</v>
      </c>
      <c r="AA643">
        <v>62371</v>
      </c>
      <c r="AB643">
        <v>19954294</v>
      </c>
      <c r="AC643">
        <v>1</v>
      </c>
      <c r="AD643" s="8"/>
    </row>
    <row r="644" spans="1:30" x14ac:dyDescent="0.3">
      <c r="A644" t="s">
        <v>1627</v>
      </c>
      <c r="B644">
        <v>1420781</v>
      </c>
      <c r="D644" t="s">
        <v>7</v>
      </c>
      <c r="E644">
        <v>946680</v>
      </c>
      <c r="F644">
        <v>9015884123</v>
      </c>
      <c r="G644">
        <v>462</v>
      </c>
      <c r="H644" t="s">
        <v>1286</v>
      </c>
      <c r="I644">
        <v>0</v>
      </c>
      <c r="J644" t="s">
        <v>1287</v>
      </c>
      <c r="K644" t="s">
        <v>8</v>
      </c>
      <c r="L644" t="s">
        <v>15</v>
      </c>
      <c r="M644" t="s">
        <v>9</v>
      </c>
      <c r="N644" t="s">
        <v>14</v>
      </c>
      <c r="O644" s="2">
        <v>0</v>
      </c>
      <c r="P644" s="3">
        <v>3930.0219999999999</v>
      </c>
      <c r="Q644" s="1">
        <v>46033</v>
      </c>
      <c r="R644" s="1">
        <v>45992</v>
      </c>
      <c r="S644" s="1">
        <v>46022</v>
      </c>
      <c r="V644" s="8">
        <v>1</v>
      </c>
      <c r="W644" t="s">
        <v>24</v>
      </c>
      <c r="X644" t="s">
        <v>1288</v>
      </c>
      <c r="Y644" t="s">
        <v>10</v>
      </c>
      <c r="Z644" t="s">
        <v>11</v>
      </c>
      <c r="AA644">
        <v>62371</v>
      </c>
      <c r="AB644">
        <v>20033949</v>
      </c>
      <c r="AC644">
        <v>0</v>
      </c>
      <c r="AD644" s="8"/>
    </row>
    <row r="645" spans="1:30" x14ac:dyDescent="0.3">
      <c r="A645" t="s">
        <v>1627</v>
      </c>
      <c r="B645">
        <v>1416886</v>
      </c>
      <c r="D645" t="s">
        <v>7</v>
      </c>
      <c r="E645">
        <v>946594</v>
      </c>
      <c r="F645">
        <v>9015884123</v>
      </c>
      <c r="G645">
        <v>433</v>
      </c>
      <c r="H645" t="s">
        <v>1289</v>
      </c>
      <c r="I645">
        <v>0</v>
      </c>
      <c r="J645" t="s">
        <v>1290</v>
      </c>
      <c r="K645" t="s">
        <v>8</v>
      </c>
      <c r="L645" t="s">
        <v>18</v>
      </c>
      <c r="M645" t="s">
        <v>9</v>
      </c>
      <c r="N645" t="s">
        <v>14</v>
      </c>
      <c r="O645" s="2">
        <v>0.23</v>
      </c>
      <c r="P645" s="3">
        <v>0</v>
      </c>
      <c r="Q645" s="1">
        <v>46033</v>
      </c>
      <c r="R645" s="1">
        <v>45992</v>
      </c>
      <c r="S645" s="1">
        <v>46022</v>
      </c>
      <c r="V645" s="8">
        <v>1</v>
      </c>
      <c r="W645" t="s">
        <v>24</v>
      </c>
      <c r="X645" t="s">
        <v>1291</v>
      </c>
      <c r="Y645" t="s">
        <v>10</v>
      </c>
      <c r="Z645" t="s">
        <v>11</v>
      </c>
      <c r="AA645">
        <v>62371</v>
      </c>
      <c r="AB645">
        <v>21493322</v>
      </c>
      <c r="AC645">
        <v>1</v>
      </c>
      <c r="AD645" s="8"/>
    </row>
    <row r="646" spans="1:30" x14ac:dyDescent="0.3">
      <c r="A646" t="s">
        <v>1627</v>
      </c>
      <c r="B646">
        <v>1417112</v>
      </c>
      <c r="D646" t="s">
        <v>7</v>
      </c>
      <c r="E646">
        <v>946602</v>
      </c>
      <c r="F646">
        <v>9015884123</v>
      </c>
      <c r="G646">
        <v>436</v>
      </c>
      <c r="H646" t="s">
        <v>940</v>
      </c>
      <c r="I646">
        <v>0</v>
      </c>
      <c r="J646" t="s">
        <v>941</v>
      </c>
      <c r="K646" t="s">
        <v>8</v>
      </c>
      <c r="L646" t="s">
        <v>15</v>
      </c>
      <c r="M646" t="s">
        <v>9</v>
      </c>
      <c r="N646" t="s">
        <v>14</v>
      </c>
      <c r="O646" s="2">
        <v>0</v>
      </c>
      <c r="P646" s="3">
        <v>6128.0429999999997</v>
      </c>
      <c r="Q646" s="1">
        <v>46033</v>
      </c>
      <c r="R646" s="1">
        <v>45992</v>
      </c>
      <c r="S646" s="1">
        <v>46022</v>
      </c>
      <c r="V646" s="8">
        <v>1</v>
      </c>
      <c r="W646" t="s">
        <v>24</v>
      </c>
      <c r="X646" t="s">
        <v>942</v>
      </c>
      <c r="Y646" t="s">
        <v>10</v>
      </c>
      <c r="Z646" t="s">
        <v>11</v>
      </c>
      <c r="AA646">
        <v>62371</v>
      </c>
      <c r="AB646">
        <v>18631653</v>
      </c>
      <c r="AC646">
        <v>0</v>
      </c>
      <c r="AD646" s="8"/>
    </row>
    <row r="647" spans="1:30" x14ac:dyDescent="0.3">
      <c r="A647" t="s">
        <v>1627</v>
      </c>
      <c r="B647">
        <v>1428526</v>
      </c>
      <c r="D647" t="s">
        <v>7</v>
      </c>
      <c r="E647">
        <v>946797</v>
      </c>
      <c r="F647">
        <v>9015884123</v>
      </c>
      <c r="G647">
        <v>500</v>
      </c>
      <c r="H647" t="s">
        <v>943</v>
      </c>
      <c r="I647">
        <v>0</v>
      </c>
      <c r="J647" t="s">
        <v>944</v>
      </c>
      <c r="K647" t="s">
        <v>8</v>
      </c>
      <c r="L647" t="s">
        <v>67</v>
      </c>
      <c r="M647" t="s">
        <v>9</v>
      </c>
      <c r="N647" t="s">
        <v>14</v>
      </c>
      <c r="O647" s="2">
        <v>250775.96</v>
      </c>
      <c r="P647" s="3">
        <v>2322.0909999999999</v>
      </c>
      <c r="Q647" s="1">
        <v>46033</v>
      </c>
      <c r="R647" s="1">
        <v>45992</v>
      </c>
      <c r="S647" s="1">
        <v>46022</v>
      </c>
      <c r="V647" s="8">
        <v>1</v>
      </c>
      <c r="W647" t="s">
        <v>24</v>
      </c>
      <c r="X647" t="s">
        <v>945</v>
      </c>
      <c r="Y647" t="s">
        <v>10</v>
      </c>
      <c r="Z647" t="s">
        <v>11</v>
      </c>
      <c r="AA647">
        <v>62371</v>
      </c>
      <c r="AB647">
        <v>21376611</v>
      </c>
      <c r="AC647">
        <v>1</v>
      </c>
      <c r="AD647" s="8"/>
    </row>
    <row r="648" spans="1:30" x14ac:dyDescent="0.3">
      <c r="A648" t="s">
        <v>1627</v>
      </c>
      <c r="B648">
        <v>1428433</v>
      </c>
      <c r="D648" t="s">
        <v>7</v>
      </c>
      <c r="E648">
        <v>946747</v>
      </c>
      <c r="F648">
        <v>9015884123</v>
      </c>
      <c r="G648">
        <v>483</v>
      </c>
      <c r="H648" t="s">
        <v>478</v>
      </c>
      <c r="I648">
        <v>0</v>
      </c>
      <c r="J648" t="s">
        <v>479</v>
      </c>
      <c r="K648" t="s">
        <v>8</v>
      </c>
      <c r="L648" t="s">
        <v>15</v>
      </c>
      <c r="M648" t="s">
        <v>9</v>
      </c>
      <c r="N648" t="s">
        <v>14</v>
      </c>
      <c r="O648" s="2">
        <v>0</v>
      </c>
      <c r="P648" s="3">
        <v>2395.1120000000001</v>
      </c>
      <c r="Q648" s="1">
        <v>46033</v>
      </c>
      <c r="R648" s="1">
        <v>45992</v>
      </c>
      <c r="S648" s="1">
        <v>46022</v>
      </c>
      <c r="V648" s="8">
        <v>1</v>
      </c>
      <c r="W648" t="s">
        <v>24</v>
      </c>
      <c r="X648" t="s">
        <v>480</v>
      </c>
      <c r="Y648" t="s">
        <v>10</v>
      </c>
      <c r="Z648" t="s">
        <v>11</v>
      </c>
      <c r="AA648">
        <v>62371</v>
      </c>
      <c r="AB648">
        <v>21491300</v>
      </c>
      <c r="AC648">
        <v>1</v>
      </c>
      <c r="AD648" s="8"/>
    </row>
    <row r="649" spans="1:30" x14ac:dyDescent="0.3">
      <c r="A649" t="s">
        <v>1627</v>
      </c>
      <c r="B649">
        <v>1428415</v>
      </c>
      <c r="D649" t="s">
        <v>7</v>
      </c>
      <c r="E649">
        <v>946762</v>
      </c>
      <c r="F649">
        <v>9015884123</v>
      </c>
      <c r="G649">
        <v>488</v>
      </c>
      <c r="H649" t="s">
        <v>499</v>
      </c>
      <c r="I649">
        <v>0</v>
      </c>
      <c r="J649" t="s">
        <v>500</v>
      </c>
      <c r="K649" t="s">
        <v>8</v>
      </c>
      <c r="L649" t="s">
        <v>19</v>
      </c>
      <c r="M649" t="s">
        <v>9</v>
      </c>
      <c r="N649" t="s">
        <v>14</v>
      </c>
      <c r="O649" s="2">
        <v>5364.9</v>
      </c>
      <c r="P649" s="3">
        <v>32.881999999999998</v>
      </c>
      <c r="Q649" s="1">
        <v>46033</v>
      </c>
      <c r="R649" s="1">
        <v>45992</v>
      </c>
      <c r="S649" s="1">
        <v>46022</v>
      </c>
      <c r="V649" s="8">
        <v>1</v>
      </c>
      <c r="W649" t="s">
        <v>24</v>
      </c>
      <c r="X649" t="s">
        <v>501</v>
      </c>
      <c r="Y649" t="s">
        <v>10</v>
      </c>
      <c r="Z649" t="s">
        <v>11</v>
      </c>
      <c r="AA649">
        <v>62371</v>
      </c>
      <c r="AB649">
        <v>21376432</v>
      </c>
      <c r="AC649">
        <v>1</v>
      </c>
      <c r="AD649" s="8"/>
    </row>
    <row r="650" spans="1:30" x14ac:dyDescent="0.3">
      <c r="A650" t="s">
        <v>1627</v>
      </c>
      <c r="B650">
        <v>1425189</v>
      </c>
      <c r="D650" t="s">
        <v>7</v>
      </c>
      <c r="E650">
        <v>946708</v>
      </c>
      <c r="F650">
        <v>9015884123</v>
      </c>
      <c r="G650">
        <v>470</v>
      </c>
      <c r="H650" t="s">
        <v>949</v>
      </c>
      <c r="I650">
        <v>0</v>
      </c>
      <c r="J650" t="s">
        <v>950</v>
      </c>
      <c r="K650" t="s">
        <v>8</v>
      </c>
      <c r="L650" t="s">
        <v>15</v>
      </c>
      <c r="M650" t="s">
        <v>9</v>
      </c>
      <c r="N650" t="s">
        <v>14</v>
      </c>
      <c r="O650" s="2">
        <v>0</v>
      </c>
      <c r="P650" s="3">
        <v>464.77199999999999</v>
      </c>
      <c r="Q650" s="1">
        <v>46033</v>
      </c>
      <c r="R650" s="1">
        <v>45992</v>
      </c>
      <c r="S650" s="1">
        <v>46022</v>
      </c>
      <c r="V650" s="8">
        <v>1</v>
      </c>
      <c r="W650" t="s">
        <v>24</v>
      </c>
      <c r="X650" t="s">
        <v>951</v>
      </c>
      <c r="Y650" t="s">
        <v>10</v>
      </c>
      <c r="Z650" t="s">
        <v>11</v>
      </c>
      <c r="AA650">
        <v>62371</v>
      </c>
      <c r="AB650">
        <v>21376635</v>
      </c>
      <c r="AC650">
        <v>1</v>
      </c>
      <c r="AD650" s="8"/>
    </row>
    <row r="651" spans="1:30" x14ac:dyDescent="0.3">
      <c r="A651" t="s">
        <v>1627</v>
      </c>
      <c r="B651">
        <v>1425190</v>
      </c>
      <c r="D651" t="s">
        <v>7</v>
      </c>
      <c r="E651">
        <v>946712</v>
      </c>
      <c r="F651">
        <v>9015884123</v>
      </c>
      <c r="G651">
        <v>471</v>
      </c>
      <c r="H651" t="s">
        <v>1292</v>
      </c>
      <c r="I651">
        <v>0</v>
      </c>
      <c r="J651" t="s">
        <v>1293</v>
      </c>
      <c r="K651" t="s">
        <v>8</v>
      </c>
      <c r="L651" t="s">
        <v>19</v>
      </c>
      <c r="M651" t="s">
        <v>9</v>
      </c>
      <c r="N651" t="s">
        <v>14</v>
      </c>
      <c r="O651" s="2">
        <v>4750.45</v>
      </c>
      <c r="P651" s="3">
        <v>29.116</v>
      </c>
      <c r="Q651" s="1">
        <v>46033</v>
      </c>
      <c r="R651" s="1">
        <v>45992</v>
      </c>
      <c r="S651" s="1">
        <v>46022</v>
      </c>
      <c r="V651" s="8">
        <v>1</v>
      </c>
      <c r="W651" t="s">
        <v>24</v>
      </c>
      <c r="X651" t="s">
        <v>1294</v>
      </c>
      <c r="Y651" t="s">
        <v>10</v>
      </c>
      <c r="Z651" t="s">
        <v>11</v>
      </c>
      <c r="AA651">
        <v>62371</v>
      </c>
      <c r="AB651">
        <v>18930907</v>
      </c>
      <c r="AC651">
        <v>1</v>
      </c>
      <c r="AD651" s="8"/>
    </row>
    <row r="652" spans="1:30" x14ac:dyDescent="0.3">
      <c r="A652" t="s">
        <v>1627</v>
      </c>
      <c r="B652">
        <v>1428404</v>
      </c>
      <c r="D652" t="s">
        <v>7</v>
      </c>
      <c r="E652">
        <v>946732</v>
      </c>
      <c r="F652">
        <v>9015884123</v>
      </c>
      <c r="G652">
        <v>478</v>
      </c>
      <c r="H652" t="s">
        <v>955</v>
      </c>
      <c r="I652">
        <v>0</v>
      </c>
      <c r="J652" t="s">
        <v>956</v>
      </c>
      <c r="K652" t="s">
        <v>8</v>
      </c>
      <c r="L652" t="s">
        <v>18</v>
      </c>
      <c r="M652" t="s">
        <v>9</v>
      </c>
      <c r="N652" t="s">
        <v>14</v>
      </c>
      <c r="O652" s="2">
        <v>-3.14</v>
      </c>
      <c r="P652" s="3">
        <v>0</v>
      </c>
      <c r="Q652" s="1">
        <v>46033</v>
      </c>
      <c r="R652" s="1">
        <v>45992</v>
      </c>
      <c r="S652" s="1">
        <v>46022</v>
      </c>
      <c r="V652" s="8">
        <v>1</v>
      </c>
      <c r="W652" t="s">
        <v>24</v>
      </c>
      <c r="X652" t="s">
        <v>957</v>
      </c>
      <c r="Y652" t="s">
        <v>10</v>
      </c>
      <c r="Z652" t="s">
        <v>11</v>
      </c>
      <c r="AA652">
        <v>62371</v>
      </c>
      <c r="AB652">
        <v>21376438</v>
      </c>
      <c r="AC652">
        <v>1</v>
      </c>
      <c r="AD652" s="8"/>
    </row>
    <row r="653" spans="1:30" x14ac:dyDescent="0.3">
      <c r="A653" t="s">
        <v>1627</v>
      </c>
      <c r="B653">
        <v>1428407</v>
      </c>
      <c r="D653" t="s">
        <v>7</v>
      </c>
      <c r="E653">
        <v>946750</v>
      </c>
      <c r="F653">
        <v>9015884123</v>
      </c>
      <c r="G653">
        <v>484</v>
      </c>
      <c r="H653" t="s">
        <v>1295</v>
      </c>
      <c r="I653">
        <v>0</v>
      </c>
      <c r="J653" t="s">
        <v>1296</v>
      </c>
      <c r="K653" t="s">
        <v>8</v>
      </c>
      <c r="L653" t="s">
        <v>18</v>
      </c>
      <c r="M653" t="s">
        <v>9</v>
      </c>
      <c r="N653" t="s">
        <v>14</v>
      </c>
      <c r="O653" s="2">
        <v>2.35</v>
      </c>
      <c r="P653" s="3">
        <v>0</v>
      </c>
      <c r="Q653" s="1">
        <v>46033</v>
      </c>
      <c r="R653" s="1">
        <v>45992</v>
      </c>
      <c r="S653" s="1">
        <v>46022</v>
      </c>
      <c r="V653" s="8">
        <v>1</v>
      </c>
      <c r="W653" t="s">
        <v>24</v>
      </c>
      <c r="X653" t="s">
        <v>1297</v>
      </c>
      <c r="Y653" t="s">
        <v>10</v>
      </c>
      <c r="Z653" t="s">
        <v>11</v>
      </c>
      <c r="AA653">
        <v>62371</v>
      </c>
      <c r="AB653">
        <v>21376402</v>
      </c>
      <c r="AC653">
        <v>1</v>
      </c>
      <c r="AD653" s="8"/>
    </row>
    <row r="654" spans="1:30" x14ac:dyDescent="0.3">
      <c r="A654" t="s">
        <v>1627</v>
      </c>
      <c r="B654">
        <v>1438069</v>
      </c>
      <c r="D654" t="s">
        <v>7</v>
      </c>
      <c r="E654">
        <v>946828</v>
      </c>
      <c r="F654">
        <v>9015884123</v>
      </c>
      <c r="G654">
        <v>510</v>
      </c>
      <c r="H654" t="s">
        <v>508</v>
      </c>
      <c r="I654">
        <v>0</v>
      </c>
      <c r="J654" t="s">
        <v>509</v>
      </c>
      <c r="K654" t="s">
        <v>8</v>
      </c>
      <c r="L654" t="s">
        <v>67</v>
      </c>
      <c r="M654" t="s">
        <v>9</v>
      </c>
      <c r="N654" t="s">
        <v>14</v>
      </c>
      <c r="O654" s="2">
        <v>54561.4</v>
      </c>
      <c r="P654" s="3">
        <v>505.21800000000002</v>
      </c>
      <c r="Q654" s="1">
        <v>46033</v>
      </c>
      <c r="R654" s="1">
        <v>45992</v>
      </c>
      <c r="S654" s="1">
        <v>46022</v>
      </c>
      <c r="V654" s="8">
        <v>1</v>
      </c>
      <c r="W654" t="s">
        <v>24</v>
      </c>
      <c r="X654" t="s">
        <v>510</v>
      </c>
      <c r="Y654" t="s">
        <v>10</v>
      </c>
      <c r="Z654" t="s">
        <v>11</v>
      </c>
      <c r="AA654">
        <v>62371</v>
      </c>
      <c r="AB654">
        <v>21376399</v>
      </c>
      <c r="AC654">
        <v>1</v>
      </c>
      <c r="AD654" s="8"/>
    </row>
    <row r="655" spans="1:30" x14ac:dyDescent="0.3">
      <c r="A655" t="s">
        <v>1627</v>
      </c>
      <c r="B655">
        <v>1428422</v>
      </c>
      <c r="D655" t="s">
        <v>7</v>
      </c>
      <c r="E655">
        <v>946784</v>
      </c>
      <c r="F655">
        <v>9015884123</v>
      </c>
      <c r="G655">
        <v>496</v>
      </c>
      <c r="H655" t="s">
        <v>490</v>
      </c>
      <c r="I655">
        <v>0</v>
      </c>
      <c r="J655" t="s">
        <v>491</v>
      </c>
      <c r="K655" t="s">
        <v>8</v>
      </c>
      <c r="L655" t="s">
        <v>15</v>
      </c>
      <c r="M655" t="s">
        <v>9</v>
      </c>
      <c r="N655" t="s">
        <v>14</v>
      </c>
      <c r="O655" s="2">
        <v>0</v>
      </c>
      <c r="P655" s="3">
        <v>2171.1799999999998</v>
      </c>
      <c r="Q655" s="1">
        <v>46033</v>
      </c>
      <c r="R655" s="1">
        <v>45992</v>
      </c>
      <c r="S655" s="1">
        <v>46022</v>
      </c>
      <c r="V655" s="8">
        <v>1</v>
      </c>
      <c r="W655" t="s">
        <v>24</v>
      </c>
      <c r="X655" t="s">
        <v>492</v>
      </c>
      <c r="Y655" t="s">
        <v>10</v>
      </c>
      <c r="Z655" t="s">
        <v>11</v>
      </c>
      <c r="AA655">
        <v>62371</v>
      </c>
      <c r="AB655">
        <v>21376478</v>
      </c>
      <c r="AC655">
        <v>1</v>
      </c>
      <c r="AD655" s="8"/>
    </row>
    <row r="656" spans="1:30" x14ac:dyDescent="0.3">
      <c r="A656" t="s">
        <v>1627</v>
      </c>
      <c r="B656">
        <v>1428402</v>
      </c>
      <c r="D656" t="s">
        <v>7</v>
      </c>
      <c r="E656">
        <v>946722</v>
      </c>
      <c r="F656">
        <v>9015884123</v>
      </c>
      <c r="G656">
        <v>475</v>
      </c>
      <c r="H656" t="s">
        <v>1298</v>
      </c>
      <c r="I656">
        <v>0</v>
      </c>
      <c r="J656" t="s">
        <v>1299</v>
      </c>
      <c r="K656" t="s">
        <v>8</v>
      </c>
      <c r="L656" t="s">
        <v>18</v>
      </c>
      <c r="M656" t="s">
        <v>9</v>
      </c>
      <c r="N656" t="s">
        <v>14</v>
      </c>
      <c r="O656" s="2">
        <v>0</v>
      </c>
      <c r="P656" s="3">
        <v>0</v>
      </c>
      <c r="Q656" s="1">
        <v>46033</v>
      </c>
      <c r="R656" s="1">
        <v>45992</v>
      </c>
      <c r="S656" s="1">
        <v>46022</v>
      </c>
      <c r="V656" s="8">
        <v>1</v>
      </c>
      <c r="W656" t="s">
        <v>24</v>
      </c>
      <c r="X656" t="s">
        <v>1300</v>
      </c>
      <c r="Y656" t="s">
        <v>10</v>
      </c>
      <c r="Z656" t="s">
        <v>11</v>
      </c>
      <c r="AA656">
        <v>62371</v>
      </c>
      <c r="AB656">
        <v>21376441</v>
      </c>
      <c r="AC656">
        <v>1</v>
      </c>
      <c r="AD656" s="8"/>
    </row>
    <row r="657" spans="1:30" x14ac:dyDescent="0.3">
      <c r="A657" t="s">
        <v>1627</v>
      </c>
      <c r="B657">
        <v>1428526</v>
      </c>
      <c r="D657" t="s">
        <v>7</v>
      </c>
      <c r="E657">
        <v>946797</v>
      </c>
      <c r="F657">
        <v>9015884123</v>
      </c>
      <c r="G657">
        <v>500</v>
      </c>
      <c r="H657" t="s">
        <v>943</v>
      </c>
      <c r="I657">
        <v>0</v>
      </c>
      <c r="J657" t="s">
        <v>944</v>
      </c>
      <c r="K657" t="s">
        <v>8</v>
      </c>
      <c r="L657" t="s">
        <v>19</v>
      </c>
      <c r="M657" t="s">
        <v>9</v>
      </c>
      <c r="N657" t="s">
        <v>14</v>
      </c>
      <c r="O657" s="2">
        <v>1106.3599999999999</v>
      </c>
      <c r="P657" s="3">
        <v>6.7809999999999997</v>
      </c>
      <c r="Q657" s="1">
        <v>46033</v>
      </c>
      <c r="R657" s="1">
        <v>45992</v>
      </c>
      <c r="S657" s="1">
        <v>46022</v>
      </c>
      <c r="V657" s="8">
        <v>1</v>
      </c>
      <c r="W657" t="s">
        <v>24</v>
      </c>
      <c r="X657" t="s">
        <v>945</v>
      </c>
      <c r="Y657" t="s">
        <v>10</v>
      </c>
      <c r="Z657" t="s">
        <v>11</v>
      </c>
      <c r="AA657">
        <v>62371</v>
      </c>
      <c r="AB657">
        <v>21376611</v>
      </c>
      <c r="AC657">
        <v>1</v>
      </c>
      <c r="AD657" s="8"/>
    </row>
    <row r="658" spans="1:30" x14ac:dyDescent="0.3">
      <c r="A658" t="s">
        <v>1627</v>
      </c>
      <c r="B658">
        <v>1428427</v>
      </c>
      <c r="D658" t="s">
        <v>7</v>
      </c>
      <c r="E658">
        <v>946738</v>
      </c>
      <c r="F658">
        <v>9015884123</v>
      </c>
      <c r="G658">
        <v>480</v>
      </c>
      <c r="H658" t="s">
        <v>958</v>
      </c>
      <c r="I658">
        <v>0</v>
      </c>
      <c r="J658" t="s">
        <v>959</v>
      </c>
      <c r="K658" t="s">
        <v>8</v>
      </c>
      <c r="L658" t="s">
        <v>67</v>
      </c>
      <c r="M658" t="s">
        <v>9</v>
      </c>
      <c r="N658" t="s">
        <v>14</v>
      </c>
      <c r="O658" s="2">
        <v>246310.87</v>
      </c>
      <c r="P658" s="3">
        <v>2280.7460000000001</v>
      </c>
      <c r="Q658" s="1">
        <v>46033</v>
      </c>
      <c r="R658" s="1">
        <v>45992</v>
      </c>
      <c r="S658" s="1">
        <v>46022</v>
      </c>
      <c r="V658" s="8">
        <v>1</v>
      </c>
      <c r="W658" t="s">
        <v>24</v>
      </c>
      <c r="X658" t="s">
        <v>960</v>
      </c>
      <c r="Y658" t="s">
        <v>10</v>
      </c>
      <c r="Z658" t="s">
        <v>11</v>
      </c>
      <c r="AA658">
        <v>62371</v>
      </c>
      <c r="AB658">
        <v>21491306</v>
      </c>
      <c r="AC658">
        <v>1</v>
      </c>
      <c r="AD658" s="8"/>
    </row>
    <row r="659" spans="1:30" x14ac:dyDescent="0.3">
      <c r="A659" t="s">
        <v>1627</v>
      </c>
      <c r="B659">
        <v>1428429</v>
      </c>
      <c r="D659" t="s">
        <v>7</v>
      </c>
      <c r="E659">
        <v>946741</v>
      </c>
      <c r="F659">
        <v>9015884123</v>
      </c>
      <c r="G659">
        <v>481</v>
      </c>
      <c r="H659" t="s">
        <v>946</v>
      </c>
      <c r="I659">
        <v>0</v>
      </c>
      <c r="J659" t="s">
        <v>947</v>
      </c>
      <c r="K659" t="s">
        <v>8</v>
      </c>
      <c r="L659" t="s">
        <v>67</v>
      </c>
      <c r="M659" t="s">
        <v>9</v>
      </c>
      <c r="N659" t="s">
        <v>14</v>
      </c>
      <c r="O659" s="2">
        <v>273586.93</v>
      </c>
      <c r="P659" s="3">
        <v>2533.3119999999999</v>
      </c>
      <c r="Q659" s="1">
        <v>46033</v>
      </c>
      <c r="R659" s="1">
        <v>45992</v>
      </c>
      <c r="S659" s="1">
        <v>46022</v>
      </c>
      <c r="V659" s="8">
        <v>1</v>
      </c>
      <c r="W659" t="s">
        <v>24</v>
      </c>
      <c r="X659" t="s">
        <v>948</v>
      </c>
      <c r="Y659" t="s">
        <v>10</v>
      </c>
      <c r="Z659" t="s">
        <v>11</v>
      </c>
      <c r="AA659">
        <v>62371</v>
      </c>
      <c r="AB659">
        <v>21491294</v>
      </c>
      <c r="AC659">
        <v>1</v>
      </c>
      <c r="AD659" s="8"/>
    </row>
    <row r="660" spans="1:30" x14ac:dyDescent="0.3">
      <c r="A660" t="s">
        <v>1627</v>
      </c>
      <c r="B660">
        <v>1428429</v>
      </c>
      <c r="D660" t="s">
        <v>7</v>
      </c>
      <c r="E660">
        <v>946741</v>
      </c>
      <c r="F660">
        <v>9015884123</v>
      </c>
      <c r="G660">
        <v>481</v>
      </c>
      <c r="H660" t="s">
        <v>946</v>
      </c>
      <c r="I660">
        <v>0</v>
      </c>
      <c r="J660" t="s">
        <v>947</v>
      </c>
      <c r="K660" t="s">
        <v>8</v>
      </c>
      <c r="L660" t="s">
        <v>18</v>
      </c>
      <c r="M660" t="s">
        <v>9</v>
      </c>
      <c r="N660" t="s">
        <v>14</v>
      </c>
      <c r="O660" s="2">
        <v>1.18</v>
      </c>
      <c r="P660" s="3">
        <v>0</v>
      </c>
      <c r="Q660" s="1">
        <v>46033</v>
      </c>
      <c r="R660" s="1">
        <v>45992</v>
      </c>
      <c r="S660" s="1">
        <v>46022</v>
      </c>
      <c r="V660" s="8">
        <v>1</v>
      </c>
      <c r="W660" t="s">
        <v>24</v>
      </c>
      <c r="X660" t="s">
        <v>948</v>
      </c>
      <c r="Y660" t="s">
        <v>10</v>
      </c>
      <c r="Z660" t="s">
        <v>11</v>
      </c>
      <c r="AA660">
        <v>62371</v>
      </c>
      <c r="AB660">
        <v>21491294</v>
      </c>
      <c r="AC660">
        <v>1</v>
      </c>
      <c r="AD660" s="8"/>
    </row>
    <row r="661" spans="1:30" x14ac:dyDescent="0.3">
      <c r="A661" t="s">
        <v>1627</v>
      </c>
      <c r="B661">
        <v>1428419</v>
      </c>
      <c r="D661" t="s">
        <v>7</v>
      </c>
      <c r="E661">
        <v>946766</v>
      </c>
      <c r="F661">
        <v>9015884123</v>
      </c>
      <c r="G661">
        <v>489</v>
      </c>
      <c r="H661" t="s">
        <v>481</v>
      </c>
      <c r="I661">
        <v>0</v>
      </c>
      <c r="J661" t="s">
        <v>482</v>
      </c>
      <c r="K661" t="s">
        <v>8</v>
      </c>
      <c r="L661" t="s">
        <v>19</v>
      </c>
      <c r="M661" t="s">
        <v>9</v>
      </c>
      <c r="N661" t="s">
        <v>14</v>
      </c>
      <c r="O661" s="2">
        <v>1474.77</v>
      </c>
      <c r="P661" s="3">
        <v>9.0389999999999997</v>
      </c>
      <c r="Q661" s="1">
        <v>46033</v>
      </c>
      <c r="R661" s="1">
        <v>45992</v>
      </c>
      <c r="S661" s="1">
        <v>46022</v>
      </c>
      <c r="V661" s="8">
        <v>1</v>
      </c>
      <c r="W661" t="s">
        <v>24</v>
      </c>
      <c r="X661" t="s">
        <v>483</v>
      </c>
      <c r="Y661" t="s">
        <v>10</v>
      </c>
      <c r="Z661" t="s">
        <v>11</v>
      </c>
      <c r="AA661">
        <v>62371</v>
      </c>
      <c r="AB661">
        <v>21376476</v>
      </c>
      <c r="AC661">
        <v>1</v>
      </c>
      <c r="AD661" s="8"/>
    </row>
    <row r="662" spans="1:30" x14ac:dyDescent="0.3">
      <c r="A662" t="s">
        <v>1627</v>
      </c>
      <c r="B662">
        <v>1428425</v>
      </c>
      <c r="D662" t="s">
        <v>7</v>
      </c>
      <c r="E662">
        <v>946778</v>
      </c>
      <c r="F662">
        <v>9015884123</v>
      </c>
      <c r="G662">
        <v>494</v>
      </c>
      <c r="H662" t="s">
        <v>964</v>
      </c>
      <c r="I662">
        <v>0</v>
      </c>
      <c r="J662" t="s">
        <v>965</v>
      </c>
      <c r="K662" t="s">
        <v>8</v>
      </c>
      <c r="L662" t="s">
        <v>67</v>
      </c>
      <c r="M662" t="s">
        <v>9</v>
      </c>
      <c r="N662" t="s">
        <v>14</v>
      </c>
      <c r="O662" s="2">
        <v>716153.5</v>
      </c>
      <c r="P662" s="3">
        <v>5028.0569999999998</v>
      </c>
      <c r="Q662" s="1">
        <v>46033</v>
      </c>
      <c r="R662" s="1">
        <v>45992</v>
      </c>
      <c r="S662" s="1">
        <v>46022</v>
      </c>
      <c r="V662" s="8">
        <v>1</v>
      </c>
      <c r="W662" t="s">
        <v>24</v>
      </c>
      <c r="X662" t="s">
        <v>966</v>
      </c>
      <c r="Y662" t="s">
        <v>10</v>
      </c>
      <c r="Z662" t="s">
        <v>11</v>
      </c>
      <c r="AA662">
        <v>62371</v>
      </c>
      <c r="AB662">
        <v>21512919</v>
      </c>
      <c r="AC662">
        <v>0</v>
      </c>
      <c r="AD662" s="8"/>
    </row>
    <row r="663" spans="1:30" x14ac:dyDescent="0.3">
      <c r="A663" t="s">
        <v>1627</v>
      </c>
      <c r="B663">
        <v>1425189</v>
      </c>
      <c r="D663" t="s">
        <v>7</v>
      </c>
      <c r="E663">
        <v>946708</v>
      </c>
      <c r="F663">
        <v>9015884123</v>
      </c>
      <c r="G663">
        <v>470</v>
      </c>
      <c r="H663" t="s">
        <v>949</v>
      </c>
      <c r="I663">
        <v>0</v>
      </c>
      <c r="J663" t="s">
        <v>950</v>
      </c>
      <c r="K663" t="s">
        <v>8</v>
      </c>
      <c r="L663" t="s">
        <v>67</v>
      </c>
      <c r="M663" t="s">
        <v>9</v>
      </c>
      <c r="N663" t="s">
        <v>14</v>
      </c>
      <c r="O663" s="2">
        <v>50193.4</v>
      </c>
      <c r="P663" s="3">
        <v>464.77199999999999</v>
      </c>
      <c r="Q663" s="1">
        <v>46033</v>
      </c>
      <c r="R663" s="1">
        <v>45992</v>
      </c>
      <c r="S663" s="1">
        <v>46022</v>
      </c>
      <c r="V663" s="8">
        <v>1</v>
      </c>
      <c r="W663" t="s">
        <v>24</v>
      </c>
      <c r="X663" t="s">
        <v>951</v>
      </c>
      <c r="Y663" t="s">
        <v>10</v>
      </c>
      <c r="Z663" t="s">
        <v>11</v>
      </c>
      <c r="AA663">
        <v>62371</v>
      </c>
      <c r="AB663">
        <v>21376635</v>
      </c>
      <c r="AC663">
        <v>1</v>
      </c>
      <c r="AD663" s="8"/>
    </row>
    <row r="664" spans="1:30" x14ac:dyDescent="0.3">
      <c r="A664" t="s">
        <v>1627</v>
      </c>
      <c r="B664">
        <v>1408277</v>
      </c>
      <c r="D664" t="s">
        <v>7</v>
      </c>
      <c r="E664">
        <v>946812</v>
      </c>
      <c r="F664">
        <v>9015884123</v>
      </c>
      <c r="G664">
        <v>505</v>
      </c>
      <c r="H664" t="s">
        <v>502</v>
      </c>
      <c r="I664">
        <v>0</v>
      </c>
      <c r="J664" t="s">
        <v>503</v>
      </c>
      <c r="K664" t="s">
        <v>8</v>
      </c>
      <c r="L664" t="s">
        <v>15</v>
      </c>
      <c r="M664" t="s">
        <v>9</v>
      </c>
      <c r="N664" t="s">
        <v>14</v>
      </c>
      <c r="O664" s="2">
        <v>0</v>
      </c>
      <c r="P664" s="3">
        <v>4644.3940000000002</v>
      </c>
      <c r="Q664" s="1">
        <v>46033</v>
      </c>
      <c r="R664" s="1">
        <v>45992</v>
      </c>
      <c r="S664" s="1">
        <v>46022</v>
      </c>
      <c r="V664" s="8">
        <v>1</v>
      </c>
      <c r="W664" t="s">
        <v>24</v>
      </c>
      <c r="X664" t="s">
        <v>504</v>
      </c>
      <c r="Y664" t="s">
        <v>10</v>
      </c>
      <c r="Z664" t="s">
        <v>11</v>
      </c>
      <c r="AA664">
        <v>62371</v>
      </c>
      <c r="AB664">
        <v>21318496</v>
      </c>
      <c r="AC664">
        <v>1</v>
      </c>
      <c r="AD664" s="8"/>
    </row>
    <row r="665" spans="1:30" x14ac:dyDescent="0.3">
      <c r="A665" t="s">
        <v>1627</v>
      </c>
      <c r="B665">
        <v>1438083</v>
      </c>
      <c r="D665" t="s">
        <v>7</v>
      </c>
      <c r="E665">
        <v>946818</v>
      </c>
      <c r="F665">
        <v>9015884123</v>
      </c>
      <c r="G665">
        <v>507</v>
      </c>
      <c r="H665" t="s">
        <v>952</v>
      </c>
      <c r="I665">
        <v>0</v>
      </c>
      <c r="J665" t="s">
        <v>953</v>
      </c>
      <c r="K665" t="s">
        <v>8</v>
      </c>
      <c r="L665" t="s">
        <v>18</v>
      </c>
      <c r="M665" t="s">
        <v>9</v>
      </c>
      <c r="N665" t="s">
        <v>14</v>
      </c>
      <c r="O665" s="2">
        <v>-4.0199999999999996</v>
      </c>
      <c r="P665" s="3">
        <v>0</v>
      </c>
      <c r="Q665" s="1">
        <v>46033</v>
      </c>
      <c r="R665" s="1">
        <v>45992</v>
      </c>
      <c r="S665" s="1">
        <v>46022</v>
      </c>
      <c r="V665" s="8">
        <v>1</v>
      </c>
      <c r="W665" t="s">
        <v>24</v>
      </c>
      <c r="X665" t="s">
        <v>954</v>
      </c>
      <c r="Y665" t="s">
        <v>10</v>
      </c>
      <c r="Z665" t="s">
        <v>11</v>
      </c>
      <c r="AA665">
        <v>62371</v>
      </c>
      <c r="AB665">
        <v>19383199</v>
      </c>
      <c r="AC665">
        <v>0</v>
      </c>
      <c r="AD665" s="8"/>
    </row>
    <row r="666" spans="1:30" x14ac:dyDescent="0.3">
      <c r="A666" t="s">
        <v>1627</v>
      </c>
      <c r="B666">
        <v>1438068</v>
      </c>
      <c r="D666" t="s">
        <v>7</v>
      </c>
      <c r="E666">
        <v>946822</v>
      </c>
      <c r="F666">
        <v>9015884123</v>
      </c>
      <c r="G666">
        <v>508</v>
      </c>
      <c r="H666" t="s">
        <v>1301</v>
      </c>
      <c r="I666">
        <v>0</v>
      </c>
      <c r="J666" t="s">
        <v>1302</v>
      </c>
      <c r="K666" t="s">
        <v>8</v>
      </c>
      <c r="L666" t="s">
        <v>67</v>
      </c>
      <c r="M666" t="s">
        <v>9</v>
      </c>
      <c r="N666" t="s">
        <v>14</v>
      </c>
      <c r="O666" s="2">
        <v>2631374.44</v>
      </c>
      <c r="P666" s="3">
        <v>24365.537</v>
      </c>
      <c r="Q666" s="1">
        <v>46033</v>
      </c>
      <c r="R666" s="1">
        <v>45992</v>
      </c>
      <c r="S666" s="1">
        <v>46022</v>
      </c>
      <c r="V666" s="8">
        <v>1</v>
      </c>
      <c r="W666" t="s">
        <v>24</v>
      </c>
      <c r="X666" t="s">
        <v>1303</v>
      </c>
      <c r="Y666" t="s">
        <v>10</v>
      </c>
      <c r="Z666" t="s">
        <v>11</v>
      </c>
      <c r="AA666">
        <v>62371</v>
      </c>
      <c r="AB666">
        <v>21376530</v>
      </c>
      <c r="AC666">
        <v>1</v>
      </c>
      <c r="AD666" s="8"/>
    </row>
    <row r="667" spans="1:30" x14ac:dyDescent="0.3">
      <c r="A667" t="s">
        <v>1627</v>
      </c>
      <c r="B667">
        <v>1443051</v>
      </c>
      <c r="D667" t="s">
        <v>7</v>
      </c>
      <c r="E667">
        <v>946849</v>
      </c>
      <c r="F667">
        <v>9015884123</v>
      </c>
      <c r="G667">
        <v>517</v>
      </c>
      <c r="H667" t="s">
        <v>1304</v>
      </c>
      <c r="I667">
        <v>0</v>
      </c>
      <c r="J667" t="s">
        <v>1305</v>
      </c>
      <c r="K667" t="s">
        <v>8</v>
      </c>
      <c r="L667" t="s">
        <v>15</v>
      </c>
      <c r="M667" t="s">
        <v>9</v>
      </c>
      <c r="N667" t="s">
        <v>14</v>
      </c>
      <c r="O667" s="2">
        <v>0</v>
      </c>
      <c r="P667" s="3">
        <v>1251.143</v>
      </c>
      <c r="Q667" s="1">
        <v>46033</v>
      </c>
      <c r="R667" s="1">
        <v>45992</v>
      </c>
      <c r="S667" s="1">
        <v>46022</v>
      </c>
      <c r="V667" s="8">
        <v>1</v>
      </c>
      <c r="W667" t="s">
        <v>24</v>
      </c>
      <c r="X667" t="s">
        <v>1306</v>
      </c>
      <c r="Y667" t="s">
        <v>10</v>
      </c>
      <c r="Z667" t="s">
        <v>11</v>
      </c>
      <c r="AA667">
        <v>62371</v>
      </c>
      <c r="AB667">
        <v>17675642</v>
      </c>
      <c r="AC667">
        <v>1</v>
      </c>
      <c r="AD667" s="8"/>
    </row>
    <row r="668" spans="1:30" x14ac:dyDescent="0.3">
      <c r="A668" t="s">
        <v>1627</v>
      </c>
      <c r="B668">
        <v>1446204</v>
      </c>
      <c r="D668" t="s">
        <v>7</v>
      </c>
      <c r="E668">
        <v>946894</v>
      </c>
      <c r="F668">
        <v>9015884123</v>
      </c>
      <c r="G668">
        <v>529</v>
      </c>
      <c r="H668" t="s">
        <v>979</v>
      </c>
      <c r="I668">
        <v>0</v>
      </c>
      <c r="J668" t="s">
        <v>980</v>
      </c>
      <c r="K668" t="s">
        <v>8</v>
      </c>
      <c r="L668" t="s">
        <v>18</v>
      </c>
      <c r="M668" t="s">
        <v>9</v>
      </c>
      <c r="N668" t="s">
        <v>14</v>
      </c>
      <c r="O668" s="2">
        <v>3.97</v>
      </c>
      <c r="P668" s="3">
        <v>0</v>
      </c>
      <c r="Q668" s="1">
        <v>46033</v>
      </c>
      <c r="R668" s="1">
        <v>45992</v>
      </c>
      <c r="S668" s="1">
        <v>46022</v>
      </c>
      <c r="V668" s="8">
        <v>1</v>
      </c>
      <c r="W668" t="s">
        <v>24</v>
      </c>
      <c r="X668" t="s">
        <v>981</v>
      </c>
      <c r="Y668" t="s">
        <v>10</v>
      </c>
      <c r="Z668" t="s">
        <v>11</v>
      </c>
      <c r="AA668">
        <v>62371</v>
      </c>
      <c r="AB668">
        <v>19389550</v>
      </c>
      <c r="AC668">
        <v>0</v>
      </c>
      <c r="AD668" s="8"/>
    </row>
    <row r="669" spans="1:30" x14ac:dyDescent="0.3">
      <c r="A669" t="s">
        <v>1627</v>
      </c>
      <c r="B669">
        <v>1282989</v>
      </c>
      <c r="D669" t="s">
        <v>7</v>
      </c>
      <c r="E669">
        <v>945192</v>
      </c>
      <c r="F669">
        <v>9015884123</v>
      </c>
      <c r="G669">
        <v>5</v>
      </c>
      <c r="H669" t="s">
        <v>1307</v>
      </c>
      <c r="I669">
        <v>0</v>
      </c>
      <c r="J669" t="s">
        <v>1308</v>
      </c>
      <c r="K669" t="s">
        <v>8</v>
      </c>
      <c r="L669" t="s">
        <v>18</v>
      </c>
      <c r="M669" t="s">
        <v>9</v>
      </c>
      <c r="N669" t="s">
        <v>14</v>
      </c>
      <c r="O669" s="2">
        <v>-1.92</v>
      </c>
      <c r="P669" s="3">
        <v>0</v>
      </c>
      <c r="Q669" s="1">
        <v>46033</v>
      </c>
      <c r="R669" s="1">
        <v>45992</v>
      </c>
      <c r="S669" s="1">
        <v>46022</v>
      </c>
      <c r="V669" s="8">
        <v>1</v>
      </c>
      <c r="W669" t="s">
        <v>24</v>
      </c>
      <c r="X669" t="s">
        <v>1309</v>
      </c>
      <c r="Y669" t="s">
        <v>10</v>
      </c>
      <c r="Z669" t="s">
        <v>11</v>
      </c>
      <c r="AA669">
        <v>62371</v>
      </c>
      <c r="AB669">
        <v>18320485</v>
      </c>
      <c r="AC669">
        <v>1</v>
      </c>
      <c r="AD669" s="8"/>
    </row>
    <row r="670" spans="1:30" x14ac:dyDescent="0.3">
      <c r="A670" t="s">
        <v>1627</v>
      </c>
      <c r="B670">
        <v>1295066</v>
      </c>
      <c r="D670" t="s">
        <v>7</v>
      </c>
      <c r="E670">
        <v>945140</v>
      </c>
      <c r="F670">
        <v>9015884123</v>
      </c>
      <c r="G670">
        <v>21</v>
      </c>
      <c r="H670" t="s">
        <v>1310</v>
      </c>
      <c r="I670">
        <v>0</v>
      </c>
      <c r="J670" t="s">
        <v>1311</v>
      </c>
      <c r="K670" t="s">
        <v>8</v>
      </c>
      <c r="L670" t="s">
        <v>15</v>
      </c>
      <c r="M670" t="s">
        <v>9</v>
      </c>
      <c r="N670" t="s">
        <v>14</v>
      </c>
      <c r="O670" s="2">
        <v>0</v>
      </c>
      <c r="P670" s="3">
        <v>1724.057</v>
      </c>
      <c r="Q670" s="1">
        <v>46033</v>
      </c>
      <c r="R670" s="1">
        <v>45992</v>
      </c>
      <c r="S670" s="1">
        <v>46022</v>
      </c>
      <c r="V670" s="8">
        <v>1</v>
      </c>
      <c r="W670" t="s">
        <v>24</v>
      </c>
      <c r="X670" t="s">
        <v>1312</v>
      </c>
      <c r="Y670" t="s">
        <v>10</v>
      </c>
      <c r="Z670" t="s">
        <v>11</v>
      </c>
      <c r="AA670">
        <v>62371</v>
      </c>
      <c r="AB670">
        <v>19374237</v>
      </c>
      <c r="AC670">
        <v>0</v>
      </c>
      <c r="AD670" s="8"/>
    </row>
    <row r="671" spans="1:30" x14ac:dyDescent="0.3">
      <c r="A671" t="s">
        <v>1627</v>
      </c>
      <c r="B671">
        <v>1295066</v>
      </c>
      <c r="D671" t="s">
        <v>7</v>
      </c>
      <c r="E671">
        <v>945140</v>
      </c>
      <c r="F671">
        <v>9015884123</v>
      </c>
      <c r="G671">
        <v>21</v>
      </c>
      <c r="H671" t="s">
        <v>1310</v>
      </c>
      <c r="I671">
        <v>0</v>
      </c>
      <c r="J671" t="s">
        <v>1311</v>
      </c>
      <c r="K671" t="s">
        <v>8</v>
      </c>
      <c r="L671" t="s">
        <v>18</v>
      </c>
      <c r="M671" t="s">
        <v>9</v>
      </c>
      <c r="N671" t="s">
        <v>14</v>
      </c>
      <c r="O671" s="2">
        <v>0.04</v>
      </c>
      <c r="P671" s="3">
        <v>0</v>
      </c>
      <c r="Q671" s="1">
        <v>46033</v>
      </c>
      <c r="R671" s="1">
        <v>45992</v>
      </c>
      <c r="S671" s="1">
        <v>46022</v>
      </c>
      <c r="V671" s="8">
        <v>1</v>
      </c>
      <c r="W671" t="s">
        <v>24</v>
      </c>
      <c r="X671" t="s">
        <v>1312</v>
      </c>
      <c r="Y671" t="s">
        <v>10</v>
      </c>
      <c r="Z671" t="s">
        <v>11</v>
      </c>
      <c r="AA671">
        <v>62371</v>
      </c>
      <c r="AB671">
        <v>19374237</v>
      </c>
      <c r="AC671">
        <v>0</v>
      </c>
      <c r="AD671" s="8"/>
    </row>
    <row r="672" spans="1:30" x14ac:dyDescent="0.3">
      <c r="A672" t="s">
        <v>1627</v>
      </c>
      <c r="B672">
        <v>1303705</v>
      </c>
      <c r="D672" t="s">
        <v>7</v>
      </c>
      <c r="E672">
        <v>945146</v>
      </c>
      <c r="F672">
        <v>9015884123</v>
      </c>
      <c r="G672">
        <v>25</v>
      </c>
      <c r="H672" t="s">
        <v>1313</v>
      </c>
      <c r="I672">
        <v>0</v>
      </c>
      <c r="J672" t="s">
        <v>1314</v>
      </c>
      <c r="K672" t="s">
        <v>8</v>
      </c>
      <c r="L672" t="s">
        <v>18</v>
      </c>
      <c r="M672" t="s">
        <v>9</v>
      </c>
      <c r="N672" t="s">
        <v>14</v>
      </c>
      <c r="O672" s="2">
        <v>4.22</v>
      </c>
      <c r="P672" s="3">
        <v>0</v>
      </c>
      <c r="Q672" s="1">
        <v>46033</v>
      </c>
      <c r="R672" s="1">
        <v>45992</v>
      </c>
      <c r="S672" s="1">
        <v>46022</v>
      </c>
      <c r="V672" s="8">
        <v>1</v>
      </c>
      <c r="W672" t="s">
        <v>24</v>
      </c>
      <c r="X672" t="s">
        <v>1315</v>
      </c>
      <c r="Y672" t="s">
        <v>10</v>
      </c>
      <c r="Z672" t="s">
        <v>11</v>
      </c>
      <c r="AA672">
        <v>62371</v>
      </c>
      <c r="AB672">
        <v>17053721</v>
      </c>
      <c r="AC672">
        <v>1</v>
      </c>
      <c r="AD672" s="8"/>
    </row>
    <row r="673" spans="1:30" x14ac:dyDescent="0.3">
      <c r="A673" t="s">
        <v>1627</v>
      </c>
      <c r="B673">
        <v>1308499</v>
      </c>
      <c r="D673" t="s">
        <v>7</v>
      </c>
      <c r="E673">
        <v>945175</v>
      </c>
      <c r="F673">
        <v>9015884123</v>
      </c>
      <c r="G673">
        <v>40</v>
      </c>
      <c r="H673" t="s">
        <v>529</v>
      </c>
      <c r="I673">
        <v>0</v>
      </c>
      <c r="J673" t="s">
        <v>530</v>
      </c>
      <c r="K673" t="s">
        <v>8</v>
      </c>
      <c r="L673" t="s">
        <v>19</v>
      </c>
      <c r="M673" t="s">
        <v>9</v>
      </c>
      <c r="N673" t="s">
        <v>14</v>
      </c>
      <c r="O673" s="2">
        <v>18913.09</v>
      </c>
      <c r="P673" s="3">
        <v>95.718000000000004</v>
      </c>
      <c r="Q673" s="1">
        <v>46033</v>
      </c>
      <c r="R673" s="1">
        <v>45992</v>
      </c>
      <c r="S673" s="1">
        <v>46022</v>
      </c>
      <c r="V673" s="8">
        <v>1</v>
      </c>
      <c r="W673" t="s">
        <v>24</v>
      </c>
      <c r="X673" t="s">
        <v>531</v>
      </c>
      <c r="Y673" t="s">
        <v>10</v>
      </c>
      <c r="Z673" t="s">
        <v>11</v>
      </c>
      <c r="AA673">
        <v>62371</v>
      </c>
      <c r="AB673">
        <v>17530931</v>
      </c>
      <c r="AC673">
        <v>0</v>
      </c>
      <c r="AD673" s="8"/>
    </row>
    <row r="674" spans="1:30" x14ac:dyDescent="0.3">
      <c r="A674" t="s">
        <v>1627</v>
      </c>
      <c r="B674">
        <v>1443051</v>
      </c>
      <c r="D674" t="s">
        <v>7</v>
      </c>
      <c r="E674">
        <v>946849</v>
      </c>
      <c r="F674">
        <v>9015884123</v>
      </c>
      <c r="G674">
        <v>517</v>
      </c>
      <c r="H674" t="s">
        <v>1304</v>
      </c>
      <c r="I674">
        <v>0</v>
      </c>
      <c r="J674" t="s">
        <v>1305</v>
      </c>
      <c r="K674" t="s">
        <v>8</v>
      </c>
      <c r="L674" t="s">
        <v>19</v>
      </c>
      <c r="M674" t="s">
        <v>9</v>
      </c>
      <c r="N674" t="s">
        <v>14</v>
      </c>
      <c r="O674" s="2">
        <v>22172.25</v>
      </c>
      <c r="P674" s="3">
        <v>135.89599999999999</v>
      </c>
      <c r="Q674" s="1">
        <v>46033</v>
      </c>
      <c r="R674" s="1">
        <v>45992</v>
      </c>
      <c r="S674" s="1">
        <v>46022</v>
      </c>
      <c r="V674" s="8">
        <v>1</v>
      </c>
      <c r="W674" t="s">
        <v>24</v>
      </c>
      <c r="X674" t="s">
        <v>1306</v>
      </c>
      <c r="Y674" t="s">
        <v>10</v>
      </c>
      <c r="Z674" t="s">
        <v>11</v>
      </c>
      <c r="AA674">
        <v>62371</v>
      </c>
      <c r="AB674">
        <v>17675642</v>
      </c>
      <c r="AC674">
        <v>1</v>
      </c>
      <c r="AD674" s="8"/>
    </row>
    <row r="675" spans="1:30" x14ac:dyDescent="0.3">
      <c r="A675" t="s">
        <v>1627</v>
      </c>
      <c r="B675">
        <v>1303703</v>
      </c>
      <c r="D675" t="s">
        <v>7</v>
      </c>
      <c r="E675">
        <v>945144</v>
      </c>
      <c r="F675">
        <v>9015884123</v>
      </c>
      <c r="G675">
        <v>24</v>
      </c>
      <c r="H675" t="s">
        <v>556</v>
      </c>
      <c r="I675">
        <v>0</v>
      </c>
      <c r="J675" t="s">
        <v>557</v>
      </c>
      <c r="K675" t="s">
        <v>8</v>
      </c>
      <c r="L675" t="s">
        <v>15</v>
      </c>
      <c r="M675" t="s">
        <v>9</v>
      </c>
      <c r="N675" t="s">
        <v>14</v>
      </c>
      <c r="O675" s="2">
        <v>0</v>
      </c>
      <c r="P675" s="3">
        <v>3613.953</v>
      </c>
      <c r="Q675" s="1">
        <v>46033</v>
      </c>
      <c r="R675" s="1">
        <v>45992</v>
      </c>
      <c r="S675" s="1">
        <v>46022</v>
      </c>
      <c r="V675" s="8">
        <v>1</v>
      </c>
      <c r="W675" t="s">
        <v>24</v>
      </c>
      <c r="X675" t="s">
        <v>558</v>
      </c>
      <c r="Y675" t="s">
        <v>10</v>
      </c>
      <c r="Z675" t="s">
        <v>11</v>
      </c>
      <c r="AA675">
        <v>62371</v>
      </c>
      <c r="AB675">
        <v>19390408</v>
      </c>
      <c r="AC675">
        <v>1</v>
      </c>
      <c r="AD675" s="8"/>
    </row>
    <row r="676" spans="1:30" x14ac:dyDescent="0.3">
      <c r="A676" t="s">
        <v>1627</v>
      </c>
      <c r="B676">
        <v>1303716</v>
      </c>
      <c r="D676" t="s">
        <v>7</v>
      </c>
      <c r="E676">
        <v>945152</v>
      </c>
      <c r="F676">
        <v>9015884123</v>
      </c>
      <c r="G676">
        <v>28</v>
      </c>
      <c r="H676" t="s">
        <v>559</v>
      </c>
      <c r="I676">
        <v>0</v>
      </c>
      <c r="J676" t="s">
        <v>560</v>
      </c>
      <c r="K676" t="s">
        <v>8</v>
      </c>
      <c r="L676" t="s">
        <v>18</v>
      </c>
      <c r="M676" t="s">
        <v>9</v>
      </c>
      <c r="N676" t="s">
        <v>14</v>
      </c>
      <c r="O676" s="2">
        <v>3.94</v>
      </c>
      <c r="P676" s="3">
        <v>0</v>
      </c>
      <c r="Q676" s="1">
        <v>46033</v>
      </c>
      <c r="R676" s="1">
        <v>45992</v>
      </c>
      <c r="S676" s="1">
        <v>46022</v>
      </c>
      <c r="V676" s="8">
        <v>1</v>
      </c>
      <c r="W676" t="s">
        <v>24</v>
      </c>
      <c r="X676" t="s">
        <v>561</v>
      </c>
      <c r="Y676" t="s">
        <v>10</v>
      </c>
      <c r="Z676" t="s">
        <v>11</v>
      </c>
      <c r="AA676">
        <v>62371</v>
      </c>
      <c r="AB676">
        <v>18652496</v>
      </c>
      <c r="AC676">
        <v>1</v>
      </c>
      <c r="AD676" s="8"/>
    </row>
    <row r="677" spans="1:30" x14ac:dyDescent="0.3">
      <c r="A677" t="s">
        <v>1627</v>
      </c>
      <c r="B677">
        <v>1317345</v>
      </c>
      <c r="D677" t="s">
        <v>7</v>
      </c>
      <c r="E677">
        <v>945182</v>
      </c>
      <c r="F677">
        <v>9015884123</v>
      </c>
      <c r="G677">
        <v>43</v>
      </c>
      <c r="H677" t="s">
        <v>1316</v>
      </c>
      <c r="I677">
        <v>0</v>
      </c>
      <c r="J677" t="s">
        <v>1317</v>
      </c>
      <c r="K677" t="s">
        <v>8</v>
      </c>
      <c r="L677" t="s">
        <v>19</v>
      </c>
      <c r="M677" t="s">
        <v>9</v>
      </c>
      <c r="N677" t="s">
        <v>14</v>
      </c>
      <c r="O677" s="2">
        <v>150.27000000000001</v>
      </c>
      <c r="P677" s="3">
        <v>0.92100000000000004</v>
      </c>
      <c r="Q677" s="1">
        <v>46033</v>
      </c>
      <c r="R677" s="1">
        <v>45992</v>
      </c>
      <c r="S677" s="1">
        <v>46022</v>
      </c>
      <c r="V677" s="8">
        <v>1</v>
      </c>
      <c r="W677" t="s">
        <v>24</v>
      </c>
      <c r="X677" t="s">
        <v>1318</v>
      </c>
      <c r="Y677" t="s">
        <v>10</v>
      </c>
      <c r="Z677" t="s">
        <v>11</v>
      </c>
      <c r="AA677">
        <v>62371</v>
      </c>
      <c r="AB677">
        <v>19553692</v>
      </c>
      <c r="AC677">
        <v>1</v>
      </c>
      <c r="AD677" s="8"/>
    </row>
    <row r="678" spans="1:30" x14ac:dyDescent="0.3">
      <c r="A678" t="s">
        <v>1627</v>
      </c>
      <c r="B678">
        <v>1340634</v>
      </c>
      <c r="D678" t="s">
        <v>7</v>
      </c>
      <c r="E678">
        <v>945235</v>
      </c>
      <c r="F678">
        <v>9015884123</v>
      </c>
      <c r="G678">
        <v>62</v>
      </c>
      <c r="H678" t="s">
        <v>1319</v>
      </c>
      <c r="I678">
        <v>0</v>
      </c>
      <c r="J678" t="s">
        <v>1320</v>
      </c>
      <c r="K678" t="s">
        <v>8</v>
      </c>
      <c r="L678" t="s">
        <v>67</v>
      </c>
      <c r="M678" t="s">
        <v>9</v>
      </c>
      <c r="N678" t="s">
        <v>14</v>
      </c>
      <c r="O678" s="2">
        <v>131794.45000000001</v>
      </c>
      <c r="P678" s="3">
        <v>1220.367</v>
      </c>
      <c r="Q678" s="1">
        <v>46033</v>
      </c>
      <c r="R678" s="1">
        <v>45992</v>
      </c>
      <c r="S678" s="1">
        <v>46022</v>
      </c>
      <c r="V678" s="8">
        <v>1</v>
      </c>
      <c r="W678" t="s">
        <v>24</v>
      </c>
      <c r="X678" t="s">
        <v>1321</v>
      </c>
      <c r="Y678" t="s">
        <v>10</v>
      </c>
      <c r="Z678" t="s">
        <v>11</v>
      </c>
      <c r="AA678">
        <v>62371</v>
      </c>
      <c r="AB678">
        <v>18404974</v>
      </c>
      <c r="AC678">
        <v>1</v>
      </c>
      <c r="AD678" s="8"/>
    </row>
    <row r="679" spans="1:30" x14ac:dyDescent="0.3">
      <c r="A679" t="s">
        <v>1627</v>
      </c>
      <c r="B679">
        <v>1444791</v>
      </c>
      <c r="D679" t="s">
        <v>7</v>
      </c>
      <c r="E679">
        <v>946862</v>
      </c>
      <c r="F679">
        <v>9015884123</v>
      </c>
      <c r="G679">
        <v>521</v>
      </c>
      <c r="H679" t="s">
        <v>526</v>
      </c>
      <c r="I679">
        <v>0</v>
      </c>
      <c r="J679" t="s">
        <v>527</v>
      </c>
      <c r="K679" t="s">
        <v>8</v>
      </c>
      <c r="L679" t="s">
        <v>19</v>
      </c>
      <c r="M679" t="s">
        <v>9</v>
      </c>
      <c r="N679" t="s">
        <v>14</v>
      </c>
      <c r="O679" s="2">
        <v>2078987.2</v>
      </c>
      <c r="P679" s="3">
        <v>16334.215</v>
      </c>
      <c r="Q679" s="1">
        <v>46033</v>
      </c>
      <c r="R679" s="1">
        <v>45992</v>
      </c>
      <c r="S679" s="1">
        <v>46022</v>
      </c>
      <c r="V679" s="8">
        <v>2</v>
      </c>
      <c r="W679" t="s">
        <v>24</v>
      </c>
      <c r="X679" t="s">
        <v>528</v>
      </c>
      <c r="Y679" t="s">
        <v>10</v>
      </c>
      <c r="Z679" t="s">
        <v>11</v>
      </c>
      <c r="AA679">
        <v>62371</v>
      </c>
      <c r="AB679">
        <v>17055446</v>
      </c>
      <c r="AC679">
        <v>1</v>
      </c>
      <c r="AD679" s="8"/>
    </row>
    <row r="680" spans="1:30" x14ac:dyDescent="0.3">
      <c r="A680" t="s">
        <v>1627</v>
      </c>
      <c r="B680">
        <v>1340624</v>
      </c>
      <c r="D680" t="s">
        <v>7</v>
      </c>
      <c r="E680">
        <v>945218</v>
      </c>
      <c r="F680">
        <v>9015884123</v>
      </c>
      <c r="G680">
        <v>58</v>
      </c>
      <c r="H680" t="s">
        <v>571</v>
      </c>
      <c r="I680">
        <v>0</v>
      </c>
      <c r="J680" t="s">
        <v>572</v>
      </c>
      <c r="K680" t="s">
        <v>8</v>
      </c>
      <c r="L680" t="s">
        <v>18</v>
      </c>
      <c r="M680" t="s">
        <v>9</v>
      </c>
      <c r="N680" t="s">
        <v>14</v>
      </c>
      <c r="O680" s="2">
        <v>2.42</v>
      </c>
      <c r="P680" s="3">
        <v>0</v>
      </c>
      <c r="Q680" s="1">
        <v>46033</v>
      </c>
      <c r="R680" s="1">
        <v>45992</v>
      </c>
      <c r="S680" s="1">
        <v>46022</v>
      </c>
      <c r="V680" s="8">
        <v>1</v>
      </c>
      <c r="W680" t="s">
        <v>24</v>
      </c>
      <c r="X680" t="s">
        <v>573</v>
      </c>
      <c r="Y680" t="s">
        <v>10</v>
      </c>
      <c r="Z680" t="s">
        <v>11</v>
      </c>
      <c r="AA680">
        <v>62371</v>
      </c>
      <c r="AB680">
        <v>19430843</v>
      </c>
      <c r="AC680">
        <v>1</v>
      </c>
      <c r="AD680" s="8"/>
    </row>
    <row r="681" spans="1:30" x14ac:dyDescent="0.3">
      <c r="A681" t="s">
        <v>1627</v>
      </c>
      <c r="B681">
        <v>1446201</v>
      </c>
      <c r="D681" t="s">
        <v>7</v>
      </c>
      <c r="E681">
        <v>946884</v>
      </c>
      <c r="F681">
        <v>9015884123</v>
      </c>
      <c r="G681">
        <v>526</v>
      </c>
      <c r="H681" t="s">
        <v>538</v>
      </c>
      <c r="I681">
        <v>0</v>
      </c>
      <c r="J681" t="s">
        <v>539</v>
      </c>
      <c r="K681" t="s">
        <v>8</v>
      </c>
      <c r="L681" t="s">
        <v>18</v>
      </c>
      <c r="M681" t="s">
        <v>9</v>
      </c>
      <c r="N681" t="s">
        <v>14</v>
      </c>
      <c r="O681" s="2">
        <v>-1.71</v>
      </c>
      <c r="P681" s="3">
        <v>0</v>
      </c>
      <c r="Q681" s="1">
        <v>46033</v>
      </c>
      <c r="R681" s="1">
        <v>45992</v>
      </c>
      <c r="S681" s="1">
        <v>46022</v>
      </c>
      <c r="V681" s="8">
        <v>1</v>
      </c>
      <c r="W681" t="s">
        <v>24</v>
      </c>
      <c r="X681" t="s">
        <v>540</v>
      </c>
      <c r="Y681" t="s">
        <v>10</v>
      </c>
      <c r="Z681" t="s">
        <v>11</v>
      </c>
      <c r="AA681">
        <v>62371</v>
      </c>
      <c r="AB681">
        <v>18415479</v>
      </c>
      <c r="AC681">
        <v>1</v>
      </c>
      <c r="AD681" s="8"/>
    </row>
    <row r="682" spans="1:30" x14ac:dyDescent="0.3">
      <c r="A682" t="s">
        <v>1627</v>
      </c>
      <c r="B682">
        <v>1449296</v>
      </c>
      <c r="D682" t="s">
        <v>7</v>
      </c>
      <c r="E682">
        <v>949192</v>
      </c>
      <c r="F682">
        <v>9015884123</v>
      </c>
      <c r="G682">
        <v>535</v>
      </c>
      <c r="H682" t="s">
        <v>991</v>
      </c>
      <c r="I682">
        <v>0</v>
      </c>
      <c r="J682" t="s">
        <v>992</v>
      </c>
      <c r="K682" t="s">
        <v>8</v>
      </c>
      <c r="L682" t="s">
        <v>19</v>
      </c>
      <c r="M682" t="s">
        <v>9</v>
      </c>
      <c r="N682" t="s">
        <v>14</v>
      </c>
      <c r="O682" s="2">
        <v>16517.099999999999</v>
      </c>
      <c r="P682" s="3">
        <v>101.235</v>
      </c>
      <c r="Q682" s="1">
        <v>46035</v>
      </c>
      <c r="R682" s="1">
        <v>46011</v>
      </c>
      <c r="S682" s="1">
        <v>46022</v>
      </c>
      <c r="V682" s="8">
        <v>1</v>
      </c>
      <c r="W682" t="s">
        <v>24</v>
      </c>
      <c r="X682" t="s">
        <v>993</v>
      </c>
      <c r="Y682" t="s">
        <v>10</v>
      </c>
      <c r="Z682" t="s">
        <v>11</v>
      </c>
      <c r="AA682">
        <v>62371</v>
      </c>
      <c r="AB682">
        <v>21537707</v>
      </c>
      <c r="AC682">
        <v>1</v>
      </c>
      <c r="AD682" s="8"/>
    </row>
    <row r="683" spans="1:30" x14ac:dyDescent="0.3">
      <c r="A683" t="s">
        <v>1627</v>
      </c>
      <c r="B683">
        <v>1303708</v>
      </c>
      <c r="D683" t="s">
        <v>7</v>
      </c>
      <c r="E683">
        <v>945148</v>
      </c>
      <c r="F683">
        <v>9015884123</v>
      </c>
      <c r="G683">
        <v>26</v>
      </c>
      <c r="H683" t="s">
        <v>1322</v>
      </c>
      <c r="I683">
        <v>0</v>
      </c>
      <c r="J683" t="s">
        <v>1323</v>
      </c>
      <c r="K683" t="s">
        <v>8</v>
      </c>
      <c r="L683" t="s">
        <v>15</v>
      </c>
      <c r="M683" t="s">
        <v>9</v>
      </c>
      <c r="N683" t="s">
        <v>14</v>
      </c>
      <c r="O683" s="2">
        <v>0</v>
      </c>
      <c r="P683" s="3">
        <v>4831.433</v>
      </c>
      <c r="Q683" s="1">
        <v>46033</v>
      </c>
      <c r="R683" s="1">
        <v>45992</v>
      </c>
      <c r="S683" s="1">
        <v>46022</v>
      </c>
      <c r="V683" s="8">
        <v>1</v>
      </c>
      <c r="W683" t="s">
        <v>24</v>
      </c>
      <c r="X683" t="s">
        <v>1324</v>
      </c>
      <c r="Y683" t="s">
        <v>10</v>
      </c>
      <c r="Z683" t="s">
        <v>11</v>
      </c>
      <c r="AA683">
        <v>62371</v>
      </c>
      <c r="AB683">
        <v>17060389</v>
      </c>
      <c r="AC683">
        <v>1</v>
      </c>
      <c r="AD683" s="8"/>
    </row>
    <row r="684" spans="1:30" x14ac:dyDescent="0.3">
      <c r="A684" t="s">
        <v>1627</v>
      </c>
      <c r="B684">
        <v>1308499</v>
      </c>
      <c r="D684" t="s">
        <v>7</v>
      </c>
      <c r="E684">
        <v>945175</v>
      </c>
      <c r="F684">
        <v>9015884123</v>
      </c>
      <c r="G684">
        <v>40</v>
      </c>
      <c r="H684" t="s">
        <v>529</v>
      </c>
      <c r="I684">
        <v>0</v>
      </c>
      <c r="J684" t="s">
        <v>530</v>
      </c>
      <c r="K684" t="s">
        <v>8</v>
      </c>
      <c r="L684" t="s">
        <v>67</v>
      </c>
      <c r="M684" t="s">
        <v>9</v>
      </c>
      <c r="N684" t="s">
        <v>14</v>
      </c>
      <c r="O684" s="2">
        <v>1107997.69</v>
      </c>
      <c r="P684" s="3">
        <v>7779.1639999999998</v>
      </c>
      <c r="Q684" s="1">
        <v>46033</v>
      </c>
      <c r="R684" s="1">
        <v>45992</v>
      </c>
      <c r="S684" s="1">
        <v>46022</v>
      </c>
      <c r="V684" s="8">
        <v>1</v>
      </c>
      <c r="W684" t="s">
        <v>24</v>
      </c>
      <c r="X684" t="s">
        <v>531</v>
      </c>
      <c r="Y684" t="s">
        <v>10</v>
      </c>
      <c r="Z684" t="s">
        <v>11</v>
      </c>
      <c r="AA684">
        <v>62371</v>
      </c>
      <c r="AB684">
        <v>17530931</v>
      </c>
      <c r="AC684">
        <v>0</v>
      </c>
      <c r="AD684" s="8"/>
    </row>
    <row r="685" spans="1:30" x14ac:dyDescent="0.3">
      <c r="A685" t="s">
        <v>1627</v>
      </c>
      <c r="B685">
        <v>1415374</v>
      </c>
      <c r="D685" t="s">
        <v>7</v>
      </c>
      <c r="E685">
        <v>946443</v>
      </c>
      <c r="F685">
        <v>9015884123</v>
      </c>
      <c r="G685">
        <v>387</v>
      </c>
      <c r="H685" t="s">
        <v>1325</v>
      </c>
      <c r="I685">
        <v>0</v>
      </c>
      <c r="J685" t="s">
        <v>1326</v>
      </c>
      <c r="K685" t="s">
        <v>8</v>
      </c>
      <c r="L685" t="s">
        <v>19</v>
      </c>
      <c r="M685" t="s">
        <v>9</v>
      </c>
      <c r="N685" t="s">
        <v>14</v>
      </c>
      <c r="O685" s="2">
        <v>7234.82</v>
      </c>
      <c r="P685" s="3">
        <v>36.615000000000002</v>
      </c>
      <c r="Q685" s="1">
        <v>46033</v>
      </c>
      <c r="R685" s="1">
        <v>45992</v>
      </c>
      <c r="S685" s="1">
        <v>46022</v>
      </c>
      <c r="V685" s="8">
        <v>1</v>
      </c>
      <c r="W685" t="s">
        <v>24</v>
      </c>
      <c r="X685" t="s">
        <v>1327</v>
      </c>
      <c r="Y685" t="s">
        <v>594</v>
      </c>
      <c r="Z685" t="s">
        <v>11</v>
      </c>
      <c r="AA685">
        <v>62371</v>
      </c>
      <c r="AB685">
        <v>21423523</v>
      </c>
      <c r="AC685">
        <v>0</v>
      </c>
      <c r="AD685" s="8"/>
    </row>
    <row r="686" spans="1:30" x14ac:dyDescent="0.3">
      <c r="A686" t="s">
        <v>1627</v>
      </c>
      <c r="B686">
        <v>1365126</v>
      </c>
      <c r="D686" t="s">
        <v>7</v>
      </c>
      <c r="E686">
        <v>945929</v>
      </c>
      <c r="F686">
        <v>9015884123</v>
      </c>
      <c r="G686">
        <v>180</v>
      </c>
      <c r="H686" t="s">
        <v>583</v>
      </c>
      <c r="I686">
        <v>0</v>
      </c>
      <c r="J686" t="s">
        <v>584</v>
      </c>
      <c r="K686" t="s">
        <v>8</v>
      </c>
      <c r="L686" t="s">
        <v>67</v>
      </c>
      <c r="M686" t="s">
        <v>9</v>
      </c>
      <c r="N686" t="s">
        <v>14</v>
      </c>
      <c r="O686" s="2">
        <v>152114.23999999999</v>
      </c>
      <c r="P686" s="3">
        <v>1067.982</v>
      </c>
      <c r="Q686" s="1">
        <v>46033</v>
      </c>
      <c r="R686" s="1">
        <v>45992</v>
      </c>
      <c r="S686" s="1">
        <v>46022</v>
      </c>
      <c r="V686" s="8">
        <v>1</v>
      </c>
      <c r="W686" t="s">
        <v>24</v>
      </c>
      <c r="X686" t="s">
        <v>585</v>
      </c>
      <c r="Y686" t="s">
        <v>586</v>
      </c>
      <c r="Z686" t="s">
        <v>11</v>
      </c>
      <c r="AA686">
        <v>62371</v>
      </c>
      <c r="AB686">
        <v>21142544</v>
      </c>
      <c r="AC686">
        <v>0</v>
      </c>
      <c r="AD686" s="8"/>
    </row>
    <row r="687" spans="1:30" x14ac:dyDescent="0.3">
      <c r="A687" t="s">
        <v>1627</v>
      </c>
      <c r="B687">
        <v>1296986</v>
      </c>
      <c r="D687" t="s">
        <v>7</v>
      </c>
      <c r="E687">
        <v>945125</v>
      </c>
      <c r="F687">
        <v>9015884123</v>
      </c>
      <c r="G687">
        <v>15</v>
      </c>
      <c r="H687" t="s">
        <v>1328</v>
      </c>
      <c r="I687">
        <v>0</v>
      </c>
      <c r="J687" t="s">
        <v>1329</v>
      </c>
      <c r="K687" t="s">
        <v>8</v>
      </c>
      <c r="L687" t="s">
        <v>15</v>
      </c>
      <c r="M687" t="s">
        <v>9</v>
      </c>
      <c r="N687" t="s">
        <v>14</v>
      </c>
      <c r="O687" s="2">
        <v>0</v>
      </c>
      <c r="P687" s="3">
        <v>64.733000000000004</v>
      </c>
      <c r="Q687" s="1">
        <v>46033</v>
      </c>
      <c r="R687" s="1">
        <v>45992</v>
      </c>
      <c r="S687" s="1">
        <v>46022</v>
      </c>
      <c r="V687" s="8">
        <v>1</v>
      </c>
      <c r="W687" t="s">
        <v>24</v>
      </c>
      <c r="X687" t="s">
        <v>1330</v>
      </c>
      <c r="Y687" t="s">
        <v>10</v>
      </c>
      <c r="Z687" t="s">
        <v>11</v>
      </c>
      <c r="AA687">
        <v>62371</v>
      </c>
      <c r="AB687">
        <v>21394688</v>
      </c>
      <c r="AC687">
        <v>1</v>
      </c>
      <c r="AD687" s="8"/>
    </row>
    <row r="688" spans="1:30" x14ac:dyDescent="0.3">
      <c r="A688" t="s">
        <v>1627</v>
      </c>
      <c r="B688">
        <v>1296986</v>
      </c>
      <c r="D688" t="s">
        <v>7</v>
      </c>
      <c r="E688">
        <v>945125</v>
      </c>
      <c r="F688">
        <v>9015884123</v>
      </c>
      <c r="G688">
        <v>15</v>
      </c>
      <c r="H688" t="s">
        <v>1328</v>
      </c>
      <c r="I688">
        <v>0</v>
      </c>
      <c r="J688" t="s">
        <v>1329</v>
      </c>
      <c r="K688" t="s">
        <v>8</v>
      </c>
      <c r="L688" t="s">
        <v>67</v>
      </c>
      <c r="M688" t="s">
        <v>9</v>
      </c>
      <c r="N688" t="s">
        <v>14</v>
      </c>
      <c r="O688" s="2">
        <v>6990.89</v>
      </c>
      <c r="P688" s="3">
        <v>64.733000000000004</v>
      </c>
      <c r="Q688" s="1">
        <v>46033</v>
      </c>
      <c r="R688" s="1">
        <v>45992</v>
      </c>
      <c r="S688" s="1">
        <v>46022</v>
      </c>
      <c r="V688" s="8">
        <v>1</v>
      </c>
      <c r="W688" t="s">
        <v>24</v>
      </c>
      <c r="X688" t="s">
        <v>1330</v>
      </c>
      <c r="Y688" t="s">
        <v>10</v>
      </c>
      <c r="Z688" t="s">
        <v>11</v>
      </c>
      <c r="AA688">
        <v>62371</v>
      </c>
      <c r="AB688">
        <v>21394688</v>
      </c>
      <c r="AC688">
        <v>1</v>
      </c>
      <c r="AD688" s="8"/>
    </row>
    <row r="689" spans="1:30" x14ac:dyDescent="0.3">
      <c r="A689" t="s">
        <v>1627</v>
      </c>
      <c r="B689">
        <v>1303711</v>
      </c>
      <c r="D689" t="s">
        <v>7</v>
      </c>
      <c r="E689">
        <v>945150</v>
      </c>
      <c r="F689">
        <v>9015884123</v>
      </c>
      <c r="G689">
        <v>27</v>
      </c>
      <c r="H689" t="s">
        <v>1009</v>
      </c>
      <c r="I689">
        <v>0</v>
      </c>
      <c r="J689" t="s">
        <v>1010</v>
      </c>
      <c r="K689" t="s">
        <v>8</v>
      </c>
      <c r="L689" t="s">
        <v>19</v>
      </c>
      <c r="M689" t="s">
        <v>9</v>
      </c>
      <c r="N689" t="s">
        <v>14</v>
      </c>
      <c r="O689" s="2">
        <v>4418.2700000000004</v>
      </c>
      <c r="P689" s="3">
        <v>27.08</v>
      </c>
      <c r="Q689" s="1">
        <v>46033</v>
      </c>
      <c r="R689" s="1">
        <v>45992</v>
      </c>
      <c r="S689" s="1">
        <v>46022</v>
      </c>
      <c r="V689" s="8">
        <v>1</v>
      </c>
      <c r="W689" t="s">
        <v>24</v>
      </c>
      <c r="X689" t="s">
        <v>1011</v>
      </c>
      <c r="Y689" t="s">
        <v>10</v>
      </c>
      <c r="Z689" t="s">
        <v>11</v>
      </c>
      <c r="AA689">
        <v>62371</v>
      </c>
      <c r="AB689">
        <v>19385497</v>
      </c>
      <c r="AC689">
        <v>1</v>
      </c>
      <c r="AD689" s="8"/>
    </row>
    <row r="690" spans="1:30" x14ac:dyDescent="0.3">
      <c r="A690" t="s">
        <v>1627</v>
      </c>
      <c r="B690">
        <v>1303717</v>
      </c>
      <c r="D690" t="s">
        <v>7</v>
      </c>
      <c r="E690">
        <v>945154</v>
      </c>
      <c r="F690">
        <v>9015884123</v>
      </c>
      <c r="G690">
        <v>29</v>
      </c>
      <c r="H690" t="s">
        <v>1331</v>
      </c>
      <c r="I690">
        <v>0</v>
      </c>
      <c r="J690" t="s">
        <v>1332</v>
      </c>
      <c r="K690" t="s">
        <v>8</v>
      </c>
      <c r="L690" t="s">
        <v>15</v>
      </c>
      <c r="M690" t="s">
        <v>9</v>
      </c>
      <c r="N690" t="s">
        <v>14</v>
      </c>
      <c r="O690" s="2">
        <v>0</v>
      </c>
      <c r="P690" s="3">
        <v>5602.0739999999996</v>
      </c>
      <c r="Q690" s="1">
        <v>46033</v>
      </c>
      <c r="R690" s="1">
        <v>45992</v>
      </c>
      <c r="S690" s="1">
        <v>46022</v>
      </c>
      <c r="V690" s="8">
        <v>1</v>
      </c>
      <c r="W690" t="s">
        <v>24</v>
      </c>
      <c r="X690" t="s">
        <v>1333</v>
      </c>
      <c r="Y690" t="s">
        <v>10</v>
      </c>
      <c r="Z690" t="s">
        <v>11</v>
      </c>
      <c r="AA690">
        <v>62371</v>
      </c>
      <c r="AB690">
        <v>17198482</v>
      </c>
      <c r="AC690">
        <v>1</v>
      </c>
      <c r="AD690" s="8"/>
    </row>
    <row r="691" spans="1:30" x14ac:dyDescent="0.3">
      <c r="A691" t="s">
        <v>1627</v>
      </c>
      <c r="B691">
        <v>1415104</v>
      </c>
      <c r="D691" t="s">
        <v>7</v>
      </c>
      <c r="E691">
        <v>946567</v>
      </c>
      <c r="F691">
        <v>9015884123</v>
      </c>
      <c r="G691">
        <v>425</v>
      </c>
      <c r="H691" t="s">
        <v>591</v>
      </c>
      <c r="I691">
        <v>0</v>
      </c>
      <c r="J691" t="s">
        <v>592</v>
      </c>
      <c r="K691" t="s">
        <v>8</v>
      </c>
      <c r="L691" t="s">
        <v>15</v>
      </c>
      <c r="M691" t="s">
        <v>9</v>
      </c>
      <c r="N691" t="s">
        <v>14</v>
      </c>
      <c r="O691" s="2">
        <v>0</v>
      </c>
      <c r="P691" s="3">
        <v>1355.223</v>
      </c>
      <c r="Q691" s="1">
        <v>46033</v>
      </c>
      <c r="R691" s="1">
        <v>45992</v>
      </c>
      <c r="S691" s="1">
        <v>46022</v>
      </c>
      <c r="V691" s="8">
        <v>1</v>
      </c>
      <c r="W691" t="s">
        <v>24</v>
      </c>
      <c r="X691" t="s">
        <v>593</v>
      </c>
      <c r="Y691" t="s">
        <v>35</v>
      </c>
      <c r="Z691" t="s">
        <v>11</v>
      </c>
      <c r="AA691">
        <v>62371</v>
      </c>
      <c r="AB691">
        <v>21401641</v>
      </c>
      <c r="AC691">
        <v>0</v>
      </c>
      <c r="AD691" s="8"/>
    </row>
    <row r="692" spans="1:30" x14ac:dyDescent="0.3">
      <c r="A692" t="s">
        <v>1627</v>
      </c>
      <c r="B692">
        <v>1340622</v>
      </c>
      <c r="D692" t="s">
        <v>7</v>
      </c>
      <c r="E692">
        <v>945212</v>
      </c>
      <c r="F692">
        <v>9015884123</v>
      </c>
      <c r="G692">
        <v>56</v>
      </c>
      <c r="H692" t="s">
        <v>1012</v>
      </c>
      <c r="I692">
        <v>0</v>
      </c>
      <c r="J692" t="s">
        <v>1013</v>
      </c>
      <c r="K692" t="s">
        <v>8</v>
      </c>
      <c r="L692" t="s">
        <v>18</v>
      </c>
      <c r="M692" t="s">
        <v>9</v>
      </c>
      <c r="N692" t="s">
        <v>14</v>
      </c>
      <c r="O692" s="2">
        <v>-0.38</v>
      </c>
      <c r="P692" s="3">
        <v>0</v>
      </c>
      <c r="Q692" s="1">
        <v>46033</v>
      </c>
      <c r="R692" s="1">
        <v>45992</v>
      </c>
      <c r="S692" s="1">
        <v>46022</v>
      </c>
      <c r="V692" s="8">
        <v>1</v>
      </c>
      <c r="W692" t="s">
        <v>24</v>
      </c>
      <c r="X692" t="s">
        <v>1014</v>
      </c>
      <c r="Y692" t="s">
        <v>10</v>
      </c>
      <c r="Z692" t="s">
        <v>11</v>
      </c>
      <c r="AA692">
        <v>62371</v>
      </c>
      <c r="AB692">
        <v>18470868</v>
      </c>
      <c r="AC692">
        <v>1</v>
      </c>
      <c r="AD692" s="8"/>
    </row>
    <row r="693" spans="1:30" x14ac:dyDescent="0.3">
      <c r="A693" t="s">
        <v>1627</v>
      </c>
      <c r="B693">
        <v>1411974</v>
      </c>
      <c r="D693" t="s">
        <v>7</v>
      </c>
      <c r="E693">
        <v>946394</v>
      </c>
      <c r="F693">
        <v>9015884123</v>
      </c>
      <c r="G693">
        <v>371</v>
      </c>
      <c r="H693" t="s">
        <v>1039</v>
      </c>
      <c r="I693">
        <v>0</v>
      </c>
      <c r="J693" t="s">
        <v>1040</v>
      </c>
      <c r="K693" t="s">
        <v>8</v>
      </c>
      <c r="L693" t="s">
        <v>19</v>
      </c>
      <c r="M693" t="s">
        <v>9</v>
      </c>
      <c r="N693" t="s">
        <v>14</v>
      </c>
      <c r="O693" s="2">
        <v>3206.83</v>
      </c>
      <c r="P693" s="3">
        <v>19.655000000000001</v>
      </c>
      <c r="Q693" s="1">
        <v>46033</v>
      </c>
      <c r="R693" s="1">
        <v>45992</v>
      </c>
      <c r="S693" s="1">
        <v>46022</v>
      </c>
      <c r="V693" s="8">
        <v>1</v>
      </c>
      <c r="W693" t="s">
        <v>24</v>
      </c>
      <c r="X693" t="s">
        <v>1041</v>
      </c>
      <c r="Y693" t="s">
        <v>595</v>
      </c>
      <c r="Z693" t="s">
        <v>11</v>
      </c>
      <c r="AA693">
        <v>62371</v>
      </c>
      <c r="AB693">
        <v>18437261</v>
      </c>
      <c r="AC693">
        <v>1</v>
      </c>
      <c r="AD693" s="8"/>
    </row>
    <row r="694" spans="1:30" x14ac:dyDescent="0.3">
      <c r="A694" t="s">
        <v>1627</v>
      </c>
      <c r="B694">
        <v>1408939</v>
      </c>
      <c r="D694" t="s">
        <v>7</v>
      </c>
      <c r="E694">
        <v>946340</v>
      </c>
      <c r="F694">
        <v>9015884123</v>
      </c>
      <c r="G694">
        <v>344</v>
      </c>
      <c r="H694" t="s">
        <v>1021</v>
      </c>
      <c r="I694">
        <v>0</v>
      </c>
      <c r="J694" t="s">
        <v>1022</v>
      </c>
      <c r="K694" t="s">
        <v>8</v>
      </c>
      <c r="L694" t="s">
        <v>15</v>
      </c>
      <c r="M694" t="s">
        <v>9</v>
      </c>
      <c r="N694" t="s">
        <v>14</v>
      </c>
      <c r="O694" s="2">
        <v>0</v>
      </c>
      <c r="P694" s="3">
        <v>2153.2930000000001</v>
      </c>
      <c r="Q694" s="1">
        <v>46033</v>
      </c>
      <c r="R694" s="1">
        <v>45992</v>
      </c>
      <c r="S694" s="1">
        <v>46022</v>
      </c>
      <c r="V694" s="8">
        <v>1</v>
      </c>
      <c r="W694" t="s">
        <v>24</v>
      </c>
      <c r="X694" t="s">
        <v>1023</v>
      </c>
      <c r="Y694" t="s">
        <v>595</v>
      </c>
      <c r="Z694" t="s">
        <v>11</v>
      </c>
      <c r="AA694">
        <v>62371</v>
      </c>
      <c r="AB694">
        <v>21471622</v>
      </c>
      <c r="AC694">
        <v>0</v>
      </c>
      <c r="AD694" s="8"/>
    </row>
    <row r="695" spans="1:30" x14ac:dyDescent="0.3">
      <c r="A695" t="s">
        <v>1627</v>
      </c>
      <c r="B695">
        <v>1418675</v>
      </c>
      <c r="D695" t="s">
        <v>7</v>
      </c>
      <c r="E695">
        <v>946664</v>
      </c>
      <c r="F695">
        <v>9015884123</v>
      </c>
      <c r="G695">
        <v>457</v>
      </c>
      <c r="H695" t="s">
        <v>1334</v>
      </c>
      <c r="I695">
        <v>0</v>
      </c>
      <c r="J695" t="s">
        <v>1335</v>
      </c>
      <c r="K695" t="s">
        <v>8</v>
      </c>
      <c r="L695" t="s">
        <v>15</v>
      </c>
      <c r="M695" t="s">
        <v>9</v>
      </c>
      <c r="N695" t="s">
        <v>14</v>
      </c>
      <c r="O695" s="2">
        <v>0</v>
      </c>
      <c r="P695" s="3">
        <v>1540.222</v>
      </c>
      <c r="Q695" s="1">
        <v>46033</v>
      </c>
      <c r="R695" s="1">
        <v>45992</v>
      </c>
      <c r="S695" s="1">
        <v>46022</v>
      </c>
      <c r="V695" s="8">
        <v>1</v>
      </c>
      <c r="W695" t="s">
        <v>24</v>
      </c>
      <c r="X695" t="s">
        <v>1336</v>
      </c>
      <c r="Y695" t="s">
        <v>38</v>
      </c>
      <c r="Z695" t="s">
        <v>11</v>
      </c>
      <c r="AA695">
        <v>62371</v>
      </c>
      <c r="AB695">
        <v>21434378</v>
      </c>
      <c r="AC695">
        <v>0</v>
      </c>
      <c r="AD695" s="8"/>
    </row>
    <row r="696" spans="1:30" x14ac:dyDescent="0.3">
      <c r="A696" t="s">
        <v>1627</v>
      </c>
      <c r="B696">
        <v>1340623</v>
      </c>
      <c r="D696" t="s">
        <v>7</v>
      </c>
      <c r="E696">
        <v>945215</v>
      </c>
      <c r="F696">
        <v>9015884123</v>
      </c>
      <c r="G696">
        <v>57</v>
      </c>
      <c r="H696" t="s">
        <v>574</v>
      </c>
      <c r="I696">
        <v>0</v>
      </c>
      <c r="J696" t="s">
        <v>575</v>
      </c>
      <c r="K696" t="s">
        <v>8</v>
      </c>
      <c r="L696" t="s">
        <v>15</v>
      </c>
      <c r="M696" t="s">
        <v>9</v>
      </c>
      <c r="N696" t="s">
        <v>14</v>
      </c>
      <c r="O696" s="2">
        <v>0</v>
      </c>
      <c r="P696" s="3">
        <v>11052.638999999999</v>
      </c>
      <c r="Q696" s="1">
        <v>46033</v>
      </c>
      <c r="R696" s="1">
        <v>45992</v>
      </c>
      <c r="S696" s="1">
        <v>46022</v>
      </c>
      <c r="V696" s="8">
        <v>1</v>
      </c>
      <c r="W696" t="s">
        <v>24</v>
      </c>
      <c r="X696" t="s">
        <v>576</v>
      </c>
      <c r="Y696" t="s">
        <v>10</v>
      </c>
      <c r="Z696" t="s">
        <v>11</v>
      </c>
      <c r="AA696">
        <v>62371</v>
      </c>
      <c r="AB696">
        <v>18158547</v>
      </c>
      <c r="AC696">
        <v>1</v>
      </c>
      <c r="AD696" s="8"/>
    </row>
    <row r="697" spans="1:30" x14ac:dyDescent="0.3">
      <c r="A697" t="s">
        <v>1627</v>
      </c>
      <c r="B697">
        <v>1340634</v>
      </c>
      <c r="D697" t="s">
        <v>7</v>
      </c>
      <c r="E697">
        <v>945235</v>
      </c>
      <c r="F697">
        <v>9015884123</v>
      </c>
      <c r="G697">
        <v>62</v>
      </c>
      <c r="H697" t="s">
        <v>1319</v>
      </c>
      <c r="I697">
        <v>0</v>
      </c>
      <c r="J697" t="s">
        <v>1320</v>
      </c>
      <c r="K697" t="s">
        <v>8</v>
      </c>
      <c r="L697" t="s">
        <v>19</v>
      </c>
      <c r="M697" t="s">
        <v>9</v>
      </c>
      <c r="N697" t="s">
        <v>14</v>
      </c>
      <c r="O697" s="2">
        <v>2696.48</v>
      </c>
      <c r="P697" s="3">
        <v>16.527000000000001</v>
      </c>
      <c r="Q697" s="1">
        <v>46033</v>
      </c>
      <c r="R697" s="1">
        <v>45992</v>
      </c>
      <c r="S697" s="1">
        <v>46022</v>
      </c>
      <c r="V697" s="8">
        <v>1</v>
      </c>
      <c r="W697" t="s">
        <v>24</v>
      </c>
      <c r="X697" t="s">
        <v>1321</v>
      </c>
      <c r="Y697" t="s">
        <v>10</v>
      </c>
      <c r="Z697" t="s">
        <v>11</v>
      </c>
      <c r="AA697">
        <v>62371</v>
      </c>
      <c r="AB697">
        <v>18404974</v>
      </c>
      <c r="AC697">
        <v>1</v>
      </c>
      <c r="AD697" s="8"/>
    </row>
    <row r="698" spans="1:30" x14ac:dyDescent="0.3">
      <c r="A698" t="s">
        <v>1627</v>
      </c>
      <c r="B698">
        <v>1356311</v>
      </c>
      <c r="D698" t="s">
        <v>7</v>
      </c>
      <c r="E698">
        <v>945450</v>
      </c>
      <c r="F698">
        <v>9015884123</v>
      </c>
      <c r="G698">
        <v>128</v>
      </c>
      <c r="H698" t="s">
        <v>599</v>
      </c>
      <c r="I698">
        <v>0</v>
      </c>
      <c r="J698" t="s">
        <v>600</v>
      </c>
      <c r="K698" t="s">
        <v>8</v>
      </c>
      <c r="L698" t="s">
        <v>67</v>
      </c>
      <c r="M698" t="s">
        <v>9</v>
      </c>
      <c r="N698" t="s">
        <v>14</v>
      </c>
      <c r="O698" s="2">
        <v>270055.90000000002</v>
      </c>
      <c r="P698" s="3">
        <v>2500.616</v>
      </c>
      <c r="Q698" s="1">
        <v>46033</v>
      </c>
      <c r="R698" s="1">
        <v>45992</v>
      </c>
      <c r="S698" s="1">
        <v>46022</v>
      </c>
      <c r="V698" s="8">
        <v>1</v>
      </c>
      <c r="W698" t="s">
        <v>24</v>
      </c>
      <c r="X698" t="s">
        <v>601</v>
      </c>
      <c r="Y698" t="s">
        <v>40</v>
      </c>
      <c r="Z698" t="s">
        <v>11</v>
      </c>
      <c r="AA698">
        <v>62371</v>
      </c>
      <c r="AB698">
        <v>18763348</v>
      </c>
      <c r="AC698">
        <v>1</v>
      </c>
      <c r="AD698" s="8"/>
    </row>
    <row r="699" spans="1:30" x14ac:dyDescent="0.3">
      <c r="A699" t="s">
        <v>1627</v>
      </c>
      <c r="B699">
        <v>1356318</v>
      </c>
      <c r="D699" t="s">
        <v>7</v>
      </c>
      <c r="E699">
        <v>945459</v>
      </c>
      <c r="F699">
        <v>9015884123</v>
      </c>
      <c r="G699">
        <v>132</v>
      </c>
      <c r="H699" t="s">
        <v>1337</v>
      </c>
      <c r="I699">
        <v>0</v>
      </c>
      <c r="J699" t="s">
        <v>1338</v>
      </c>
      <c r="K699" t="s">
        <v>8</v>
      </c>
      <c r="L699" t="s">
        <v>15</v>
      </c>
      <c r="M699" t="s">
        <v>9</v>
      </c>
      <c r="N699" t="s">
        <v>14</v>
      </c>
      <c r="O699" s="2">
        <v>0</v>
      </c>
      <c r="P699" s="3">
        <v>2487.4189999999999</v>
      </c>
      <c r="Q699" s="1">
        <v>46033</v>
      </c>
      <c r="R699" s="1">
        <v>45992</v>
      </c>
      <c r="S699" s="1">
        <v>46022</v>
      </c>
      <c r="V699" s="8">
        <v>1</v>
      </c>
      <c r="W699" t="s">
        <v>24</v>
      </c>
      <c r="X699" t="s">
        <v>1339</v>
      </c>
      <c r="Y699" t="s">
        <v>40</v>
      </c>
      <c r="Z699" t="s">
        <v>11</v>
      </c>
      <c r="AA699">
        <v>62371</v>
      </c>
      <c r="AB699">
        <v>18668572</v>
      </c>
      <c r="AC699">
        <v>1</v>
      </c>
      <c r="AD699" s="8"/>
    </row>
    <row r="700" spans="1:30" x14ac:dyDescent="0.3">
      <c r="A700" t="s">
        <v>1627</v>
      </c>
      <c r="B700">
        <v>1356296</v>
      </c>
      <c r="D700" t="s">
        <v>7</v>
      </c>
      <c r="E700">
        <v>945375</v>
      </c>
      <c r="F700">
        <v>9015884123</v>
      </c>
      <c r="G700">
        <v>104</v>
      </c>
      <c r="H700" t="s">
        <v>1054</v>
      </c>
      <c r="I700">
        <v>0</v>
      </c>
      <c r="J700" t="s">
        <v>1055</v>
      </c>
      <c r="K700" t="s">
        <v>8</v>
      </c>
      <c r="L700" t="s">
        <v>18</v>
      </c>
      <c r="M700" t="s">
        <v>9</v>
      </c>
      <c r="N700" t="s">
        <v>14</v>
      </c>
      <c r="O700" s="2">
        <v>0.59</v>
      </c>
      <c r="P700" s="3">
        <v>0</v>
      </c>
      <c r="Q700" s="1">
        <v>46033</v>
      </c>
      <c r="R700" s="1">
        <v>45992</v>
      </c>
      <c r="S700" s="1">
        <v>46022</v>
      </c>
      <c r="V700" s="8">
        <v>1</v>
      </c>
      <c r="W700" t="s">
        <v>24</v>
      </c>
      <c r="X700" t="s">
        <v>1056</v>
      </c>
      <c r="Y700" t="s">
        <v>40</v>
      </c>
      <c r="Z700" t="s">
        <v>11</v>
      </c>
      <c r="AA700">
        <v>62371</v>
      </c>
      <c r="AB700">
        <v>17964231</v>
      </c>
      <c r="AC700">
        <v>0</v>
      </c>
      <c r="AD700" s="8"/>
    </row>
    <row r="701" spans="1:30" x14ac:dyDescent="0.3">
      <c r="A701" t="s">
        <v>1627</v>
      </c>
      <c r="B701">
        <v>1338511</v>
      </c>
      <c r="D701" t="s">
        <v>7</v>
      </c>
      <c r="E701">
        <v>945203</v>
      </c>
      <c r="F701">
        <v>9015884123</v>
      </c>
      <c r="G701">
        <v>53</v>
      </c>
      <c r="H701" t="s">
        <v>1000</v>
      </c>
      <c r="I701">
        <v>0</v>
      </c>
      <c r="J701" t="s">
        <v>1001</v>
      </c>
      <c r="K701" t="s">
        <v>8</v>
      </c>
      <c r="L701" t="s">
        <v>15</v>
      </c>
      <c r="M701" t="s">
        <v>9</v>
      </c>
      <c r="N701" t="s">
        <v>14</v>
      </c>
      <c r="O701" s="2">
        <v>0</v>
      </c>
      <c r="P701" s="3">
        <v>767.58</v>
      </c>
      <c r="Q701" s="1">
        <v>46033</v>
      </c>
      <c r="R701" s="1">
        <v>45992</v>
      </c>
      <c r="S701" s="1">
        <v>46022</v>
      </c>
      <c r="V701" s="8">
        <v>1</v>
      </c>
      <c r="W701" t="s">
        <v>24</v>
      </c>
      <c r="X701" t="s">
        <v>1002</v>
      </c>
      <c r="Y701" t="s">
        <v>10</v>
      </c>
      <c r="Z701" t="s">
        <v>11</v>
      </c>
      <c r="AA701">
        <v>62371</v>
      </c>
      <c r="AB701">
        <v>18440412</v>
      </c>
      <c r="AC701">
        <v>1</v>
      </c>
      <c r="AD701" s="8"/>
    </row>
    <row r="702" spans="1:30" x14ac:dyDescent="0.3">
      <c r="A702" t="s">
        <v>1627</v>
      </c>
      <c r="B702">
        <v>1363421</v>
      </c>
      <c r="D702" t="s">
        <v>7</v>
      </c>
      <c r="E702">
        <v>945919</v>
      </c>
      <c r="F702">
        <v>9015884123</v>
      </c>
      <c r="G702">
        <v>170</v>
      </c>
      <c r="H702" t="s">
        <v>1340</v>
      </c>
      <c r="I702">
        <v>0</v>
      </c>
      <c r="J702" t="s">
        <v>1341</v>
      </c>
      <c r="K702" t="s">
        <v>8</v>
      </c>
      <c r="L702" t="s">
        <v>67</v>
      </c>
      <c r="M702" t="s">
        <v>9</v>
      </c>
      <c r="N702" t="s">
        <v>14</v>
      </c>
      <c r="O702" s="2">
        <v>238255.5</v>
      </c>
      <c r="P702" s="3">
        <v>1672.7729999999999</v>
      </c>
      <c r="Q702" s="1">
        <v>46033</v>
      </c>
      <c r="R702" s="1">
        <v>45992</v>
      </c>
      <c r="S702" s="1">
        <v>46022</v>
      </c>
      <c r="V702" s="8">
        <v>1</v>
      </c>
      <c r="W702" t="s">
        <v>24</v>
      </c>
      <c r="X702" t="s">
        <v>1342</v>
      </c>
      <c r="Y702" t="s">
        <v>40</v>
      </c>
      <c r="Z702" t="s">
        <v>11</v>
      </c>
      <c r="AA702">
        <v>62371</v>
      </c>
      <c r="AB702">
        <v>17955186</v>
      </c>
      <c r="AC702">
        <v>0</v>
      </c>
      <c r="AD702" s="8"/>
    </row>
    <row r="703" spans="1:30" x14ac:dyDescent="0.3">
      <c r="A703" t="s">
        <v>1627</v>
      </c>
      <c r="B703">
        <v>1363421</v>
      </c>
      <c r="D703" t="s">
        <v>7</v>
      </c>
      <c r="E703">
        <v>945919</v>
      </c>
      <c r="F703">
        <v>9015884123</v>
      </c>
      <c r="G703">
        <v>170</v>
      </c>
      <c r="H703" t="s">
        <v>1340</v>
      </c>
      <c r="I703">
        <v>0</v>
      </c>
      <c r="J703" t="s">
        <v>1341</v>
      </c>
      <c r="K703" t="s">
        <v>8</v>
      </c>
      <c r="L703" t="s">
        <v>18</v>
      </c>
      <c r="M703" t="s">
        <v>9</v>
      </c>
      <c r="N703" t="s">
        <v>14</v>
      </c>
      <c r="O703" s="2">
        <v>-0.48</v>
      </c>
      <c r="P703" s="3">
        <v>0</v>
      </c>
      <c r="Q703" s="1">
        <v>46033</v>
      </c>
      <c r="R703" s="1">
        <v>45992</v>
      </c>
      <c r="S703" s="1">
        <v>46022</v>
      </c>
      <c r="V703" s="8">
        <v>1</v>
      </c>
      <c r="W703" t="s">
        <v>24</v>
      </c>
      <c r="X703" t="s">
        <v>1342</v>
      </c>
      <c r="Y703" t="s">
        <v>40</v>
      </c>
      <c r="Z703" t="s">
        <v>11</v>
      </c>
      <c r="AA703">
        <v>62371</v>
      </c>
      <c r="AB703">
        <v>17955186</v>
      </c>
      <c r="AC703">
        <v>0</v>
      </c>
      <c r="AD703" s="8"/>
    </row>
    <row r="704" spans="1:30" x14ac:dyDescent="0.3">
      <c r="A704" t="s">
        <v>1627</v>
      </c>
      <c r="B704">
        <v>1340677</v>
      </c>
      <c r="D704" t="s">
        <v>7</v>
      </c>
      <c r="E704">
        <v>945240</v>
      </c>
      <c r="F704">
        <v>9015884123</v>
      </c>
      <c r="G704">
        <v>64</v>
      </c>
      <c r="H704" t="s">
        <v>1018</v>
      </c>
      <c r="I704">
        <v>0</v>
      </c>
      <c r="J704" t="s">
        <v>1019</v>
      </c>
      <c r="K704" t="s">
        <v>8</v>
      </c>
      <c r="L704" t="s">
        <v>67</v>
      </c>
      <c r="M704" t="s">
        <v>9</v>
      </c>
      <c r="N704" t="s">
        <v>14</v>
      </c>
      <c r="O704" s="2">
        <v>237258.67</v>
      </c>
      <c r="P704" s="3">
        <v>2196.9259999999999</v>
      </c>
      <c r="Q704" s="1">
        <v>46033</v>
      </c>
      <c r="R704" s="1">
        <v>45992</v>
      </c>
      <c r="S704" s="1">
        <v>46022</v>
      </c>
      <c r="V704" s="8">
        <v>1</v>
      </c>
      <c r="W704" t="s">
        <v>24</v>
      </c>
      <c r="X704" t="s">
        <v>1020</v>
      </c>
      <c r="Y704" t="s">
        <v>10</v>
      </c>
      <c r="Z704" t="s">
        <v>11</v>
      </c>
      <c r="AA704">
        <v>62371</v>
      </c>
      <c r="AB704">
        <v>17032635</v>
      </c>
      <c r="AC704">
        <v>1</v>
      </c>
      <c r="AD704" s="8"/>
    </row>
    <row r="705" spans="1:30" x14ac:dyDescent="0.3">
      <c r="A705" t="s">
        <v>1627</v>
      </c>
      <c r="B705">
        <v>1340677</v>
      </c>
      <c r="D705" t="s">
        <v>7</v>
      </c>
      <c r="E705">
        <v>945240</v>
      </c>
      <c r="F705">
        <v>9015884123</v>
      </c>
      <c r="G705">
        <v>64</v>
      </c>
      <c r="H705" t="s">
        <v>1018</v>
      </c>
      <c r="I705">
        <v>0</v>
      </c>
      <c r="J705" t="s">
        <v>1019</v>
      </c>
      <c r="K705" t="s">
        <v>8</v>
      </c>
      <c r="L705" t="s">
        <v>19</v>
      </c>
      <c r="M705" t="s">
        <v>9</v>
      </c>
      <c r="N705" t="s">
        <v>14</v>
      </c>
      <c r="O705" s="2">
        <v>10021.209999999999</v>
      </c>
      <c r="P705" s="3">
        <v>61.420999999999999</v>
      </c>
      <c r="Q705" s="1">
        <v>46033</v>
      </c>
      <c r="R705" s="1">
        <v>45992</v>
      </c>
      <c r="S705" s="1">
        <v>46022</v>
      </c>
      <c r="V705" s="8">
        <v>1</v>
      </c>
      <c r="W705" t="s">
        <v>24</v>
      </c>
      <c r="X705" t="s">
        <v>1020</v>
      </c>
      <c r="Y705" t="s">
        <v>10</v>
      </c>
      <c r="Z705" t="s">
        <v>11</v>
      </c>
      <c r="AA705">
        <v>62371</v>
      </c>
      <c r="AB705">
        <v>17032635</v>
      </c>
      <c r="AC705">
        <v>1</v>
      </c>
      <c r="AD705" s="8"/>
    </row>
    <row r="706" spans="1:30" x14ac:dyDescent="0.3">
      <c r="A706" t="s">
        <v>1627</v>
      </c>
      <c r="B706">
        <v>1380304</v>
      </c>
      <c r="D706" t="s">
        <v>7</v>
      </c>
      <c r="E706">
        <v>945994</v>
      </c>
      <c r="F706">
        <v>9015884123</v>
      </c>
      <c r="G706">
        <v>215</v>
      </c>
      <c r="H706" t="s">
        <v>1069</v>
      </c>
      <c r="I706">
        <v>0</v>
      </c>
      <c r="J706" t="s">
        <v>1070</v>
      </c>
      <c r="K706" t="s">
        <v>8</v>
      </c>
      <c r="L706" t="s">
        <v>67</v>
      </c>
      <c r="M706" t="s">
        <v>9</v>
      </c>
      <c r="N706" t="s">
        <v>14</v>
      </c>
      <c r="O706" s="2">
        <v>613062.39</v>
      </c>
      <c r="P706" s="3">
        <v>5676.7269999999999</v>
      </c>
      <c r="Q706" s="1">
        <v>46033</v>
      </c>
      <c r="R706" s="1">
        <v>45992</v>
      </c>
      <c r="S706" s="1">
        <v>46022</v>
      </c>
      <c r="V706" s="8">
        <v>1</v>
      </c>
      <c r="W706" t="s">
        <v>24</v>
      </c>
      <c r="X706" t="s">
        <v>1071</v>
      </c>
      <c r="Y706" t="s">
        <v>40</v>
      </c>
      <c r="Z706" t="s">
        <v>11</v>
      </c>
      <c r="AA706">
        <v>62371</v>
      </c>
      <c r="AB706">
        <v>19752662</v>
      </c>
      <c r="AC706">
        <v>1</v>
      </c>
      <c r="AD706" s="8"/>
    </row>
    <row r="707" spans="1:30" x14ac:dyDescent="0.3">
      <c r="A707" t="s">
        <v>1627</v>
      </c>
      <c r="B707">
        <v>1399954</v>
      </c>
      <c r="D707" t="s">
        <v>7</v>
      </c>
      <c r="E707">
        <v>946093</v>
      </c>
      <c r="F707">
        <v>9015884123</v>
      </c>
      <c r="G707">
        <v>251</v>
      </c>
      <c r="H707" t="s">
        <v>1343</v>
      </c>
      <c r="I707">
        <v>0</v>
      </c>
      <c r="J707" t="s">
        <v>1344</v>
      </c>
      <c r="K707" t="s">
        <v>8</v>
      </c>
      <c r="L707" t="s">
        <v>15</v>
      </c>
      <c r="M707" t="s">
        <v>9</v>
      </c>
      <c r="N707" t="s">
        <v>14</v>
      </c>
      <c r="O707" s="2">
        <v>0</v>
      </c>
      <c r="P707" s="3">
        <v>2401.0439999999999</v>
      </c>
      <c r="Q707" s="1">
        <v>46033</v>
      </c>
      <c r="R707" s="1">
        <v>45992</v>
      </c>
      <c r="S707" s="1">
        <v>46022</v>
      </c>
      <c r="V707" s="8">
        <v>1</v>
      </c>
      <c r="W707" t="s">
        <v>24</v>
      </c>
      <c r="X707" t="s">
        <v>1345</v>
      </c>
      <c r="Y707" t="s">
        <v>40</v>
      </c>
      <c r="Z707" t="s">
        <v>11</v>
      </c>
      <c r="AA707">
        <v>62371</v>
      </c>
      <c r="AB707">
        <v>18673828</v>
      </c>
      <c r="AC707">
        <v>1</v>
      </c>
      <c r="AD707" s="8"/>
    </row>
    <row r="708" spans="1:30" x14ac:dyDescent="0.3">
      <c r="A708" t="s">
        <v>1627</v>
      </c>
      <c r="B708">
        <v>1402283</v>
      </c>
      <c r="D708" t="s">
        <v>7</v>
      </c>
      <c r="E708">
        <v>946104</v>
      </c>
      <c r="F708">
        <v>9015884123</v>
      </c>
      <c r="G708">
        <v>255</v>
      </c>
      <c r="H708" t="s">
        <v>1346</v>
      </c>
      <c r="I708">
        <v>0</v>
      </c>
      <c r="J708" t="s">
        <v>1347</v>
      </c>
      <c r="K708" t="s">
        <v>8</v>
      </c>
      <c r="L708" t="s">
        <v>15</v>
      </c>
      <c r="M708" t="s">
        <v>9</v>
      </c>
      <c r="N708" t="s">
        <v>14</v>
      </c>
      <c r="O708" s="2">
        <v>0</v>
      </c>
      <c r="P708" s="3">
        <v>1187.6790000000001</v>
      </c>
      <c r="Q708" s="1">
        <v>46033</v>
      </c>
      <c r="R708" s="1">
        <v>45992</v>
      </c>
      <c r="S708" s="1">
        <v>46022</v>
      </c>
      <c r="V708" s="8">
        <v>1</v>
      </c>
      <c r="W708" t="s">
        <v>24</v>
      </c>
      <c r="X708" t="s">
        <v>1348</v>
      </c>
      <c r="Y708" t="s">
        <v>655</v>
      </c>
      <c r="Z708" t="s">
        <v>11</v>
      </c>
      <c r="AA708">
        <v>62371</v>
      </c>
      <c r="AB708">
        <v>18889309</v>
      </c>
      <c r="AC708">
        <v>1</v>
      </c>
      <c r="AD708" s="8"/>
    </row>
    <row r="709" spans="1:30" x14ac:dyDescent="0.3">
      <c r="A709" t="s">
        <v>1627</v>
      </c>
      <c r="B709">
        <v>1402283</v>
      </c>
      <c r="D709" t="s">
        <v>7</v>
      </c>
      <c r="E709">
        <v>946104</v>
      </c>
      <c r="F709">
        <v>9015884123</v>
      </c>
      <c r="G709">
        <v>255</v>
      </c>
      <c r="H709" t="s">
        <v>1346</v>
      </c>
      <c r="I709">
        <v>0</v>
      </c>
      <c r="J709" t="s">
        <v>1347</v>
      </c>
      <c r="K709" t="s">
        <v>8</v>
      </c>
      <c r="L709" t="s">
        <v>19</v>
      </c>
      <c r="M709" t="s">
        <v>9</v>
      </c>
      <c r="N709" t="s">
        <v>14</v>
      </c>
      <c r="O709" s="2">
        <v>2131.14</v>
      </c>
      <c r="P709" s="3">
        <v>13.061999999999999</v>
      </c>
      <c r="Q709" s="1">
        <v>46033</v>
      </c>
      <c r="R709" s="1">
        <v>45992</v>
      </c>
      <c r="S709" s="1">
        <v>46022</v>
      </c>
      <c r="V709" s="8">
        <v>1</v>
      </c>
      <c r="W709" t="s">
        <v>24</v>
      </c>
      <c r="X709" t="s">
        <v>1348</v>
      </c>
      <c r="Y709" t="s">
        <v>655</v>
      </c>
      <c r="Z709" t="s">
        <v>11</v>
      </c>
      <c r="AA709">
        <v>62371</v>
      </c>
      <c r="AB709">
        <v>18889309</v>
      </c>
      <c r="AC709">
        <v>1</v>
      </c>
      <c r="AD709" s="8"/>
    </row>
    <row r="710" spans="1:30" x14ac:dyDescent="0.3">
      <c r="A710" t="s">
        <v>1627</v>
      </c>
      <c r="B710">
        <v>1415374</v>
      </c>
      <c r="D710" t="s">
        <v>7</v>
      </c>
      <c r="E710">
        <v>946443</v>
      </c>
      <c r="F710">
        <v>9015884123</v>
      </c>
      <c r="G710">
        <v>387</v>
      </c>
      <c r="H710" t="s">
        <v>1325</v>
      </c>
      <c r="I710">
        <v>0</v>
      </c>
      <c r="J710" t="s">
        <v>1326</v>
      </c>
      <c r="K710" t="s">
        <v>8</v>
      </c>
      <c r="L710" t="s">
        <v>15</v>
      </c>
      <c r="M710" t="s">
        <v>9</v>
      </c>
      <c r="N710" t="s">
        <v>14</v>
      </c>
      <c r="O710" s="2">
        <v>0</v>
      </c>
      <c r="P710" s="3">
        <v>1502.13</v>
      </c>
      <c r="Q710" s="1">
        <v>46033</v>
      </c>
      <c r="R710" s="1">
        <v>45992</v>
      </c>
      <c r="S710" s="1">
        <v>46022</v>
      </c>
      <c r="V710" s="8">
        <v>1</v>
      </c>
      <c r="W710" t="s">
        <v>24</v>
      </c>
      <c r="X710" t="s">
        <v>1327</v>
      </c>
      <c r="Y710" t="s">
        <v>594</v>
      </c>
      <c r="Z710" t="s">
        <v>11</v>
      </c>
      <c r="AA710">
        <v>62371</v>
      </c>
      <c r="AB710">
        <v>21423523</v>
      </c>
      <c r="AC710">
        <v>0</v>
      </c>
      <c r="AD710" s="8"/>
    </row>
    <row r="711" spans="1:30" x14ac:dyDescent="0.3">
      <c r="A711" t="s">
        <v>1627</v>
      </c>
      <c r="B711">
        <v>1354511</v>
      </c>
      <c r="D711" t="s">
        <v>7</v>
      </c>
      <c r="E711">
        <v>945353</v>
      </c>
      <c r="F711">
        <v>9015884123</v>
      </c>
      <c r="G711">
        <v>97</v>
      </c>
      <c r="H711" t="s">
        <v>1349</v>
      </c>
      <c r="I711">
        <v>0</v>
      </c>
      <c r="J711" t="s">
        <v>1350</v>
      </c>
      <c r="K711" t="s">
        <v>8</v>
      </c>
      <c r="L711" t="s">
        <v>15</v>
      </c>
      <c r="M711" t="s">
        <v>9</v>
      </c>
      <c r="N711" t="s">
        <v>14</v>
      </c>
      <c r="O711" s="2">
        <v>0</v>
      </c>
      <c r="P711" s="3">
        <v>3441.125</v>
      </c>
      <c r="Q711" s="1">
        <v>46033</v>
      </c>
      <c r="R711" s="1">
        <v>45992</v>
      </c>
      <c r="S711" s="1">
        <v>46022</v>
      </c>
      <c r="V711" s="8">
        <v>1</v>
      </c>
      <c r="W711" t="s">
        <v>24</v>
      </c>
      <c r="X711" t="s">
        <v>1351</v>
      </c>
      <c r="Y711" t="s">
        <v>32</v>
      </c>
      <c r="Z711" t="s">
        <v>11</v>
      </c>
      <c r="AA711">
        <v>62371</v>
      </c>
      <c r="AB711">
        <v>17704685</v>
      </c>
      <c r="AC711">
        <v>0</v>
      </c>
      <c r="AD711" s="8"/>
    </row>
    <row r="712" spans="1:30" x14ac:dyDescent="0.3">
      <c r="A712" t="s">
        <v>1627</v>
      </c>
      <c r="B712">
        <v>1363344</v>
      </c>
      <c r="D712" t="s">
        <v>7</v>
      </c>
      <c r="E712">
        <v>945924</v>
      </c>
      <c r="F712">
        <v>9015884123</v>
      </c>
      <c r="G712">
        <v>175</v>
      </c>
      <c r="H712" t="s">
        <v>587</v>
      </c>
      <c r="I712">
        <v>0</v>
      </c>
      <c r="J712" t="s">
        <v>588</v>
      </c>
      <c r="K712" t="s">
        <v>8</v>
      </c>
      <c r="L712" t="s">
        <v>18</v>
      </c>
      <c r="M712" t="s">
        <v>9</v>
      </c>
      <c r="N712" t="s">
        <v>14</v>
      </c>
      <c r="O712" s="2">
        <v>-1.82</v>
      </c>
      <c r="P712" s="3">
        <v>0</v>
      </c>
      <c r="Q712" s="1">
        <v>46033</v>
      </c>
      <c r="R712" s="1">
        <v>45992</v>
      </c>
      <c r="S712" s="1">
        <v>46022</v>
      </c>
      <c r="V712" s="8">
        <v>1</v>
      </c>
      <c r="W712" t="s">
        <v>24</v>
      </c>
      <c r="X712" t="s">
        <v>589</v>
      </c>
      <c r="Y712" t="s">
        <v>590</v>
      </c>
      <c r="Z712" t="s">
        <v>11</v>
      </c>
      <c r="AA712">
        <v>62371</v>
      </c>
      <c r="AB712">
        <v>17420868</v>
      </c>
      <c r="AC712">
        <v>1</v>
      </c>
      <c r="AD712" s="8"/>
    </row>
    <row r="713" spans="1:30" x14ac:dyDescent="0.3">
      <c r="A713" t="s">
        <v>1627</v>
      </c>
      <c r="B713">
        <v>1408944</v>
      </c>
      <c r="D713" t="s">
        <v>7</v>
      </c>
      <c r="E713">
        <v>946347</v>
      </c>
      <c r="F713">
        <v>9015884123</v>
      </c>
      <c r="G713">
        <v>347</v>
      </c>
      <c r="H713" t="s">
        <v>1033</v>
      </c>
      <c r="I713">
        <v>0</v>
      </c>
      <c r="J713" t="s">
        <v>1034</v>
      </c>
      <c r="K713" t="s">
        <v>8</v>
      </c>
      <c r="L713" t="s">
        <v>18</v>
      </c>
      <c r="M713" t="s">
        <v>9</v>
      </c>
      <c r="N713" t="s">
        <v>14</v>
      </c>
      <c r="O713" s="2">
        <v>1.64</v>
      </c>
      <c r="P713" s="3">
        <v>0</v>
      </c>
      <c r="Q713" s="1">
        <v>46033</v>
      </c>
      <c r="R713" s="1">
        <v>45992</v>
      </c>
      <c r="S713" s="1">
        <v>46022</v>
      </c>
      <c r="V713" s="8">
        <v>1</v>
      </c>
      <c r="W713" t="s">
        <v>24</v>
      </c>
      <c r="X713" t="s">
        <v>1035</v>
      </c>
      <c r="Y713" t="s">
        <v>62</v>
      </c>
      <c r="Z713" t="s">
        <v>11</v>
      </c>
      <c r="AA713">
        <v>62371</v>
      </c>
      <c r="AB713">
        <v>17746989</v>
      </c>
      <c r="AC713">
        <v>0</v>
      </c>
      <c r="AD713" s="8"/>
    </row>
    <row r="714" spans="1:30" x14ac:dyDescent="0.3">
      <c r="A714" t="s">
        <v>1627</v>
      </c>
      <c r="B714">
        <v>1303767</v>
      </c>
      <c r="D714" t="s">
        <v>7</v>
      </c>
      <c r="E714">
        <v>945163</v>
      </c>
      <c r="F714">
        <v>9015884123</v>
      </c>
      <c r="G714">
        <v>33</v>
      </c>
      <c r="H714" t="s">
        <v>662</v>
      </c>
      <c r="I714">
        <v>0</v>
      </c>
      <c r="J714" t="s">
        <v>663</v>
      </c>
      <c r="K714" t="s">
        <v>8</v>
      </c>
      <c r="L714" t="s">
        <v>18</v>
      </c>
      <c r="M714" t="s">
        <v>9</v>
      </c>
      <c r="N714" t="s">
        <v>14</v>
      </c>
      <c r="O714" s="2">
        <v>2</v>
      </c>
      <c r="P714" s="3">
        <v>0</v>
      </c>
      <c r="Q714" s="1">
        <v>46033</v>
      </c>
      <c r="R714" s="1">
        <v>45992</v>
      </c>
      <c r="S714" s="1">
        <v>46022</v>
      </c>
      <c r="V714" s="8">
        <v>1</v>
      </c>
      <c r="W714" t="s">
        <v>24</v>
      </c>
      <c r="X714" t="s">
        <v>664</v>
      </c>
      <c r="Y714" t="s">
        <v>40</v>
      </c>
      <c r="Z714" t="s">
        <v>11</v>
      </c>
      <c r="AA714">
        <v>62371</v>
      </c>
      <c r="AB714">
        <v>18975211</v>
      </c>
      <c r="AC714">
        <v>1</v>
      </c>
      <c r="AD714" s="8"/>
    </row>
    <row r="715" spans="1:30" x14ac:dyDescent="0.3">
      <c r="A715" t="s">
        <v>1627</v>
      </c>
      <c r="B715">
        <v>1353827</v>
      </c>
      <c r="D715" t="s">
        <v>7</v>
      </c>
      <c r="E715">
        <v>945346</v>
      </c>
      <c r="F715">
        <v>9015884123</v>
      </c>
      <c r="G715">
        <v>95</v>
      </c>
      <c r="H715" t="s">
        <v>1352</v>
      </c>
      <c r="I715">
        <v>0</v>
      </c>
      <c r="J715" t="s">
        <v>1353</v>
      </c>
      <c r="K715" t="s">
        <v>8</v>
      </c>
      <c r="L715" t="s">
        <v>15</v>
      </c>
      <c r="M715" t="s">
        <v>9</v>
      </c>
      <c r="N715" t="s">
        <v>14</v>
      </c>
      <c r="O715" s="2">
        <v>0</v>
      </c>
      <c r="P715" s="3">
        <v>3093.5149999999999</v>
      </c>
      <c r="Q715" s="1">
        <v>46033</v>
      </c>
      <c r="R715" s="1">
        <v>45992</v>
      </c>
      <c r="S715" s="1">
        <v>46022</v>
      </c>
      <c r="V715" s="8">
        <v>1</v>
      </c>
      <c r="W715" t="s">
        <v>24</v>
      </c>
      <c r="X715" t="s">
        <v>1354</v>
      </c>
      <c r="Y715" t="s">
        <v>36</v>
      </c>
      <c r="Z715" t="s">
        <v>11</v>
      </c>
      <c r="AA715">
        <v>62371</v>
      </c>
      <c r="AB715">
        <v>18109993</v>
      </c>
      <c r="AC715">
        <v>0</v>
      </c>
      <c r="AD715" s="8"/>
    </row>
    <row r="716" spans="1:30" x14ac:dyDescent="0.3">
      <c r="A716" t="s">
        <v>1627</v>
      </c>
      <c r="B716">
        <v>1344279</v>
      </c>
      <c r="D716" t="s">
        <v>7</v>
      </c>
      <c r="E716">
        <v>945289</v>
      </c>
      <c r="F716">
        <v>9015884123</v>
      </c>
      <c r="G716">
        <v>78</v>
      </c>
      <c r="H716" t="s">
        <v>624</v>
      </c>
      <c r="I716">
        <v>0</v>
      </c>
      <c r="J716" t="s">
        <v>625</v>
      </c>
      <c r="K716" t="s">
        <v>8</v>
      </c>
      <c r="L716" t="s">
        <v>67</v>
      </c>
      <c r="M716" t="s">
        <v>9</v>
      </c>
      <c r="N716" t="s">
        <v>14</v>
      </c>
      <c r="O716" s="2">
        <v>556045.43999999994</v>
      </c>
      <c r="P716" s="3">
        <v>3903.951</v>
      </c>
      <c r="Q716" s="1">
        <v>46033</v>
      </c>
      <c r="R716" s="1">
        <v>45992</v>
      </c>
      <c r="S716" s="1">
        <v>46022</v>
      </c>
      <c r="V716" s="8">
        <v>1</v>
      </c>
      <c r="W716" t="s">
        <v>24</v>
      </c>
      <c r="X716" t="s">
        <v>626</v>
      </c>
      <c r="Y716" t="s">
        <v>40</v>
      </c>
      <c r="Z716" t="s">
        <v>11</v>
      </c>
      <c r="AA716">
        <v>62371</v>
      </c>
      <c r="AB716">
        <v>17949323</v>
      </c>
      <c r="AC716">
        <v>0</v>
      </c>
      <c r="AD716" s="8"/>
    </row>
    <row r="717" spans="1:30" x14ac:dyDescent="0.3">
      <c r="A717" t="s">
        <v>1627</v>
      </c>
      <c r="B717">
        <v>1344279</v>
      </c>
      <c r="D717" t="s">
        <v>7</v>
      </c>
      <c r="E717">
        <v>945289</v>
      </c>
      <c r="F717">
        <v>9015884123</v>
      </c>
      <c r="G717">
        <v>78</v>
      </c>
      <c r="H717" t="s">
        <v>624</v>
      </c>
      <c r="I717">
        <v>0</v>
      </c>
      <c r="J717" t="s">
        <v>625</v>
      </c>
      <c r="K717" t="s">
        <v>8</v>
      </c>
      <c r="L717" t="s">
        <v>18</v>
      </c>
      <c r="M717" t="s">
        <v>9</v>
      </c>
      <c r="N717" t="s">
        <v>14</v>
      </c>
      <c r="O717" s="2">
        <v>-0.09</v>
      </c>
      <c r="P717" s="3">
        <v>0</v>
      </c>
      <c r="Q717" s="1">
        <v>46033</v>
      </c>
      <c r="R717" s="1">
        <v>45992</v>
      </c>
      <c r="S717" s="1">
        <v>46022</v>
      </c>
      <c r="V717" s="8">
        <v>1</v>
      </c>
      <c r="W717" t="s">
        <v>24</v>
      </c>
      <c r="X717" t="s">
        <v>626</v>
      </c>
      <c r="Y717" t="s">
        <v>40</v>
      </c>
      <c r="Z717" t="s">
        <v>11</v>
      </c>
      <c r="AA717">
        <v>62371</v>
      </c>
      <c r="AB717">
        <v>17949323</v>
      </c>
      <c r="AC717">
        <v>0</v>
      </c>
      <c r="AD717" s="8"/>
    </row>
    <row r="718" spans="1:30" x14ac:dyDescent="0.3">
      <c r="A718" t="s">
        <v>1627</v>
      </c>
      <c r="B718">
        <v>1295340</v>
      </c>
      <c r="D718" t="s">
        <v>7</v>
      </c>
      <c r="E718">
        <v>945115</v>
      </c>
      <c r="F718">
        <v>9015884123</v>
      </c>
      <c r="G718">
        <v>10</v>
      </c>
      <c r="H718" t="s">
        <v>1072</v>
      </c>
      <c r="I718">
        <v>0</v>
      </c>
      <c r="J718" t="s">
        <v>1073</v>
      </c>
      <c r="K718" t="s">
        <v>8</v>
      </c>
      <c r="L718" t="s">
        <v>67</v>
      </c>
      <c r="M718" t="s">
        <v>9</v>
      </c>
      <c r="N718" t="s">
        <v>14</v>
      </c>
      <c r="O718" s="2">
        <v>500429.37</v>
      </c>
      <c r="P718" s="3">
        <v>3513.4749999999999</v>
      </c>
      <c r="Q718" s="1">
        <v>46033</v>
      </c>
      <c r="R718" s="1">
        <v>45992</v>
      </c>
      <c r="S718" s="1">
        <v>46022</v>
      </c>
      <c r="V718" s="8">
        <v>1</v>
      </c>
      <c r="W718" t="s">
        <v>24</v>
      </c>
      <c r="X718" t="s">
        <v>1074</v>
      </c>
      <c r="Y718" t="s">
        <v>40</v>
      </c>
      <c r="Z718" t="s">
        <v>11</v>
      </c>
      <c r="AA718">
        <v>62371</v>
      </c>
      <c r="AB718">
        <v>17998235</v>
      </c>
      <c r="AC718">
        <v>0</v>
      </c>
      <c r="AD718" s="8" t="s">
        <v>1650</v>
      </c>
    </row>
    <row r="719" spans="1:30" x14ac:dyDescent="0.3">
      <c r="A719" t="s">
        <v>1627</v>
      </c>
      <c r="B719">
        <v>1415369</v>
      </c>
      <c r="D719" t="s">
        <v>7</v>
      </c>
      <c r="E719">
        <v>946474</v>
      </c>
      <c r="F719">
        <v>9015884123</v>
      </c>
      <c r="G719">
        <v>397</v>
      </c>
      <c r="H719" t="s">
        <v>72</v>
      </c>
      <c r="I719">
        <v>0</v>
      </c>
      <c r="J719" t="s">
        <v>73</v>
      </c>
      <c r="K719" t="s">
        <v>8</v>
      </c>
      <c r="L719" t="s">
        <v>15</v>
      </c>
      <c r="M719" t="s">
        <v>9</v>
      </c>
      <c r="N719" t="s">
        <v>14</v>
      </c>
      <c r="O719" s="2">
        <v>0</v>
      </c>
      <c r="P719" s="3">
        <v>846.31700000000001</v>
      </c>
      <c r="Q719" s="1">
        <v>46033</v>
      </c>
      <c r="R719" s="1">
        <v>45992</v>
      </c>
      <c r="S719" s="1">
        <v>46022</v>
      </c>
      <c r="V719" s="8">
        <v>1</v>
      </c>
      <c r="W719" t="s">
        <v>24</v>
      </c>
      <c r="X719" t="s">
        <v>74</v>
      </c>
      <c r="Y719" t="s">
        <v>75</v>
      </c>
      <c r="Z719" t="s">
        <v>11</v>
      </c>
      <c r="AA719">
        <v>62371</v>
      </c>
      <c r="AB719">
        <v>12901850</v>
      </c>
      <c r="AC719">
        <v>0</v>
      </c>
      <c r="AD719" s="8"/>
    </row>
    <row r="720" spans="1:30" x14ac:dyDescent="0.3">
      <c r="A720" t="s">
        <v>1627</v>
      </c>
      <c r="B720">
        <v>1420739</v>
      </c>
      <c r="D720" t="s">
        <v>7</v>
      </c>
      <c r="E720">
        <v>946691</v>
      </c>
      <c r="F720">
        <v>9015884123</v>
      </c>
      <c r="G720">
        <v>465</v>
      </c>
      <c r="H720" t="s">
        <v>682</v>
      </c>
      <c r="I720">
        <v>0</v>
      </c>
      <c r="J720" t="s">
        <v>683</v>
      </c>
      <c r="K720" t="s">
        <v>8</v>
      </c>
      <c r="L720" t="s">
        <v>67</v>
      </c>
      <c r="M720" t="s">
        <v>9</v>
      </c>
      <c r="N720" t="s">
        <v>14</v>
      </c>
      <c r="O720" s="2">
        <v>294328.15999999997</v>
      </c>
      <c r="P720" s="3">
        <v>2725.3679999999999</v>
      </c>
      <c r="Q720" s="1">
        <v>46033</v>
      </c>
      <c r="R720" s="1">
        <v>45992</v>
      </c>
      <c r="S720" s="1">
        <v>46022</v>
      </c>
      <c r="V720" s="8">
        <v>1</v>
      </c>
      <c r="W720" t="s">
        <v>24</v>
      </c>
      <c r="X720" t="s">
        <v>684</v>
      </c>
      <c r="Y720" t="s">
        <v>42</v>
      </c>
      <c r="Z720" t="s">
        <v>11</v>
      </c>
      <c r="AA720">
        <v>62371</v>
      </c>
      <c r="AB720">
        <v>20074096</v>
      </c>
      <c r="AC720">
        <v>1</v>
      </c>
      <c r="AD720" s="8"/>
    </row>
    <row r="721" spans="1:30" x14ac:dyDescent="0.3">
      <c r="A721" t="s">
        <v>1627</v>
      </c>
      <c r="B721">
        <v>1360640</v>
      </c>
      <c r="D721" t="s">
        <v>7</v>
      </c>
      <c r="E721">
        <v>945491</v>
      </c>
      <c r="F721">
        <v>9015884123</v>
      </c>
      <c r="G721">
        <v>143</v>
      </c>
      <c r="H721" t="s">
        <v>1355</v>
      </c>
      <c r="I721">
        <v>0</v>
      </c>
      <c r="J721" t="s">
        <v>1356</v>
      </c>
      <c r="K721" t="s">
        <v>8</v>
      </c>
      <c r="L721" t="s">
        <v>18</v>
      </c>
      <c r="M721" t="s">
        <v>9</v>
      </c>
      <c r="N721" t="s">
        <v>14</v>
      </c>
      <c r="O721" s="2">
        <v>2.42</v>
      </c>
      <c r="P721" s="3">
        <v>0</v>
      </c>
      <c r="Q721" s="1">
        <v>46033</v>
      </c>
      <c r="R721" s="1">
        <v>45992</v>
      </c>
      <c r="S721" s="1">
        <v>46022</v>
      </c>
      <c r="V721" s="8">
        <v>1</v>
      </c>
      <c r="W721" t="s">
        <v>24</v>
      </c>
      <c r="X721" t="s">
        <v>1357</v>
      </c>
      <c r="Y721" t="s">
        <v>42</v>
      </c>
      <c r="Z721" t="s">
        <v>11</v>
      </c>
      <c r="AA721">
        <v>62371</v>
      </c>
      <c r="AB721">
        <v>17596015</v>
      </c>
      <c r="AC721">
        <v>0</v>
      </c>
      <c r="AD721" s="8"/>
    </row>
    <row r="722" spans="1:30" x14ac:dyDescent="0.3">
      <c r="A722" t="s">
        <v>1627</v>
      </c>
      <c r="B722">
        <v>1380304</v>
      </c>
      <c r="D722" t="s">
        <v>7</v>
      </c>
      <c r="E722">
        <v>945994</v>
      </c>
      <c r="F722">
        <v>9015884123</v>
      </c>
      <c r="G722">
        <v>215</v>
      </c>
      <c r="H722" t="s">
        <v>1069</v>
      </c>
      <c r="I722">
        <v>0</v>
      </c>
      <c r="J722" t="s">
        <v>1070</v>
      </c>
      <c r="K722" t="s">
        <v>8</v>
      </c>
      <c r="L722" t="s">
        <v>18</v>
      </c>
      <c r="M722" t="s">
        <v>9</v>
      </c>
      <c r="N722" t="s">
        <v>14</v>
      </c>
      <c r="O722" s="2">
        <v>-2.39</v>
      </c>
      <c r="P722" s="3">
        <v>0</v>
      </c>
      <c r="Q722" s="1">
        <v>46033</v>
      </c>
      <c r="R722" s="1">
        <v>45992</v>
      </c>
      <c r="S722" s="1">
        <v>46022</v>
      </c>
      <c r="V722" s="8">
        <v>1</v>
      </c>
      <c r="W722" t="s">
        <v>24</v>
      </c>
      <c r="X722" t="s">
        <v>1071</v>
      </c>
      <c r="Y722" t="s">
        <v>40</v>
      </c>
      <c r="Z722" t="s">
        <v>11</v>
      </c>
      <c r="AA722">
        <v>62371</v>
      </c>
      <c r="AB722">
        <v>19752662</v>
      </c>
      <c r="AC722">
        <v>1</v>
      </c>
      <c r="AD722" s="8"/>
    </row>
    <row r="723" spans="1:30" x14ac:dyDescent="0.3">
      <c r="A723" t="s">
        <v>1627</v>
      </c>
      <c r="B723">
        <v>1340426</v>
      </c>
      <c r="D723" t="s">
        <v>7</v>
      </c>
      <c r="E723">
        <v>945232</v>
      </c>
      <c r="F723">
        <v>9015884123</v>
      </c>
      <c r="G723">
        <v>61</v>
      </c>
      <c r="H723" t="s">
        <v>1358</v>
      </c>
      <c r="I723">
        <v>0</v>
      </c>
      <c r="J723" t="s">
        <v>1359</v>
      </c>
      <c r="K723" t="s">
        <v>8</v>
      </c>
      <c r="L723" t="s">
        <v>15</v>
      </c>
      <c r="M723" t="s">
        <v>9</v>
      </c>
      <c r="N723" t="s">
        <v>14</v>
      </c>
      <c r="O723" s="2">
        <v>0</v>
      </c>
      <c r="P723" s="3">
        <v>3561.857</v>
      </c>
      <c r="Q723" s="1">
        <v>46033</v>
      </c>
      <c r="R723" s="1">
        <v>45992</v>
      </c>
      <c r="S723" s="1">
        <v>46022</v>
      </c>
      <c r="V723" s="8">
        <v>1</v>
      </c>
      <c r="W723" t="s">
        <v>24</v>
      </c>
      <c r="X723" t="s">
        <v>1360</v>
      </c>
      <c r="Y723" t="s">
        <v>34</v>
      </c>
      <c r="Z723" t="s">
        <v>11</v>
      </c>
      <c r="AA723">
        <v>62371</v>
      </c>
      <c r="AB723">
        <v>17905533</v>
      </c>
      <c r="AC723">
        <v>0</v>
      </c>
      <c r="AD723" s="8"/>
    </row>
    <row r="724" spans="1:30" x14ac:dyDescent="0.3">
      <c r="A724" t="s">
        <v>1627</v>
      </c>
      <c r="B724">
        <v>1403679</v>
      </c>
      <c r="D724" t="s">
        <v>7</v>
      </c>
      <c r="E724">
        <v>946192</v>
      </c>
      <c r="F724">
        <v>9015884123</v>
      </c>
      <c r="G724">
        <v>281</v>
      </c>
      <c r="H724" t="s">
        <v>627</v>
      </c>
      <c r="I724">
        <v>0</v>
      </c>
      <c r="J724" t="s">
        <v>628</v>
      </c>
      <c r="K724" t="s">
        <v>8</v>
      </c>
      <c r="L724" t="s">
        <v>67</v>
      </c>
      <c r="M724" t="s">
        <v>9</v>
      </c>
      <c r="N724" t="s">
        <v>14</v>
      </c>
      <c r="O724" s="2">
        <v>0</v>
      </c>
      <c r="P724" s="3">
        <v>0</v>
      </c>
      <c r="Q724" s="1">
        <v>46033</v>
      </c>
      <c r="R724" s="1">
        <v>45992</v>
      </c>
      <c r="S724" s="1">
        <v>46022</v>
      </c>
      <c r="V724" s="8">
        <v>1</v>
      </c>
      <c r="W724" t="s">
        <v>24</v>
      </c>
      <c r="X724" t="s">
        <v>629</v>
      </c>
      <c r="Y724" t="s">
        <v>40</v>
      </c>
      <c r="Z724" t="s">
        <v>11</v>
      </c>
      <c r="AA724">
        <v>62371</v>
      </c>
      <c r="AB724">
        <v>21442460</v>
      </c>
      <c r="AC724">
        <v>1</v>
      </c>
      <c r="AD724" s="8"/>
    </row>
    <row r="725" spans="1:30" x14ac:dyDescent="0.3">
      <c r="A725" t="s">
        <v>1627</v>
      </c>
      <c r="B725">
        <v>1403688</v>
      </c>
      <c r="D725" t="s">
        <v>7</v>
      </c>
      <c r="E725">
        <v>946211</v>
      </c>
      <c r="F725">
        <v>9015884123</v>
      </c>
      <c r="G725">
        <v>289</v>
      </c>
      <c r="H725" t="s">
        <v>1361</v>
      </c>
      <c r="I725">
        <v>0</v>
      </c>
      <c r="J725" t="s">
        <v>1362</v>
      </c>
      <c r="K725" t="s">
        <v>8</v>
      </c>
      <c r="L725" t="s">
        <v>67</v>
      </c>
      <c r="M725" t="s">
        <v>9</v>
      </c>
      <c r="N725" t="s">
        <v>14</v>
      </c>
      <c r="O725" s="2">
        <v>88029.05</v>
      </c>
      <c r="P725" s="3">
        <v>618.04499999999996</v>
      </c>
      <c r="Q725" s="1">
        <v>46033</v>
      </c>
      <c r="R725" s="1">
        <v>45992</v>
      </c>
      <c r="S725" s="1">
        <v>46022</v>
      </c>
      <c r="V725" s="8">
        <v>1</v>
      </c>
      <c r="W725" t="s">
        <v>24</v>
      </c>
      <c r="X725" t="s">
        <v>1363</v>
      </c>
      <c r="Y725" t="s">
        <v>40</v>
      </c>
      <c r="Z725" t="s">
        <v>11</v>
      </c>
      <c r="AA725">
        <v>62371</v>
      </c>
      <c r="AB725">
        <v>18554428</v>
      </c>
      <c r="AC725">
        <v>0</v>
      </c>
      <c r="AD725" s="8"/>
    </row>
    <row r="726" spans="1:30" x14ac:dyDescent="0.3">
      <c r="A726" t="s">
        <v>1627</v>
      </c>
      <c r="B726">
        <v>1405410</v>
      </c>
      <c r="D726" t="s">
        <v>7</v>
      </c>
      <c r="E726">
        <v>946254</v>
      </c>
      <c r="F726">
        <v>9015884123</v>
      </c>
      <c r="G726">
        <v>303</v>
      </c>
      <c r="H726" t="s">
        <v>671</v>
      </c>
      <c r="I726">
        <v>0</v>
      </c>
      <c r="J726" t="s">
        <v>672</v>
      </c>
      <c r="K726" t="s">
        <v>8</v>
      </c>
      <c r="L726" t="s">
        <v>15</v>
      </c>
      <c r="M726" t="s">
        <v>9</v>
      </c>
      <c r="N726" t="s">
        <v>14</v>
      </c>
      <c r="O726" s="2">
        <v>0</v>
      </c>
      <c r="P726" s="3">
        <v>2167.491</v>
      </c>
      <c r="Q726" s="1">
        <v>46033</v>
      </c>
      <c r="R726" s="1">
        <v>45992</v>
      </c>
      <c r="S726" s="1">
        <v>46022</v>
      </c>
      <c r="V726" s="8">
        <v>1</v>
      </c>
      <c r="W726" t="s">
        <v>24</v>
      </c>
      <c r="X726" t="s">
        <v>673</v>
      </c>
      <c r="Y726" t="s">
        <v>40</v>
      </c>
      <c r="Z726" t="s">
        <v>11</v>
      </c>
      <c r="AA726">
        <v>62371</v>
      </c>
      <c r="AB726">
        <v>19752870</v>
      </c>
      <c r="AC726">
        <v>1</v>
      </c>
      <c r="AD726" s="8"/>
    </row>
    <row r="727" spans="1:30" x14ac:dyDescent="0.3">
      <c r="A727" t="s">
        <v>1627</v>
      </c>
      <c r="B727">
        <v>1403714</v>
      </c>
      <c r="D727" t="s">
        <v>7</v>
      </c>
      <c r="E727">
        <v>946238</v>
      </c>
      <c r="F727">
        <v>9015884123</v>
      </c>
      <c r="G727">
        <v>298</v>
      </c>
      <c r="H727" t="s">
        <v>1364</v>
      </c>
      <c r="I727">
        <v>0</v>
      </c>
      <c r="J727" t="s">
        <v>1365</v>
      </c>
      <c r="K727" t="s">
        <v>8</v>
      </c>
      <c r="L727" t="s">
        <v>67</v>
      </c>
      <c r="M727" t="s">
        <v>9</v>
      </c>
      <c r="N727" t="s">
        <v>14</v>
      </c>
      <c r="O727" s="2">
        <v>363935.63</v>
      </c>
      <c r="P727" s="3">
        <v>3369.9070000000002</v>
      </c>
      <c r="Q727" s="1">
        <v>46033</v>
      </c>
      <c r="R727" s="1">
        <v>45992</v>
      </c>
      <c r="S727" s="1">
        <v>46022</v>
      </c>
      <c r="V727" s="8">
        <v>1</v>
      </c>
      <c r="W727" t="s">
        <v>24</v>
      </c>
      <c r="X727" t="s">
        <v>1366</v>
      </c>
      <c r="Y727" t="s">
        <v>40</v>
      </c>
      <c r="Z727" t="s">
        <v>11</v>
      </c>
      <c r="AA727">
        <v>62371</v>
      </c>
      <c r="AB727">
        <v>18369182</v>
      </c>
      <c r="AC727">
        <v>1</v>
      </c>
      <c r="AD727" s="8"/>
    </row>
    <row r="728" spans="1:30" x14ac:dyDescent="0.3">
      <c r="A728" t="s">
        <v>1627</v>
      </c>
      <c r="B728">
        <v>1406271</v>
      </c>
      <c r="D728" t="s">
        <v>7</v>
      </c>
      <c r="E728">
        <v>946303</v>
      </c>
      <c r="F728">
        <v>9015884123</v>
      </c>
      <c r="G728">
        <v>323</v>
      </c>
      <c r="H728" t="s">
        <v>1048</v>
      </c>
      <c r="I728">
        <v>0</v>
      </c>
      <c r="J728" t="s">
        <v>1049</v>
      </c>
      <c r="K728" t="s">
        <v>8</v>
      </c>
      <c r="L728" t="s">
        <v>19</v>
      </c>
      <c r="M728" t="s">
        <v>9</v>
      </c>
      <c r="N728" t="s">
        <v>14</v>
      </c>
      <c r="O728" s="2">
        <v>83130.39</v>
      </c>
      <c r="P728" s="3">
        <v>653.14</v>
      </c>
      <c r="Q728" s="1">
        <v>46033</v>
      </c>
      <c r="R728" s="1">
        <v>45992</v>
      </c>
      <c r="S728" s="1">
        <v>46022</v>
      </c>
      <c r="V728" s="8">
        <v>2</v>
      </c>
      <c r="W728" t="s">
        <v>24</v>
      </c>
      <c r="X728" t="s">
        <v>1050</v>
      </c>
      <c r="Y728" t="s">
        <v>40</v>
      </c>
      <c r="Z728" t="s">
        <v>11</v>
      </c>
      <c r="AA728">
        <v>62371</v>
      </c>
      <c r="AB728">
        <v>19711461</v>
      </c>
      <c r="AC728">
        <v>1</v>
      </c>
      <c r="AD728" s="8"/>
    </row>
    <row r="729" spans="1:30" x14ac:dyDescent="0.3">
      <c r="A729" t="s">
        <v>1627</v>
      </c>
      <c r="B729">
        <v>1320917</v>
      </c>
      <c r="D729" t="s">
        <v>7</v>
      </c>
      <c r="E729">
        <v>945186</v>
      </c>
      <c r="F729">
        <v>9015884123</v>
      </c>
      <c r="G729">
        <v>45</v>
      </c>
      <c r="H729" t="s">
        <v>103</v>
      </c>
      <c r="I729">
        <v>0</v>
      </c>
      <c r="J729" t="s">
        <v>104</v>
      </c>
      <c r="K729" t="s">
        <v>8</v>
      </c>
      <c r="L729" t="s">
        <v>15</v>
      </c>
      <c r="M729" t="s">
        <v>9</v>
      </c>
      <c r="N729" t="s">
        <v>14</v>
      </c>
      <c r="O729" s="2">
        <v>0</v>
      </c>
      <c r="P729" s="3">
        <v>3605.6970000000001</v>
      </c>
      <c r="Q729" s="1">
        <v>46033</v>
      </c>
      <c r="R729" s="1">
        <v>45992</v>
      </c>
      <c r="S729" s="1">
        <v>46022</v>
      </c>
      <c r="V729" s="8">
        <v>1</v>
      </c>
      <c r="W729" t="s">
        <v>24</v>
      </c>
      <c r="X729" t="s">
        <v>105</v>
      </c>
      <c r="Y729" t="s">
        <v>34</v>
      </c>
      <c r="Z729" t="s">
        <v>11</v>
      </c>
      <c r="AA729">
        <v>62371</v>
      </c>
      <c r="AB729">
        <v>21104556</v>
      </c>
      <c r="AC729">
        <v>1</v>
      </c>
      <c r="AD729" s="8"/>
    </row>
    <row r="730" spans="1:30" x14ac:dyDescent="0.3">
      <c r="A730" t="s">
        <v>1627</v>
      </c>
      <c r="B730">
        <v>1415389</v>
      </c>
      <c r="D730" t="s">
        <v>7</v>
      </c>
      <c r="E730">
        <v>946460</v>
      </c>
      <c r="F730">
        <v>9015884123</v>
      </c>
      <c r="G730">
        <v>393</v>
      </c>
      <c r="H730" t="s">
        <v>636</v>
      </c>
      <c r="I730">
        <v>0</v>
      </c>
      <c r="J730" t="s">
        <v>637</v>
      </c>
      <c r="K730" t="s">
        <v>8</v>
      </c>
      <c r="L730" t="s">
        <v>18</v>
      </c>
      <c r="M730" t="s">
        <v>9</v>
      </c>
      <c r="N730" t="s">
        <v>14</v>
      </c>
      <c r="O730" s="2">
        <v>0.79</v>
      </c>
      <c r="P730" s="3">
        <v>0</v>
      </c>
      <c r="Q730" s="1">
        <v>46033</v>
      </c>
      <c r="R730" s="1">
        <v>45992</v>
      </c>
      <c r="S730" s="1">
        <v>46022</v>
      </c>
      <c r="V730" s="8">
        <v>1</v>
      </c>
      <c r="W730" t="s">
        <v>24</v>
      </c>
      <c r="X730" t="s">
        <v>638</v>
      </c>
      <c r="Y730" t="s">
        <v>639</v>
      </c>
      <c r="Z730" t="s">
        <v>11</v>
      </c>
      <c r="AA730">
        <v>62371</v>
      </c>
      <c r="AB730">
        <v>17597638</v>
      </c>
      <c r="AC730">
        <v>0</v>
      </c>
      <c r="AD730" s="8"/>
    </row>
    <row r="731" spans="1:30" x14ac:dyDescent="0.3">
      <c r="A731" t="s">
        <v>1627</v>
      </c>
      <c r="B731">
        <v>1418629</v>
      </c>
      <c r="D731" t="s">
        <v>7</v>
      </c>
      <c r="E731">
        <v>946632</v>
      </c>
      <c r="F731">
        <v>9015884123</v>
      </c>
      <c r="G731">
        <v>445</v>
      </c>
      <c r="H731" t="s">
        <v>1367</v>
      </c>
      <c r="I731">
        <v>0</v>
      </c>
      <c r="J731" t="s">
        <v>1368</v>
      </c>
      <c r="K731" t="s">
        <v>8</v>
      </c>
      <c r="L731" t="s">
        <v>67</v>
      </c>
      <c r="M731" t="s">
        <v>9</v>
      </c>
      <c r="N731" t="s">
        <v>14</v>
      </c>
      <c r="O731" s="2">
        <v>156592.57</v>
      </c>
      <c r="P731" s="3">
        <v>1099.424</v>
      </c>
      <c r="Q731" s="1">
        <v>46033</v>
      </c>
      <c r="R731" s="1">
        <v>45992</v>
      </c>
      <c r="S731" s="1">
        <v>46022</v>
      </c>
      <c r="V731" s="8">
        <v>1</v>
      </c>
      <c r="W731" t="s">
        <v>24</v>
      </c>
      <c r="X731" t="s">
        <v>1369</v>
      </c>
      <c r="Y731" t="s">
        <v>614</v>
      </c>
      <c r="Z731" t="s">
        <v>11</v>
      </c>
      <c r="AA731">
        <v>62371</v>
      </c>
      <c r="AB731">
        <v>17859717</v>
      </c>
      <c r="AC731">
        <v>0</v>
      </c>
      <c r="AD731" s="8"/>
    </row>
    <row r="732" spans="1:30" x14ac:dyDescent="0.3">
      <c r="A732" t="s">
        <v>1627</v>
      </c>
      <c r="B732">
        <v>1418629</v>
      </c>
      <c r="D732" t="s">
        <v>7</v>
      </c>
      <c r="E732">
        <v>946632</v>
      </c>
      <c r="F732">
        <v>9015884123</v>
      </c>
      <c r="G732">
        <v>445</v>
      </c>
      <c r="H732" t="s">
        <v>1367</v>
      </c>
      <c r="I732">
        <v>0</v>
      </c>
      <c r="J732" t="s">
        <v>1368</v>
      </c>
      <c r="K732" t="s">
        <v>8</v>
      </c>
      <c r="L732" t="s">
        <v>19</v>
      </c>
      <c r="M732" t="s">
        <v>9</v>
      </c>
      <c r="N732" t="s">
        <v>14</v>
      </c>
      <c r="O732" s="2">
        <v>243.63</v>
      </c>
      <c r="P732" s="3">
        <v>1.2330000000000001</v>
      </c>
      <c r="Q732" s="1">
        <v>46033</v>
      </c>
      <c r="R732" s="1">
        <v>45992</v>
      </c>
      <c r="S732" s="1">
        <v>46022</v>
      </c>
      <c r="V732" s="8">
        <v>1</v>
      </c>
      <c r="W732" t="s">
        <v>24</v>
      </c>
      <c r="X732" t="s">
        <v>1369</v>
      </c>
      <c r="Y732" t="s">
        <v>614</v>
      </c>
      <c r="Z732" t="s">
        <v>11</v>
      </c>
      <c r="AA732">
        <v>62371</v>
      </c>
      <c r="AB732">
        <v>17859717</v>
      </c>
      <c r="AC732">
        <v>0</v>
      </c>
      <c r="AD732" s="8"/>
    </row>
    <row r="733" spans="1:30" x14ac:dyDescent="0.3">
      <c r="A733" t="s">
        <v>1627</v>
      </c>
      <c r="B733">
        <v>1444513</v>
      </c>
      <c r="D733" t="s">
        <v>7</v>
      </c>
      <c r="E733">
        <v>946879</v>
      </c>
      <c r="F733">
        <v>9015884123</v>
      </c>
      <c r="G733">
        <v>525</v>
      </c>
      <c r="H733" t="s">
        <v>106</v>
      </c>
      <c r="I733">
        <v>0</v>
      </c>
      <c r="J733" t="s">
        <v>107</v>
      </c>
      <c r="K733" t="s">
        <v>8</v>
      </c>
      <c r="L733" t="s">
        <v>67</v>
      </c>
      <c r="M733" t="s">
        <v>9</v>
      </c>
      <c r="N733" t="s">
        <v>14</v>
      </c>
      <c r="O733" s="2">
        <v>354415.59</v>
      </c>
      <c r="P733" s="3">
        <v>3281.7550000000001</v>
      </c>
      <c r="Q733" s="1">
        <v>46033</v>
      </c>
      <c r="R733" s="1">
        <v>45992</v>
      </c>
      <c r="S733" s="1">
        <v>46022</v>
      </c>
      <c r="V733" s="8">
        <v>1</v>
      </c>
      <c r="W733" t="s">
        <v>24</v>
      </c>
      <c r="X733" t="s">
        <v>108</v>
      </c>
      <c r="Y733" t="s">
        <v>34</v>
      </c>
      <c r="Z733" t="s">
        <v>11</v>
      </c>
      <c r="AA733">
        <v>62371</v>
      </c>
      <c r="AB733">
        <v>21249968</v>
      </c>
      <c r="AC733">
        <v>1</v>
      </c>
      <c r="AD733" s="8"/>
    </row>
    <row r="734" spans="1:30" x14ac:dyDescent="0.3">
      <c r="A734" t="s">
        <v>1627</v>
      </c>
      <c r="B734">
        <v>1444512</v>
      </c>
      <c r="D734" t="s">
        <v>7</v>
      </c>
      <c r="E734">
        <v>946875</v>
      </c>
      <c r="F734">
        <v>9015884123</v>
      </c>
      <c r="G734">
        <v>524</v>
      </c>
      <c r="H734" t="s">
        <v>112</v>
      </c>
      <c r="I734">
        <v>0</v>
      </c>
      <c r="J734" t="s">
        <v>113</v>
      </c>
      <c r="K734" t="s">
        <v>8</v>
      </c>
      <c r="L734" t="s">
        <v>67</v>
      </c>
      <c r="M734" t="s">
        <v>9</v>
      </c>
      <c r="N734" t="s">
        <v>14</v>
      </c>
      <c r="O734" s="2">
        <v>115505.45</v>
      </c>
      <c r="P734" s="3">
        <v>1069.537</v>
      </c>
      <c r="Q734" s="1">
        <v>46033</v>
      </c>
      <c r="R734" s="1">
        <v>45992</v>
      </c>
      <c r="S734" s="1">
        <v>46022</v>
      </c>
      <c r="V734" s="8">
        <v>1</v>
      </c>
      <c r="W734" t="s">
        <v>24</v>
      </c>
      <c r="X734" t="s">
        <v>114</v>
      </c>
      <c r="Y734" t="s">
        <v>34</v>
      </c>
      <c r="Z734" t="s">
        <v>11</v>
      </c>
      <c r="AA734">
        <v>62371</v>
      </c>
      <c r="AB734">
        <v>21249814</v>
      </c>
      <c r="AC734">
        <v>1</v>
      </c>
      <c r="AD734" s="8"/>
    </row>
    <row r="735" spans="1:30" x14ac:dyDescent="0.3">
      <c r="A735" t="s">
        <v>1627</v>
      </c>
      <c r="B735">
        <v>1335630</v>
      </c>
      <c r="D735" t="s">
        <v>7</v>
      </c>
      <c r="E735">
        <v>945197</v>
      </c>
      <c r="F735">
        <v>9015884123</v>
      </c>
      <c r="G735">
        <v>51</v>
      </c>
      <c r="H735" t="s">
        <v>1370</v>
      </c>
      <c r="I735">
        <v>0</v>
      </c>
      <c r="J735" t="s">
        <v>1371</v>
      </c>
      <c r="K735" t="s">
        <v>8</v>
      </c>
      <c r="L735" t="s">
        <v>15</v>
      </c>
      <c r="M735" t="s">
        <v>9</v>
      </c>
      <c r="N735" t="s">
        <v>14</v>
      </c>
      <c r="O735" s="2">
        <v>0</v>
      </c>
      <c r="P735" s="3">
        <v>6878.576</v>
      </c>
      <c r="Q735" s="1">
        <v>46033</v>
      </c>
      <c r="R735" s="1">
        <v>45992</v>
      </c>
      <c r="S735" s="1">
        <v>46022</v>
      </c>
      <c r="V735" s="8">
        <v>1</v>
      </c>
      <c r="W735" t="s">
        <v>24</v>
      </c>
      <c r="X735" t="s">
        <v>1372</v>
      </c>
      <c r="Y735" t="s">
        <v>31</v>
      </c>
      <c r="Z735" t="s">
        <v>11</v>
      </c>
      <c r="AA735">
        <v>62371</v>
      </c>
      <c r="AB735">
        <v>17426449</v>
      </c>
      <c r="AC735">
        <v>0</v>
      </c>
      <c r="AD735" s="8"/>
    </row>
    <row r="736" spans="1:30" x14ac:dyDescent="0.3">
      <c r="A736" t="s">
        <v>1627</v>
      </c>
      <c r="B736">
        <v>1307882</v>
      </c>
      <c r="D736" t="s">
        <v>7</v>
      </c>
      <c r="E736">
        <v>945169</v>
      </c>
      <c r="F736">
        <v>9015884123</v>
      </c>
      <c r="G736">
        <v>38</v>
      </c>
      <c r="H736" t="s">
        <v>697</v>
      </c>
      <c r="I736">
        <v>0</v>
      </c>
      <c r="J736" t="s">
        <v>698</v>
      </c>
      <c r="K736" t="s">
        <v>8</v>
      </c>
      <c r="L736" t="s">
        <v>19</v>
      </c>
      <c r="M736" t="s">
        <v>9</v>
      </c>
      <c r="N736" t="s">
        <v>14</v>
      </c>
      <c r="O736" s="2">
        <v>672.21</v>
      </c>
      <c r="P736" s="3">
        <v>3.4020000000000001</v>
      </c>
      <c r="Q736" s="1">
        <v>46033</v>
      </c>
      <c r="R736" s="1">
        <v>45992</v>
      </c>
      <c r="S736" s="1">
        <v>46022</v>
      </c>
      <c r="V736" s="8">
        <v>1</v>
      </c>
      <c r="W736" t="s">
        <v>24</v>
      </c>
      <c r="X736" t="s">
        <v>699</v>
      </c>
      <c r="Y736" t="s">
        <v>40</v>
      </c>
      <c r="Z736" t="s">
        <v>11</v>
      </c>
      <c r="AA736">
        <v>62371</v>
      </c>
      <c r="AB736">
        <v>20091581</v>
      </c>
      <c r="AC736">
        <v>0</v>
      </c>
      <c r="AD736" s="8"/>
    </row>
    <row r="737" spans="1:30" x14ac:dyDescent="0.3">
      <c r="A737" t="s">
        <v>1627</v>
      </c>
      <c r="B737">
        <v>1307886</v>
      </c>
      <c r="D737" t="s">
        <v>7</v>
      </c>
      <c r="E737">
        <v>945171</v>
      </c>
      <c r="F737">
        <v>9015884123</v>
      </c>
      <c r="G737">
        <v>39</v>
      </c>
      <c r="H737" t="s">
        <v>1373</v>
      </c>
      <c r="I737">
        <v>0</v>
      </c>
      <c r="J737" t="s">
        <v>1374</v>
      </c>
      <c r="K737" t="s">
        <v>8</v>
      </c>
      <c r="L737" t="s">
        <v>18</v>
      </c>
      <c r="M737" t="s">
        <v>9</v>
      </c>
      <c r="N737" t="s">
        <v>14</v>
      </c>
      <c r="O737" s="2">
        <v>-3.64</v>
      </c>
      <c r="P737" s="3">
        <v>0</v>
      </c>
      <c r="Q737" s="1">
        <v>46033</v>
      </c>
      <c r="R737" s="1">
        <v>45992</v>
      </c>
      <c r="S737" s="1">
        <v>46022</v>
      </c>
      <c r="V737" s="8">
        <v>1</v>
      </c>
      <c r="W737" t="s">
        <v>24</v>
      </c>
      <c r="X737" t="s">
        <v>1375</v>
      </c>
      <c r="Y737" t="s">
        <v>40</v>
      </c>
      <c r="Z737" t="s">
        <v>11</v>
      </c>
      <c r="AA737">
        <v>62371</v>
      </c>
      <c r="AB737">
        <v>19879653</v>
      </c>
      <c r="AC737">
        <v>101</v>
      </c>
      <c r="AD737" s="8"/>
    </row>
    <row r="738" spans="1:30" x14ac:dyDescent="0.3">
      <c r="A738" t="s">
        <v>1627</v>
      </c>
      <c r="B738">
        <v>1428552</v>
      </c>
      <c r="D738" t="s">
        <v>7</v>
      </c>
      <c r="E738">
        <v>946728</v>
      </c>
      <c r="F738">
        <v>9015884123</v>
      </c>
      <c r="G738">
        <v>477</v>
      </c>
      <c r="H738" t="s">
        <v>1099</v>
      </c>
      <c r="I738">
        <v>0</v>
      </c>
      <c r="J738" t="s">
        <v>1100</v>
      </c>
      <c r="K738" t="s">
        <v>8</v>
      </c>
      <c r="L738" t="s">
        <v>67</v>
      </c>
      <c r="M738" t="s">
        <v>9</v>
      </c>
      <c r="N738" t="s">
        <v>14</v>
      </c>
      <c r="O738" s="2">
        <v>305809.84000000003</v>
      </c>
      <c r="P738" s="3">
        <v>2831.6840000000002</v>
      </c>
      <c r="Q738" s="1">
        <v>46033</v>
      </c>
      <c r="R738" s="1">
        <v>45992</v>
      </c>
      <c r="S738" s="1">
        <v>46022</v>
      </c>
      <c r="V738" s="8">
        <v>1</v>
      </c>
      <c r="W738" t="s">
        <v>24</v>
      </c>
      <c r="X738" t="s">
        <v>1101</v>
      </c>
      <c r="Y738" t="s">
        <v>34</v>
      </c>
      <c r="Z738" t="s">
        <v>11</v>
      </c>
      <c r="AA738">
        <v>62371</v>
      </c>
      <c r="AB738">
        <v>21249975</v>
      </c>
      <c r="AC738">
        <v>1</v>
      </c>
      <c r="AD738" s="8"/>
    </row>
    <row r="739" spans="1:30" x14ac:dyDescent="0.3">
      <c r="A739" t="s">
        <v>1627</v>
      </c>
      <c r="B739">
        <v>1450084</v>
      </c>
      <c r="D739" t="s">
        <v>7</v>
      </c>
      <c r="E739">
        <v>949681</v>
      </c>
      <c r="F739">
        <v>9015884123</v>
      </c>
      <c r="G739">
        <v>537</v>
      </c>
      <c r="H739" t="s">
        <v>1135</v>
      </c>
      <c r="I739">
        <v>0</v>
      </c>
      <c r="J739" t="s">
        <v>1136</v>
      </c>
      <c r="K739" t="s">
        <v>8</v>
      </c>
      <c r="L739" t="s">
        <v>18</v>
      </c>
      <c r="M739" t="s">
        <v>9</v>
      </c>
      <c r="N739" t="s">
        <v>14</v>
      </c>
      <c r="O739" s="2">
        <v>-0.33</v>
      </c>
      <c r="P739" s="3">
        <v>0</v>
      </c>
      <c r="Q739" s="1">
        <v>46036</v>
      </c>
      <c r="R739" s="1">
        <v>46017</v>
      </c>
      <c r="S739" s="1">
        <v>46022</v>
      </c>
      <c r="V739" s="8">
        <v>2</v>
      </c>
      <c r="W739" t="s">
        <v>24</v>
      </c>
      <c r="X739" t="s">
        <v>1137</v>
      </c>
      <c r="Y739" t="s">
        <v>31</v>
      </c>
      <c r="Z739" t="s">
        <v>11</v>
      </c>
      <c r="AA739">
        <v>62371</v>
      </c>
      <c r="AC739">
        <v>0</v>
      </c>
      <c r="AD739" s="8"/>
    </row>
    <row r="740" spans="1:30" x14ac:dyDescent="0.3">
      <c r="A740" t="s">
        <v>1627</v>
      </c>
      <c r="B740">
        <v>1424496</v>
      </c>
      <c r="D740" t="s">
        <v>7</v>
      </c>
      <c r="E740">
        <v>946700</v>
      </c>
      <c r="F740">
        <v>9015884123</v>
      </c>
      <c r="G740">
        <v>468</v>
      </c>
      <c r="H740" t="s">
        <v>674</v>
      </c>
      <c r="I740">
        <v>0</v>
      </c>
      <c r="J740" t="s">
        <v>675</v>
      </c>
      <c r="K740" t="s">
        <v>8</v>
      </c>
      <c r="L740" t="s">
        <v>67</v>
      </c>
      <c r="M740" t="s">
        <v>9</v>
      </c>
      <c r="N740" t="s">
        <v>14</v>
      </c>
      <c r="O740" s="2">
        <v>169620.2</v>
      </c>
      <c r="P740" s="3">
        <v>1190.8900000000001</v>
      </c>
      <c r="Q740" s="1">
        <v>46033</v>
      </c>
      <c r="R740" s="1">
        <v>45992</v>
      </c>
      <c r="S740" s="1">
        <v>46022</v>
      </c>
      <c r="V740" s="8">
        <v>1</v>
      </c>
      <c r="W740" t="s">
        <v>24</v>
      </c>
      <c r="X740" t="s">
        <v>676</v>
      </c>
      <c r="Y740" t="s">
        <v>677</v>
      </c>
      <c r="Z740" t="s">
        <v>11</v>
      </c>
      <c r="AA740">
        <v>62371</v>
      </c>
      <c r="AB740">
        <v>17636730</v>
      </c>
      <c r="AC740">
        <v>0</v>
      </c>
      <c r="AD740" s="8"/>
    </row>
    <row r="741" spans="1:30" x14ac:dyDescent="0.3">
      <c r="A741" t="s">
        <v>1627</v>
      </c>
      <c r="B741">
        <v>1415123</v>
      </c>
      <c r="D741" t="s">
        <v>7</v>
      </c>
      <c r="E741">
        <v>946542</v>
      </c>
      <c r="F741">
        <v>9015884123</v>
      </c>
      <c r="G741">
        <v>418</v>
      </c>
      <c r="H741" t="s">
        <v>115</v>
      </c>
      <c r="I741">
        <v>0</v>
      </c>
      <c r="J741" t="s">
        <v>116</v>
      </c>
      <c r="K741" t="s">
        <v>8</v>
      </c>
      <c r="L741" t="s">
        <v>18</v>
      </c>
      <c r="M741" t="s">
        <v>9</v>
      </c>
      <c r="N741" t="s">
        <v>14</v>
      </c>
      <c r="O741" s="2">
        <v>-3.79</v>
      </c>
      <c r="P741" s="3">
        <v>0</v>
      </c>
      <c r="Q741" s="1">
        <v>46033</v>
      </c>
      <c r="R741" s="1">
        <v>45992</v>
      </c>
      <c r="S741" s="1">
        <v>46022</v>
      </c>
      <c r="V741" s="8">
        <v>1</v>
      </c>
      <c r="W741" t="s">
        <v>24</v>
      </c>
      <c r="X741" t="s">
        <v>117</v>
      </c>
      <c r="Y741" t="s">
        <v>34</v>
      </c>
      <c r="Z741" t="s">
        <v>11</v>
      </c>
      <c r="AA741">
        <v>62371</v>
      </c>
      <c r="AB741">
        <v>21285169</v>
      </c>
      <c r="AC741">
        <v>1</v>
      </c>
      <c r="AD741" s="8"/>
    </row>
    <row r="742" spans="1:30" x14ac:dyDescent="0.3">
      <c r="A742" t="s">
        <v>1627</v>
      </c>
      <c r="B742">
        <v>1415107</v>
      </c>
      <c r="D742" t="s">
        <v>7</v>
      </c>
      <c r="E742">
        <v>946468</v>
      </c>
      <c r="F742">
        <v>9015884123</v>
      </c>
      <c r="G742">
        <v>395</v>
      </c>
      <c r="H742" t="s">
        <v>118</v>
      </c>
      <c r="I742">
        <v>0</v>
      </c>
      <c r="J742" t="s">
        <v>119</v>
      </c>
      <c r="K742" t="s">
        <v>8</v>
      </c>
      <c r="L742" t="s">
        <v>18</v>
      </c>
      <c r="M742" t="s">
        <v>9</v>
      </c>
      <c r="N742" t="s">
        <v>14</v>
      </c>
      <c r="O742" s="2">
        <v>-3.36</v>
      </c>
      <c r="P742" s="3">
        <v>0</v>
      </c>
      <c r="Q742" s="1">
        <v>46033</v>
      </c>
      <c r="R742" s="1">
        <v>45992</v>
      </c>
      <c r="S742" s="1">
        <v>46022</v>
      </c>
      <c r="V742" s="8">
        <v>1</v>
      </c>
      <c r="W742" t="s">
        <v>24</v>
      </c>
      <c r="X742" t="s">
        <v>120</v>
      </c>
      <c r="Y742" t="s">
        <v>34</v>
      </c>
      <c r="Z742" t="s">
        <v>11</v>
      </c>
      <c r="AA742">
        <v>62371</v>
      </c>
      <c r="AB742">
        <v>21249991</v>
      </c>
      <c r="AC742">
        <v>1</v>
      </c>
      <c r="AD742" s="8"/>
    </row>
    <row r="743" spans="1:30" x14ac:dyDescent="0.3">
      <c r="A743" t="s">
        <v>1627</v>
      </c>
      <c r="B743">
        <v>1420739</v>
      </c>
      <c r="D743" t="s">
        <v>7</v>
      </c>
      <c r="E743">
        <v>946691</v>
      </c>
      <c r="F743">
        <v>9015884123</v>
      </c>
      <c r="G743">
        <v>465</v>
      </c>
      <c r="H743" t="s">
        <v>682</v>
      </c>
      <c r="I743">
        <v>0</v>
      </c>
      <c r="J743" t="s">
        <v>683</v>
      </c>
      <c r="K743" t="s">
        <v>8</v>
      </c>
      <c r="L743" t="s">
        <v>19</v>
      </c>
      <c r="M743" t="s">
        <v>9</v>
      </c>
      <c r="N743" t="s">
        <v>14</v>
      </c>
      <c r="O743" s="2">
        <v>7865.75</v>
      </c>
      <c r="P743" s="3">
        <v>48.21</v>
      </c>
      <c r="Q743" s="1">
        <v>46033</v>
      </c>
      <c r="R743" s="1">
        <v>45992</v>
      </c>
      <c r="S743" s="1">
        <v>46022</v>
      </c>
      <c r="V743" s="8">
        <v>1</v>
      </c>
      <c r="W743" t="s">
        <v>24</v>
      </c>
      <c r="X743" t="s">
        <v>684</v>
      </c>
      <c r="Y743" t="s">
        <v>42</v>
      </c>
      <c r="Z743" t="s">
        <v>11</v>
      </c>
      <c r="AA743">
        <v>62371</v>
      </c>
      <c r="AB743">
        <v>20074096</v>
      </c>
      <c r="AC743">
        <v>1</v>
      </c>
      <c r="AD743" s="8"/>
    </row>
    <row r="744" spans="1:30" x14ac:dyDescent="0.3">
      <c r="A744" t="s">
        <v>1627</v>
      </c>
      <c r="B744">
        <v>1419037</v>
      </c>
      <c r="D744" t="s">
        <v>7</v>
      </c>
      <c r="E744">
        <v>946635</v>
      </c>
      <c r="F744">
        <v>9015884123</v>
      </c>
      <c r="G744">
        <v>446</v>
      </c>
      <c r="H744" t="s">
        <v>688</v>
      </c>
      <c r="I744">
        <v>0</v>
      </c>
      <c r="J744" t="s">
        <v>689</v>
      </c>
      <c r="K744" t="s">
        <v>8</v>
      </c>
      <c r="L744" t="s">
        <v>18</v>
      </c>
      <c r="M744" t="s">
        <v>9</v>
      </c>
      <c r="N744" t="s">
        <v>14</v>
      </c>
      <c r="O744" s="2">
        <v>-1.05</v>
      </c>
      <c r="P744" s="3">
        <v>0</v>
      </c>
      <c r="Q744" s="1">
        <v>46033</v>
      </c>
      <c r="R744" s="1">
        <v>45992</v>
      </c>
      <c r="S744" s="1">
        <v>46022</v>
      </c>
      <c r="V744" s="8">
        <v>1</v>
      </c>
      <c r="W744" t="s">
        <v>24</v>
      </c>
      <c r="X744" t="s">
        <v>690</v>
      </c>
      <c r="Y744" t="s">
        <v>42</v>
      </c>
      <c r="Z744" t="s">
        <v>11</v>
      </c>
      <c r="AA744">
        <v>62371</v>
      </c>
      <c r="AB744">
        <v>21365716</v>
      </c>
      <c r="AC744">
        <v>0</v>
      </c>
      <c r="AD744" s="8"/>
    </row>
    <row r="745" spans="1:30" x14ac:dyDescent="0.3">
      <c r="A745" t="s">
        <v>1627</v>
      </c>
      <c r="B745">
        <v>1419037</v>
      </c>
      <c r="D745" t="s">
        <v>7</v>
      </c>
      <c r="E745">
        <v>946635</v>
      </c>
      <c r="F745">
        <v>9015884123</v>
      </c>
      <c r="G745">
        <v>446</v>
      </c>
      <c r="H745" t="s">
        <v>688</v>
      </c>
      <c r="I745">
        <v>0</v>
      </c>
      <c r="J745" t="s">
        <v>689</v>
      </c>
      <c r="K745" t="s">
        <v>8</v>
      </c>
      <c r="L745" t="s">
        <v>15</v>
      </c>
      <c r="M745" t="s">
        <v>9</v>
      </c>
      <c r="N745" t="s">
        <v>14</v>
      </c>
      <c r="O745" s="2">
        <v>0</v>
      </c>
      <c r="P745" s="3">
        <v>2906.9520000000002</v>
      </c>
      <c r="Q745" s="1">
        <v>46033</v>
      </c>
      <c r="R745" s="1">
        <v>45992</v>
      </c>
      <c r="S745" s="1">
        <v>46022</v>
      </c>
      <c r="V745" s="8">
        <v>1</v>
      </c>
      <c r="W745" t="s">
        <v>24</v>
      </c>
      <c r="X745" t="s">
        <v>690</v>
      </c>
      <c r="Y745" t="s">
        <v>42</v>
      </c>
      <c r="Z745" t="s">
        <v>11</v>
      </c>
      <c r="AA745">
        <v>62371</v>
      </c>
      <c r="AB745">
        <v>21365716</v>
      </c>
      <c r="AC745">
        <v>0</v>
      </c>
      <c r="AD745" s="8"/>
    </row>
    <row r="746" spans="1:30" x14ac:dyDescent="0.3">
      <c r="A746" t="s">
        <v>1627</v>
      </c>
      <c r="B746">
        <v>1415557</v>
      </c>
      <c r="D746" t="s">
        <v>7</v>
      </c>
      <c r="E746">
        <v>946464</v>
      </c>
      <c r="F746">
        <v>9015884123</v>
      </c>
      <c r="G746">
        <v>394</v>
      </c>
      <c r="H746" t="s">
        <v>1078</v>
      </c>
      <c r="I746">
        <v>0</v>
      </c>
      <c r="J746" t="s">
        <v>1079</v>
      </c>
      <c r="K746" t="s">
        <v>8</v>
      </c>
      <c r="L746" t="s">
        <v>19</v>
      </c>
      <c r="M746" t="s">
        <v>9</v>
      </c>
      <c r="N746" t="s">
        <v>14</v>
      </c>
      <c r="O746" s="2">
        <v>15450.69</v>
      </c>
      <c r="P746" s="3">
        <v>78.194999999999993</v>
      </c>
      <c r="Q746" s="1">
        <v>46033</v>
      </c>
      <c r="R746" s="1">
        <v>45992</v>
      </c>
      <c r="S746" s="1">
        <v>46022</v>
      </c>
      <c r="V746" s="8">
        <v>1</v>
      </c>
      <c r="W746" t="s">
        <v>24</v>
      </c>
      <c r="X746" t="s">
        <v>1080</v>
      </c>
      <c r="Y746" t="s">
        <v>42</v>
      </c>
      <c r="Z746" t="s">
        <v>11</v>
      </c>
      <c r="AA746">
        <v>62371</v>
      </c>
      <c r="AB746">
        <v>17556364</v>
      </c>
      <c r="AC746">
        <v>0</v>
      </c>
      <c r="AD746" s="8"/>
    </row>
    <row r="747" spans="1:30" x14ac:dyDescent="0.3">
      <c r="A747" t="s">
        <v>1627</v>
      </c>
      <c r="B747">
        <v>1415557</v>
      </c>
      <c r="D747" t="s">
        <v>7</v>
      </c>
      <c r="E747">
        <v>946464</v>
      </c>
      <c r="F747">
        <v>9015884123</v>
      </c>
      <c r="G747">
        <v>394</v>
      </c>
      <c r="H747" t="s">
        <v>1078</v>
      </c>
      <c r="I747">
        <v>0</v>
      </c>
      <c r="J747" t="s">
        <v>1079</v>
      </c>
      <c r="K747" t="s">
        <v>8</v>
      </c>
      <c r="L747" t="s">
        <v>67</v>
      </c>
      <c r="M747" t="s">
        <v>9</v>
      </c>
      <c r="N747" t="s">
        <v>14</v>
      </c>
      <c r="O747" s="2">
        <v>376160.06</v>
      </c>
      <c r="P747" s="3">
        <v>2640.99</v>
      </c>
      <c r="Q747" s="1">
        <v>46033</v>
      </c>
      <c r="R747" s="1">
        <v>45992</v>
      </c>
      <c r="S747" s="1">
        <v>46022</v>
      </c>
      <c r="V747" s="8">
        <v>1</v>
      </c>
      <c r="W747" t="s">
        <v>24</v>
      </c>
      <c r="X747" t="s">
        <v>1080</v>
      </c>
      <c r="Y747" t="s">
        <v>42</v>
      </c>
      <c r="Z747" t="s">
        <v>11</v>
      </c>
      <c r="AA747">
        <v>62371</v>
      </c>
      <c r="AB747">
        <v>17556364</v>
      </c>
      <c r="AC747">
        <v>0</v>
      </c>
      <c r="AD747" s="8"/>
    </row>
    <row r="748" spans="1:30" x14ac:dyDescent="0.3">
      <c r="A748" t="s">
        <v>1627</v>
      </c>
      <c r="B748">
        <v>1405495</v>
      </c>
      <c r="D748" t="s">
        <v>7</v>
      </c>
      <c r="E748">
        <v>946264</v>
      </c>
      <c r="F748">
        <v>9015884123</v>
      </c>
      <c r="G748">
        <v>307</v>
      </c>
      <c r="H748" t="s">
        <v>130</v>
      </c>
      <c r="I748">
        <v>0</v>
      </c>
      <c r="J748" t="s">
        <v>131</v>
      </c>
      <c r="K748" t="s">
        <v>8</v>
      </c>
      <c r="L748" t="s">
        <v>19</v>
      </c>
      <c r="M748" t="s">
        <v>9</v>
      </c>
      <c r="N748" t="s">
        <v>14</v>
      </c>
      <c r="O748" s="2">
        <v>7114.75</v>
      </c>
      <c r="P748" s="3">
        <v>43.606999999999999</v>
      </c>
      <c r="Q748" s="1">
        <v>46033</v>
      </c>
      <c r="R748" s="1">
        <v>45992</v>
      </c>
      <c r="S748" s="1">
        <v>46022</v>
      </c>
      <c r="V748" s="8">
        <v>1</v>
      </c>
      <c r="W748" t="s">
        <v>24</v>
      </c>
      <c r="X748" t="s">
        <v>132</v>
      </c>
      <c r="Y748" t="s">
        <v>31</v>
      </c>
      <c r="Z748" t="s">
        <v>11</v>
      </c>
      <c r="AA748">
        <v>62371</v>
      </c>
      <c r="AB748">
        <v>21396617</v>
      </c>
      <c r="AC748">
        <v>1</v>
      </c>
      <c r="AD748" s="8"/>
    </row>
    <row r="749" spans="1:30" x14ac:dyDescent="0.3">
      <c r="A749" t="s">
        <v>1627</v>
      </c>
      <c r="B749">
        <v>1403693</v>
      </c>
      <c r="D749" t="s">
        <v>7</v>
      </c>
      <c r="E749">
        <v>946166</v>
      </c>
      <c r="F749">
        <v>9015884123</v>
      </c>
      <c r="G749">
        <v>273</v>
      </c>
      <c r="H749" t="s">
        <v>133</v>
      </c>
      <c r="I749">
        <v>0</v>
      </c>
      <c r="J749" t="s">
        <v>134</v>
      </c>
      <c r="K749" t="s">
        <v>8</v>
      </c>
      <c r="L749" t="s">
        <v>67</v>
      </c>
      <c r="M749" t="s">
        <v>9</v>
      </c>
      <c r="N749" t="s">
        <v>14</v>
      </c>
      <c r="O749" s="2">
        <v>95947.53</v>
      </c>
      <c r="P749" s="3">
        <v>888.43799999999999</v>
      </c>
      <c r="Q749" s="1">
        <v>46033</v>
      </c>
      <c r="R749" s="1">
        <v>45992</v>
      </c>
      <c r="S749" s="1">
        <v>46022</v>
      </c>
      <c r="V749" s="8">
        <v>1</v>
      </c>
      <c r="W749" t="s">
        <v>24</v>
      </c>
      <c r="X749" t="s">
        <v>135</v>
      </c>
      <c r="Y749" t="s">
        <v>31</v>
      </c>
      <c r="Z749" t="s">
        <v>11</v>
      </c>
      <c r="AA749">
        <v>62371</v>
      </c>
      <c r="AB749">
        <v>18461620</v>
      </c>
      <c r="AC749">
        <v>1</v>
      </c>
      <c r="AD749" s="8"/>
    </row>
    <row r="750" spans="1:30" x14ac:dyDescent="0.3">
      <c r="A750" t="s">
        <v>1627</v>
      </c>
      <c r="B750">
        <v>1403680</v>
      </c>
      <c r="D750" t="s">
        <v>7</v>
      </c>
      <c r="E750">
        <v>946145</v>
      </c>
      <c r="F750">
        <v>9015884123</v>
      </c>
      <c r="G750">
        <v>268</v>
      </c>
      <c r="H750" t="s">
        <v>1111</v>
      </c>
      <c r="I750">
        <v>0</v>
      </c>
      <c r="J750" t="s">
        <v>1112</v>
      </c>
      <c r="K750" t="s">
        <v>8</v>
      </c>
      <c r="L750" t="s">
        <v>15</v>
      </c>
      <c r="M750" t="s">
        <v>9</v>
      </c>
      <c r="N750" t="s">
        <v>14</v>
      </c>
      <c r="O750" s="2">
        <v>0</v>
      </c>
      <c r="P750" s="3">
        <v>4565.9430000000002</v>
      </c>
      <c r="Q750" s="1">
        <v>46033</v>
      </c>
      <c r="R750" s="1">
        <v>45992</v>
      </c>
      <c r="S750" s="1">
        <v>46022</v>
      </c>
      <c r="V750" s="8">
        <v>1</v>
      </c>
      <c r="W750" t="s">
        <v>24</v>
      </c>
      <c r="X750" t="s">
        <v>1113</v>
      </c>
      <c r="Y750" t="s">
        <v>31</v>
      </c>
      <c r="Z750" t="s">
        <v>11</v>
      </c>
      <c r="AA750">
        <v>62371</v>
      </c>
      <c r="AB750">
        <v>17197651</v>
      </c>
      <c r="AC750">
        <v>1</v>
      </c>
      <c r="AD750" s="8"/>
    </row>
    <row r="751" spans="1:30" x14ac:dyDescent="0.3">
      <c r="A751" t="s">
        <v>1627</v>
      </c>
      <c r="B751">
        <v>1360644</v>
      </c>
      <c r="D751" t="s">
        <v>7</v>
      </c>
      <c r="E751">
        <v>945897</v>
      </c>
      <c r="F751">
        <v>9015884123</v>
      </c>
      <c r="G751">
        <v>146</v>
      </c>
      <c r="H751" t="s">
        <v>76</v>
      </c>
      <c r="I751">
        <v>0</v>
      </c>
      <c r="J751" t="s">
        <v>77</v>
      </c>
      <c r="K751" t="s">
        <v>8</v>
      </c>
      <c r="L751" t="s">
        <v>67</v>
      </c>
      <c r="M751" t="s">
        <v>9</v>
      </c>
      <c r="N751" t="s">
        <v>14</v>
      </c>
      <c r="O751" s="2">
        <v>519340.14</v>
      </c>
      <c r="P751" s="3">
        <v>3646.2460000000001</v>
      </c>
      <c r="Q751" s="1">
        <v>46033</v>
      </c>
      <c r="R751" s="1">
        <v>45992</v>
      </c>
      <c r="S751" s="1">
        <v>46022</v>
      </c>
      <c r="V751" s="8">
        <v>1</v>
      </c>
      <c r="W751" t="s">
        <v>24</v>
      </c>
      <c r="X751" t="s">
        <v>78</v>
      </c>
      <c r="Y751" t="s">
        <v>42</v>
      </c>
      <c r="Z751" t="s">
        <v>11</v>
      </c>
      <c r="AA751">
        <v>62371</v>
      </c>
      <c r="AB751">
        <v>17583420</v>
      </c>
      <c r="AC751">
        <v>0</v>
      </c>
      <c r="AD751" s="8"/>
    </row>
    <row r="752" spans="1:30" x14ac:dyDescent="0.3">
      <c r="A752" t="s">
        <v>1627</v>
      </c>
      <c r="B752">
        <v>1403660</v>
      </c>
      <c r="D752" t="s">
        <v>7</v>
      </c>
      <c r="E752">
        <v>946136</v>
      </c>
      <c r="F752">
        <v>9015884123</v>
      </c>
      <c r="G752">
        <v>265</v>
      </c>
      <c r="H752" t="s">
        <v>1156</v>
      </c>
      <c r="I752">
        <v>0</v>
      </c>
      <c r="J752" t="s">
        <v>1157</v>
      </c>
      <c r="K752" t="s">
        <v>8</v>
      </c>
      <c r="L752" t="s">
        <v>67</v>
      </c>
      <c r="M752" t="s">
        <v>9</v>
      </c>
      <c r="N752" t="s">
        <v>14</v>
      </c>
      <c r="O752" s="2">
        <v>345864.61</v>
      </c>
      <c r="P752" s="3">
        <v>2428.288</v>
      </c>
      <c r="Q752" s="1">
        <v>46033</v>
      </c>
      <c r="R752" s="1">
        <v>45992</v>
      </c>
      <c r="S752" s="1">
        <v>46022</v>
      </c>
      <c r="V752" s="8">
        <v>1</v>
      </c>
      <c r="W752" t="s">
        <v>24</v>
      </c>
      <c r="X752" t="s">
        <v>1158</v>
      </c>
      <c r="Y752" t="s">
        <v>31</v>
      </c>
      <c r="Z752" t="s">
        <v>11</v>
      </c>
      <c r="AA752">
        <v>62371</v>
      </c>
      <c r="AB752">
        <v>17159392</v>
      </c>
      <c r="AC752">
        <v>0</v>
      </c>
      <c r="AD752" s="8"/>
    </row>
    <row r="753" spans="1:30" x14ac:dyDescent="0.3">
      <c r="A753" t="s">
        <v>1627</v>
      </c>
      <c r="B753">
        <v>1403697</v>
      </c>
      <c r="D753" t="s">
        <v>7</v>
      </c>
      <c r="E753">
        <v>946217</v>
      </c>
      <c r="F753">
        <v>9015884123</v>
      </c>
      <c r="G753">
        <v>291</v>
      </c>
      <c r="H753" t="s">
        <v>93</v>
      </c>
      <c r="I753">
        <v>0</v>
      </c>
      <c r="J753" t="s">
        <v>94</v>
      </c>
      <c r="K753" t="s">
        <v>8</v>
      </c>
      <c r="L753" t="s">
        <v>18</v>
      </c>
      <c r="M753" t="s">
        <v>9</v>
      </c>
      <c r="N753" t="s">
        <v>14</v>
      </c>
      <c r="O753" s="2">
        <v>-4.66</v>
      </c>
      <c r="P753" s="3">
        <v>0</v>
      </c>
      <c r="Q753" s="1">
        <v>46033</v>
      </c>
      <c r="R753" s="1">
        <v>45992</v>
      </c>
      <c r="S753" s="1">
        <v>46022</v>
      </c>
      <c r="V753" s="8">
        <v>1</v>
      </c>
      <c r="W753" t="s">
        <v>24</v>
      </c>
      <c r="X753" t="s">
        <v>95</v>
      </c>
      <c r="Y753" t="s">
        <v>83</v>
      </c>
      <c r="Z753" t="s">
        <v>11</v>
      </c>
      <c r="AA753">
        <v>62371</v>
      </c>
      <c r="AB753">
        <v>18092532</v>
      </c>
      <c r="AC753">
        <v>0</v>
      </c>
      <c r="AD753" s="8"/>
    </row>
    <row r="754" spans="1:30" x14ac:dyDescent="0.3">
      <c r="A754" t="s">
        <v>1627</v>
      </c>
      <c r="B754">
        <v>1403697</v>
      </c>
      <c r="D754" t="s">
        <v>7</v>
      </c>
      <c r="E754">
        <v>946217</v>
      </c>
      <c r="F754">
        <v>9015884123</v>
      </c>
      <c r="G754">
        <v>291</v>
      </c>
      <c r="H754" t="s">
        <v>93</v>
      </c>
      <c r="I754">
        <v>0</v>
      </c>
      <c r="J754" t="s">
        <v>94</v>
      </c>
      <c r="K754" t="s">
        <v>8</v>
      </c>
      <c r="L754" t="s">
        <v>19</v>
      </c>
      <c r="M754" t="s">
        <v>9</v>
      </c>
      <c r="N754" t="s">
        <v>14</v>
      </c>
      <c r="O754" s="2">
        <v>14634.63</v>
      </c>
      <c r="P754" s="3">
        <v>74.064999999999998</v>
      </c>
      <c r="Q754" s="1">
        <v>46033</v>
      </c>
      <c r="R754" s="1">
        <v>45992</v>
      </c>
      <c r="S754" s="1">
        <v>46022</v>
      </c>
      <c r="V754" s="8">
        <v>1</v>
      </c>
      <c r="W754" t="s">
        <v>24</v>
      </c>
      <c r="X754" t="s">
        <v>95</v>
      </c>
      <c r="Y754" t="s">
        <v>83</v>
      </c>
      <c r="Z754" t="s">
        <v>11</v>
      </c>
      <c r="AA754">
        <v>62371</v>
      </c>
      <c r="AB754">
        <v>18092532</v>
      </c>
      <c r="AC754">
        <v>0</v>
      </c>
      <c r="AD754" s="8"/>
    </row>
    <row r="755" spans="1:30" x14ac:dyDescent="0.3">
      <c r="A755" t="s">
        <v>1627</v>
      </c>
      <c r="B755">
        <v>1342235</v>
      </c>
      <c r="D755" t="s">
        <v>7</v>
      </c>
      <c r="E755">
        <v>945256</v>
      </c>
      <c r="F755">
        <v>9015884123</v>
      </c>
      <c r="G755">
        <v>69</v>
      </c>
      <c r="H755" t="s">
        <v>718</v>
      </c>
      <c r="I755">
        <v>0</v>
      </c>
      <c r="J755" t="s">
        <v>719</v>
      </c>
      <c r="K755" t="s">
        <v>8</v>
      </c>
      <c r="L755" t="s">
        <v>15</v>
      </c>
      <c r="M755" t="s">
        <v>9</v>
      </c>
      <c r="N755" t="s">
        <v>14</v>
      </c>
      <c r="O755" s="2">
        <v>0</v>
      </c>
      <c r="P755" s="3">
        <v>3294.5439999999999</v>
      </c>
      <c r="Q755" s="1">
        <v>46033</v>
      </c>
      <c r="R755" s="1">
        <v>45992</v>
      </c>
      <c r="S755" s="1">
        <v>46022</v>
      </c>
      <c r="V755" s="8">
        <v>1</v>
      </c>
      <c r="W755" t="s">
        <v>24</v>
      </c>
      <c r="X755" t="s">
        <v>720</v>
      </c>
      <c r="Y755" t="s">
        <v>31</v>
      </c>
      <c r="Z755" t="s">
        <v>11</v>
      </c>
      <c r="AA755">
        <v>62371</v>
      </c>
      <c r="AB755">
        <v>19277454</v>
      </c>
      <c r="AC755">
        <v>0</v>
      </c>
      <c r="AD755" s="8"/>
    </row>
    <row r="756" spans="1:30" x14ac:dyDescent="0.3">
      <c r="A756" t="s">
        <v>1627</v>
      </c>
      <c r="B756">
        <v>1384358</v>
      </c>
      <c r="D756" t="s">
        <v>7</v>
      </c>
      <c r="E756">
        <v>946028</v>
      </c>
      <c r="F756">
        <v>9015884123</v>
      </c>
      <c r="G756">
        <v>230</v>
      </c>
      <c r="H756" t="s">
        <v>151</v>
      </c>
      <c r="I756">
        <v>0</v>
      </c>
      <c r="J756" t="s">
        <v>152</v>
      </c>
      <c r="K756" t="s">
        <v>8</v>
      </c>
      <c r="L756" t="s">
        <v>19</v>
      </c>
      <c r="M756" t="s">
        <v>9</v>
      </c>
      <c r="N756" t="s">
        <v>14</v>
      </c>
      <c r="O756" s="2">
        <v>4198.9799999999996</v>
      </c>
      <c r="P756" s="3">
        <v>25.736000000000001</v>
      </c>
      <c r="Q756" s="1">
        <v>46033</v>
      </c>
      <c r="R756" s="1">
        <v>45992</v>
      </c>
      <c r="S756" s="1">
        <v>46022</v>
      </c>
      <c r="V756" s="8">
        <v>1</v>
      </c>
      <c r="W756" t="s">
        <v>24</v>
      </c>
      <c r="X756" t="s">
        <v>153</v>
      </c>
      <c r="Y756" t="s">
        <v>34</v>
      </c>
      <c r="Z756" t="s">
        <v>11</v>
      </c>
      <c r="AA756">
        <v>62371</v>
      </c>
      <c r="AB756">
        <v>21249963</v>
      </c>
      <c r="AC756">
        <v>1</v>
      </c>
      <c r="AD756" s="8"/>
    </row>
    <row r="757" spans="1:30" x14ac:dyDescent="0.3">
      <c r="A757" t="s">
        <v>1627</v>
      </c>
      <c r="B757">
        <v>1382485</v>
      </c>
      <c r="D757" t="s">
        <v>7</v>
      </c>
      <c r="E757">
        <v>946069</v>
      </c>
      <c r="F757">
        <v>9015884123</v>
      </c>
      <c r="G757">
        <v>224</v>
      </c>
      <c r="H757" t="s">
        <v>1123</v>
      </c>
      <c r="I757">
        <v>0</v>
      </c>
      <c r="J757" t="s">
        <v>1124</v>
      </c>
      <c r="K757" t="s">
        <v>8</v>
      </c>
      <c r="L757" t="s">
        <v>19</v>
      </c>
      <c r="M757" t="s">
        <v>9</v>
      </c>
      <c r="N757" t="s">
        <v>14</v>
      </c>
      <c r="O757" s="2">
        <v>500.3</v>
      </c>
      <c r="P757" s="3">
        <v>2.532</v>
      </c>
      <c r="Q757" s="1">
        <v>46033</v>
      </c>
      <c r="R757" s="1">
        <v>45992</v>
      </c>
      <c r="S757" s="1">
        <v>46022</v>
      </c>
      <c r="V757" s="8">
        <v>1</v>
      </c>
      <c r="W757" t="s">
        <v>24</v>
      </c>
      <c r="X757" t="s">
        <v>1125</v>
      </c>
      <c r="Y757" t="s">
        <v>34</v>
      </c>
      <c r="Z757" t="s">
        <v>11</v>
      </c>
      <c r="AA757">
        <v>62371</v>
      </c>
      <c r="AB757">
        <v>17933297</v>
      </c>
      <c r="AC757">
        <v>0</v>
      </c>
      <c r="AD757" s="8"/>
    </row>
    <row r="758" spans="1:30" x14ac:dyDescent="0.3">
      <c r="A758" t="s">
        <v>1627</v>
      </c>
      <c r="B758">
        <v>1363362</v>
      </c>
      <c r="D758" t="s">
        <v>7</v>
      </c>
      <c r="E758">
        <v>945911</v>
      </c>
      <c r="F758">
        <v>9015884123</v>
      </c>
      <c r="G758">
        <v>160</v>
      </c>
      <c r="H758" t="s">
        <v>157</v>
      </c>
      <c r="I758">
        <v>0</v>
      </c>
      <c r="J758" t="s">
        <v>158</v>
      </c>
      <c r="K758" t="s">
        <v>8</v>
      </c>
      <c r="L758" t="s">
        <v>18</v>
      </c>
      <c r="M758" t="s">
        <v>9</v>
      </c>
      <c r="N758" t="s">
        <v>14</v>
      </c>
      <c r="O758" s="2">
        <v>-3.24</v>
      </c>
      <c r="P758" s="3">
        <v>0</v>
      </c>
      <c r="Q758" s="1">
        <v>46033</v>
      </c>
      <c r="R758" s="1">
        <v>45992</v>
      </c>
      <c r="S758" s="1">
        <v>46022</v>
      </c>
      <c r="V758" s="8">
        <v>1</v>
      </c>
      <c r="W758" t="s">
        <v>24</v>
      </c>
      <c r="X758" t="s">
        <v>159</v>
      </c>
      <c r="Y758" t="s">
        <v>34</v>
      </c>
      <c r="Z758" t="s">
        <v>11</v>
      </c>
      <c r="AA758">
        <v>62371</v>
      </c>
      <c r="AB758">
        <v>21249744</v>
      </c>
      <c r="AC758">
        <v>1</v>
      </c>
      <c r="AD758" s="8"/>
    </row>
    <row r="759" spans="1:30" x14ac:dyDescent="0.3">
      <c r="A759" t="s">
        <v>1627</v>
      </c>
      <c r="B759">
        <v>1384574</v>
      </c>
      <c r="D759" t="s">
        <v>7</v>
      </c>
      <c r="E759">
        <v>946038</v>
      </c>
      <c r="F759">
        <v>9015884123</v>
      </c>
      <c r="G759">
        <v>233</v>
      </c>
      <c r="H759" t="s">
        <v>1376</v>
      </c>
      <c r="I759">
        <v>0</v>
      </c>
      <c r="J759" t="s">
        <v>1377</v>
      </c>
      <c r="K759" t="s">
        <v>8</v>
      </c>
      <c r="L759" t="s">
        <v>18</v>
      </c>
      <c r="M759" t="s">
        <v>9</v>
      </c>
      <c r="N759" t="s">
        <v>14</v>
      </c>
      <c r="O759" s="2">
        <v>-1.9</v>
      </c>
      <c r="P759" s="3">
        <v>0</v>
      </c>
      <c r="Q759" s="1">
        <v>46033</v>
      </c>
      <c r="R759" s="1">
        <v>45992</v>
      </c>
      <c r="S759" s="1">
        <v>46022</v>
      </c>
      <c r="V759" s="8">
        <v>1</v>
      </c>
      <c r="W759" t="s">
        <v>24</v>
      </c>
      <c r="X759" t="s">
        <v>1378</v>
      </c>
      <c r="Y759" t="s">
        <v>29</v>
      </c>
      <c r="Z759" t="s">
        <v>11</v>
      </c>
      <c r="AA759">
        <v>62371</v>
      </c>
      <c r="AB759">
        <v>17628916</v>
      </c>
      <c r="AC759">
        <v>1</v>
      </c>
      <c r="AD759" s="8" t="s">
        <v>1650</v>
      </c>
    </row>
    <row r="760" spans="1:30" x14ac:dyDescent="0.3">
      <c r="A760" t="s">
        <v>1627</v>
      </c>
      <c r="B760">
        <v>1356065</v>
      </c>
      <c r="D760" t="s">
        <v>7</v>
      </c>
      <c r="E760">
        <v>945438</v>
      </c>
      <c r="F760">
        <v>9015884123</v>
      </c>
      <c r="G760">
        <v>124</v>
      </c>
      <c r="H760" t="s">
        <v>1379</v>
      </c>
      <c r="I760">
        <v>0</v>
      </c>
      <c r="J760" t="s">
        <v>1380</v>
      </c>
      <c r="K760" t="s">
        <v>8</v>
      </c>
      <c r="L760" t="s">
        <v>67</v>
      </c>
      <c r="M760" t="s">
        <v>9</v>
      </c>
      <c r="N760" t="s">
        <v>14</v>
      </c>
      <c r="O760" s="2">
        <v>733635.68</v>
      </c>
      <c r="P760" s="3">
        <v>5150.7979999999998</v>
      </c>
      <c r="Q760" s="1">
        <v>46033</v>
      </c>
      <c r="R760" s="1">
        <v>45992</v>
      </c>
      <c r="S760" s="1">
        <v>46022</v>
      </c>
      <c r="V760" s="8">
        <v>1</v>
      </c>
      <c r="W760" t="s">
        <v>24</v>
      </c>
      <c r="X760" t="s">
        <v>1381</v>
      </c>
      <c r="Y760" t="s">
        <v>34</v>
      </c>
      <c r="Z760" t="s">
        <v>11</v>
      </c>
      <c r="AA760">
        <v>62371</v>
      </c>
      <c r="AB760">
        <v>17918099</v>
      </c>
      <c r="AC760">
        <v>0</v>
      </c>
      <c r="AD760" s="8"/>
    </row>
    <row r="761" spans="1:30" x14ac:dyDescent="0.3">
      <c r="A761" t="s">
        <v>1627</v>
      </c>
      <c r="B761">
        <v>1353816</v>
      </c>
      <c r="D761" t="s">
        <v>7</v>
      </c>
      <c r="E761">
        <v>945337</v>
      </c>
      <c r="F761">
        <v>9015884123</v>
      </c>
      <c r="G761">
        <v>92</v>
      </c>
      <c r="H761" t="s">
        <v>730</v>
      </c>
      <c r="I761">
        <v>0</v>
      </c>
      <c r="J761" t="s">
        <v>731</v>
      </c>
      <c r="K761" t="s">
        <v>8</v>
      </c>
      <c r="L761" t="s">
        <v>15</v>
      </c>
      <c r="M761" t="s">
        <v>9</v>
      </c>
      <c r="N761" t="s">
        <v>14</v>
      </c>
      <c r="O761" s="2">
        <v>0</v>
      </c>
      <c r="P761" s="3">
        <v>3593.7809999999999</v>
      </c>
      <c r="Q761" s="1">
        <v>46033</v>
      </c>
      <c r="R761" s="1">
        <v>45992</v>
      </c>
      <c r="S761" s="1">
        <v>46022</v>
      </c>
      <c r="V761" s="8">
        <v>1</v>
      </c>
      <c r="W761" t="s">
        <v>24</v>
      </c>
      <c r="X761" t="s">
        <v>732</v>
      </c>
      <c r="Y761" t="s">
        <v>34</v>
      </c>
      <c r="Z761" t="s">
        <v>11</v>
      </c>
      <c r="AA761">
        <v>62371</v>
      </c>
      <c r="AB761">
        <v>17906304</v>
      </c>
      <c r="AC761">
        <v>1</v>
      </c>
      <c r="AD761" s="8"/>
    </row>
    <row r="762" spans="1:30" x14ac:dyDescent="0.3">
      <c r="A762" t="s">
        <v>1627</v>
      </c>
      <c r="B762">
        <v>1342242</v>
      </c>
      <c r="D762" t="s">
        <v>7</v>
      </c>
      <c r="E762">
        <v>945266</v>
      </c>
      <c r="F762">
        <v>9015884123</v>
      </c>
      <c r="G762">
        <v>71</v>
      </c>
      <c r="H762" t="s">
        <v>1138</v>
      </c>
      <c r="I762">
        <v>0</v>
      </c>
      <c r="J762" t="s">
        <v>1139</v>
      </c>
      <c r="K762" t="s">
        <v>8</v>
      </c>
      <c r="L762" t="s">
        <v>67</v>
      </c>
      <c r="M762" t="s">
        <v>9</v>
      </c>
      <c r="N762" t="s">
        <v>14</v>
      </c>
      <c r="O762" s="2">
        <v>602409.73</v>
      </c>
      <c r="P762" s="3">
        <v>4229.4709999999995</v>
      </c>
      <c r="Q762" s="1">
        <v>46033</v>
      </c>
      <c r="R762" s="1">
        <v>45992</v>
      </c>
      <c r="S762" s="1">
        <v>46022</v>
      </c>
      <c r="V762" s="8">
        <v>1</v>
      </c>
      <c r="W762" t="s">
        <v>24</v>
      </c>
      <c r="X762" t="s">
        <v>1140</v>
      </c>
      <c r="Y762" t="s">
        <v>10</v>
      </c>
      <c r="Z762" t="s">
        <v>11</v>
      </c>
      <c r="AA762">
        <v>62371</v>
      </c>
      <c r="AB762">
        <v>19546549</v>
      </c>
      <c r="AC762">
        <v>0</v>
      </c>
      <c r="AD762" s="8"/>
    </row>
    <row r="763" spans="1:30" x14ac:dyDescent="0.3">
      <c r="A763" t="s">
        <v>1627</v>
      </c>
      <c r="B763">
        <v>1342242</v>
      </c>
      <c r="D763" t="s">
        <v>7</v>
      </c>
      <c r="E763">
        <v>945266</v>
      </c>
      <c r="F763">
        <v>9015884123</v>
      </c>
      <c r="G763">
        <v>71</v>
      </c>
      <c r="H763" t="s">
        <v>1138</v>
      </c>
      <c r="I763">
        <v>0</v>
      </c>
      <c r="J763" t="s">
        <v>1139</v>
      </c>
      <c r="K763" t="s">
        <v>8</v>
      </c>
      <c r="L763" t="s">
        <v>19</v>
      </c>
      <c r="M763" t="s">
        <v>9</v>
      </c>
      <c r="N763" t="s">
        <v>14</v>
      </c>
      <c r="O763" s="2">
        <v>115246.18</v>
      </c>
      <c r="P763" s="3">
        <v>583.25400000000002</v>
      </c>
      <c r="Q763" s="1">
        <v>46033</v>
      </c>
      <c r="R763" s="1">
        <v>45992</v>
      </c>
      <c r="S763" s="1">
        <v>46022</v>
      </c>
      <c r="V763" s="8">
        <v>1</v>
      </c>
      <c r="W763" t="s">
        <v>24</v>
      </c>
      <c r="X763" t="s">
        <v>1140</v>
      </c>
      <c r="Y763" t="s">
        <v>10</v>
      </c>
      <c r="Z763" t="s">
        <v>11</v>
      </c>
      <c r="AA763">
        <v>62371</v>
      </c>
      <c r="AB763">
        <v>19546549</v>
      </c>
      <c r="AC763">
        <v>0</v>
      </c>
      <c r="AD763" s="8"/>
    </row>
    <row r="764" spans="1:30" x14ac:dyDescent="0.3">
      <c r="A764" t="s">
        <v>1627</v>
      </c>
      <c r="B764">
        <v>1345468</v>
      </c>
      <c r="D764" t="s">
        <v>7</v>
      </c>
      <c r="E764">
        <v>945275</v>
      </c>
      <c r="F764">
        <v>9015884123</v>
      </c>
      <c r="G764">
        <v>74</v>
      </c>
      <c r="H764" t="s">
        <v>1141</v>
      </c>
      <c r="I764">
        <v>0</v>
      </c>
      <c r="J764" t="s">
        <v>1142</v>
      </c>
      <c r="K764" t="s">
        <v>8</v>
      </c>
      <c r="L764" t="s">
        <v>67</v>
      </c>
      <c r="M764" t="s">
        <v>9</v>
      </c>
      <c r="N764" t="s">
        <v>14</v>
      </c>
      <c r="O764" s="2">
        <v>104960.53</v>
      </c>
      <c r="P764" s="3">
        <v>971.89499999999998</v>
      </c>
      <c r="Q764" s="1">
        <v>46033</v>
      </c>
      <c r="R764" s="1">
        <v>45992</v>
      </c>
      <c r="S764" s="1">
        <v>46022</v>
      </c>
      <c r="V764" s="8">
        <v>1</v>
      </c>
      <c r="W764" t="s">
        <v>24</v>
      </c>
      <c r="X764" t="s">
        <v>1143</v>
      </c>
      <c r="Y764" t="s">
        <v>10</v>
      </c>
      <c r="Z764" t="s">
        <v>11</v>
      </c>
      <c r="AA764">
        <v>62371</v>
      </c>
      <c r="AB764">
        <v>18385696</v>
      </c>
      <c r="AC764">
        <v>1</v>
      </c>
      <c r="AD764" s="8"/>
    </row>
    <row r="765" spans="1:30" x14ac:dyDescent="0.3">
      <c r="A765" t="s">
        <v>1627</v>
      </c>
      <c r="B765">
        <v>1288751</v>
      </c>
      <c r="D765" t="s">
        <v>7</v>
      </c>
      <c r="E765">
        <v>945327</v>
      </c>
      <c r="F765">
        <v>9015884123</v>
      </c>
      <c r="G765">
        <v>9</v>
      </c>
      <c r="H765" t="s">
        <v>700</v>
      </c>
      <c r="I765">
        <v>0</v>
      </c>
      <c r="J765" t="s">
        <v>701</v>
      </c>
      <c r="K765" t="s">
        <v>8</v>
      </c>
      <c r="L765" t="s">
        <v>67</v>
      </c>
      <c r="M765" t="s">
        <v>9</v>
      </c>
      <c r="N765" t="s">
        <v>14</v>
      </c>
      <c r="O765" s="2">
        <v>353074.93</v>
      </c>
      <c r="P765" s="3">
        <v>3269.3409999999999</v>
      </c>
      <c r="Q765" s="1">
        <v>46033</v>
      </c>
      <c r="R765" s="1">
        <v>45992</v>
      </c>
      <c r="S765" s="1">
        <v>46022</v>
      </c>
      <c r="V765" s="8">
        <v>1</v>
      </c>
      <c r="W765" t="s">
        <v>24</v>
      </c>
      <c r="X765" t="s">
        <v>702</v>
      </c>
      <c r="Y765" t="s">
        <v>34</v>
      </c>
      <c r="Z765" t="s">
        <v>11</v>
      </c>
      <c r="AA765">
        <v>62371</v>
      </c>
      <c r="AB765">
        <v>17905442</v>
      </c>
      <c r="AC765">
        <v>1</v>
      </c>
      <c r="AD765" s="8"/>
    </row>
    <row r="766" spans="1:30" x14ac:dyDescent="0.3">
      <c r="A766" t="s">
        <v>1627</v>
      </c>
      <c r="B766">
        <v>1345486</v>
      </c>
      <c r="D766" t="s">
        <v>7</v>
      </c>
      <c r="E766">
        <v>945282</v>
      </c>
      <c r="F766">
        <v>9015884123</v>
      </c>
      <c r="G766">
        <v>76</v>
      </c>
      <c r="H766" t="s">
        <v>760</v>
      </c>
      <c r="I766">
        <v>0</v>
      </c>
      <c r="J766" t="s">
        <v>761</v>
      </c>
      <c r="K766" t="s">
        <v>8</v>
      </c>
      <c r="L766" t="s">
        <v>67</v>
      </c>
      <c r="M766" t="s">
        <v>9</v>
      </c>
      <c r="N766" t="s">
        <v>14</v>
      </c>
      <c r="O766" s="2">
        <v>757335.1</v>
      </c>
      <c r="P766" s="3">
        <v>7012.6379999999999</v>
      </c>
      <c r="Q766" s="1">
        <v>46033</v>
      </c>
      <c r="R766" s="1">
        <v>45992</v>
      </c>
      <c r="S766" s="1">
        <v>46022</v>
      </c>
      <c r="V766" s="8">
        <v>1</v>
      </c>
      <c r="W766" t="s">
        <v>24</v>
      </c>
      <c r="X766" t="s">
        <v>762</v>
      </c>
      <c r="Y766" t="s">
        <v>10</v>
      </c>
      <c r="Z766" t="s">
        <v>11</v>
      </c>
      <c r="AA766">
        <v>62371</v>
      </c>
      <c r="AB766">
        <v>18508479</v>
      </c>
      <c r="AC766">
        <v>1</v>
      </c>
      <c r="AD766" s="8" t="s">
        <v>1650</v>
      </c>
    </row>
    <row r="767" spans="1:30" x14ac:dyDescent="0.3">
      <c r="A767" t="s">
        <v>1627</v>
      </c>
      <c r="B767">
        <v>1342245</v>
      </c>
      <c r="D767" t="s">
        <v>7</v>
      </c>
      <c r="E767">
        <v>945269</v>
      </c>
      <c r="F767">
        <v>9015884123</v>
      </c>
      <c r="G767">
        <v>72</v>
      </c>
      <c r="H767" t="s">
        <v>751</v>
      </c>
      <c r="I767">
        <v>0</v>
      </c>
      <c r="J767" t="s">
        <v>752</v>
      </c>
      <c r="K767" t="s">
        <v>8</v>
      </c>
      <c r="L767" t="s">
        <v>19</v>
      </c>
      <c r="M767" t="s">
        <v>9</v>
      </c>
      <c r="N767" t="s">
        <v>14</v>
      </c>
      <c r="O767" s="2">
        <v>173.09</v>
      </c>
      <c r="P767" s="3">
        <v>0.876</v>
      </c>
      <c r="Q767" s="1">
        <v>46033</v>
      </c>
      <c r="R767" s="1">
        <v>45992</v>
      </c>
      <c r="S767" s="1">
        <v>46022</v>
      </c>
      <c r="V767" s="8">
        <v>1</v>
      </c>
      <c r="W767" t="s">
        <v>24</v>
      </c>
      <c r="X767" t="s">
        <v>753</v>
      </c>
      <c r="Y767" t="s">
        <v>10</v>
      </c>
      <c r="Z767" t="s">
        <v>11</v>
      </c>
      <c r="AA767">
        <v>62371</v>
      </c>
      <c r="AB767">
        <v>19392444</v>
      </c>
      <c r="AC767">
        <v>0</v>
      </c>
      <c r="AD767" s="8"/>
    </row>
    <row r="768" spans="1:30" x14ac:dyDescent="0.3">
      <c r="A768" t="s">
        <v>1627</v>
      </c>
      <c r="B768">
        <v>1354726</v>
      </c>
      <c r="D768" t="s">
        <v>7</v>
      </c>
      <c r="E768">
        <v>945301</v>
      </c>
      <c r="F768">
        <v>9015884123</v>
      </c>
      <c r="G768">
        <v>82</v>
      </c>
      <c r="H768" t="s">
        <v>186</v>
      </c>
      <c r="I768">
        <v>0</v>
      </c>
      <c r="J768" t="s">
        <v>187</v>
      </c>
      <c r="K768" t="s">
        <v>8</v>
      </c>
      <c r="L768" t="s">
        <v>15</v>
      </c>
      <c r="M768" t="s">
        <v>9</v>
      </c>
      <c r="N768" t="s">
        <v>14</v>
      </c>
      <c r="O768" s="2">
        <v>0</v>
      </c>
      <c r="P768" s="3">
        <v>3461.5010000000002</v>
      </c>
      <c r="Q768" s="1">
        <v>46033</v>
      </c>
      <c r="R768" s="1">
        <v>45992</v>
      </c>
      <c r="S768" s="1">
        <v>46022</v>
      </c>
      <c r="V768" s="8">
        <v>1</v>
      </c>
      <c r="W768" t="s">
        <v>24</v>
      </c>
      <c r="X768" t="s">
        <v>188</v>
      </c>
      <c r="Y768" t="s">
        <v>189</v>
      </c>
      <c r="Z768" t="s">
        <v>11</v>
      </c>
      <c r="AA768">
        <v>62371</v>
      </c>
      <c r="AB768">
        <v>18484284</v>
      </c>
      <c r="AC768">
        <v>0</v>
      </c>
      <c r="AD768" s="8"/>
    </row>
    <row r="769" spans="1:30" x14ac:dyDescent="0.3">
      <c r="A769" t="s">
        <v>1627</v>
      </c>
      <c r="B769">
        <v>1354506</v>
      </c>
      <c r="D769" t="s">
        <v>7</v>
      </c>
      <c r="E769">
        <v>945324</v>
      </c>
      <c r="F769">
        <v>9015884123</v>
      </c>
      <c r="G769">
        <v>89</v>
      </c>
      <c r="H769" t="s">
        <v>1382</v>
      </c>
      <c r="I769">
        <v>0</v>
      </c>
      <c r="J769" t="s">
        <v>1383</v>
      </c>
      <c r="K769" t="s">
        <v>8</v>
      </c>
      <c r="L769" t="s">
        <v>18</v>
      </c>
      <c r="M769" t="s">
        <v>9</v>
      </c>
      <c r="N769" t="s">
        <v>14</v>
      </c>
      <c r="O769" s="2">
        <v>0.2</v>
      </c>
      <c r="P769" s="3">
        <v>0</v>
      </c>
      <c r="Q769" s="1">
        <v>46033</v>
      </c>
      <c r="R769" s="1">
        <v>45992</v>
      </c>
      <c r="S769" s="1">
        <v>46022</v>
      </c>
      <c r="V769" s="8">
        <v>1</v>
      </c>
      <c r="W769" t="s">
        <v>24</v>
      </c>
      <c r="X769" t="s">
        <v>1384</v>
      </c>
      <c r="Y769" t="s">
        <v>17</v>
      </c>
      <c r="Z769" t="s">
        <v>11</v>
      </c>
      <c r="AA769">
        <v>62371</v>
      </c>
      <c r="AB769">
        <v>18321377</v>
      </c>
      <c r="AC769">
        <v>0</v>
      </c>
      <c r="AD769" s="8"/>
    </row>
    <row r="770" spans="1:30" x14ac:dyDescent="0.3">
      <c r="A770" t="s">
        <v>1627</v>
      </c>
      <c r="B770">
        <v>1415102</v>
      </c>
      <c r="D770" t="s">
        <v>7</v>
      </c>
      <c r="E770">
        <v>946455</v>
      </c>
      <c r="F770">
        <v>9015884123</v>
      </c>
      <c r="G770">
        <v>391</v>
      </c>
      <c r="H770" t="s">
        <v>709</v>
      </c>
      <c r="I770">
        <v>0</v>
      </c>
      <c r="J770" t="s">
        <v>710</v>
      </c>
      <c r="K770" t="s">
        <v>8</v>
      </c>
      <c r="L770" t="s">
        <v>15</v>
      </c>
      <c r="M770" t="s">
        <v>9</v>
      </c>
      <c r="N770" t="s">
        <v>14</v>
      </c>
      <c r="O770" s="2">
        <v>0</v>
      </c>
      <c r="P770" s="3">
        <v>790.02599999999995</v>
      </c>
      <c r="Q770" s="1">
        <v>46033</v>
      </c>
      <c r="R770" s="1">
        <v>45992</v>
      </c>
      <c r="S770" s="1">
        <v>46022</v>
      </c>
      <c r="V770" s="8">
        <v>1</v>
      </c>
      <c r="W770" t="s">
        <v>24</v>
      </c>
      <c r="X770" t="s">
        <v>711</v>
      </c>
      <c r="Y770" t="s">
        <v>34</v>
      </c>
      <c r="Z770" t="s">
        <v>11</v>
      </c>
      <c r="AA770">
        <v>62371</v>
      </c>
      <c r="AB770">
        <v>17924917</v>
      </c>
      <c r="AC770">
        <v>0</v>
      </c>
      <c r="AD770" s="8"/>
    </row>
    <row r="771" spans="1:30" x14ac:dyDescent="0.3">
      <c r="A771" t="s">
        <v>1627</v>
      </c>
      <c r="B771">
        <v>1354728</v>
      </c>
      <c r="D771" t="s">
        <v>7</v>
      </c>
      <c r="E771">
        <v>945307</v>
      </c>
      <c r="F771">
        <v>9015884123</v>
      </c>
      <c r="G771">
        <v>84</v>
      </c>
      <c r="H771" t="s">
        <v>1385</v>
      </c>
      <c r="I771">
        <v>0</v>
      </c>
      <c r="J771" t="s">
        <v>1386</v>
      </c>
      <c r="K771" t="s">
        <v>8</v>
      </c>
      <c r="L771" t="s">
        <v>15</v>
      </c>
      <c r="M771" t="s">
        <v>9</v>
      </c>
      <c r="N771" t="s">
        <v>14</v>
      </c>
      <c r="O771" s="2">
        <v>0</v>
      </c>
      <c r="P771" s="3">
        <v>6102.018</v>
      </c>
      <c r="Q771" s="1">
        <v>46033</v>
      </c>
      <c r="R771" s="1">
        <v>45992</v>
      </c>
      <c r="S771" s="1">
        <v>46022</v>
      </c>
      <c r="V771" s="8">
        <v>1</v>
      </c>
      <c r="W771" t="s">
        <v>24</v>
      </c>
      <c r="X771" t="s">
        <v>1387</v>
      </c>
      <c r="Y771" t="s">
        <v>10</v>
      </c>
      <c r="Z771" t="s">
        <v>11</v>
      </c>
      <c r="AA771">
        <v>62371</v>
      </c>
      <c r="AB771">
        <v>18181534</v>
      </c>
      <c r="AC771">
        <v>0</v>
      </c>
      <c r="AD771" s="8"/>
    </row>
    <row r="772" spans="1:30" x14ac:dyDescent="0.3">
      <c r="A772" t="s">
        <v>1627</v>
      </c>
      <c r="B772">
        <v>1415407</v>
      </c>
      <c r="D772" t="s">
        <v>7</v>
      </c>
      <c r="E772">
        <v>946471</v>
      </c>
      <c r="F772">
        <v>9015884123</v>
      </c>
      <c r="G772">
        <v>396</v>
      </c>
      <c r="H772" t="s">
        <v>1108</v>
      </c>
      <c r="I772">
        <v>0</v>
      </c>
      <c r="J772" t="s">
        <v>1109</v>
      </c>
      <c r="K772" t="s">
        <v>8</v>
      </c>
      <c r="L772" t="s">
        <v>18</v>
      </c>
      <c r="M772" t="s">
        <v>9</v>
      </c>
      <c r="N772" t="s">
        <v>14</v>
      </c>
      <c r="O772" s="2">
        <v>3.26</v>
      </c>
      <c r="P772" s="3">
        <v>0</v>
      </c>
      <c r="Q772" s="1">
        <v>46033</v>
      </c>
      <c r="R772" s="1">
        <v>45992</v>
      </c>
      <c r="S772" s="1">
        <v>46022</v>
      </c>
      <c r="V772" s="8">
        <v>1</v>
      </c>
      <c r="W772" t="s">
        <v>24</v>
      </c>
      <c r="X772" t="s">
        <v>1110</v>
      </c>
      <c r="Y772" t="s">
        <v>31</v>
      </c>
      <c r="Z772" t="s">
        <v>11</v>
      </c>
      <c r="AA772">
        <v>62371</v>
      </c>
      <c r="AB772">
        <v>18267212</v>
      </c>
      <c r="AC772">
        <v>0</v>
      </c>
      <c r="AD772" s="8"/>
    </row>
    <row r="773" spans="1:30" x14ac:dyDescent="0.3">
      <c r="A773" t="s">
        <v>1627</v>
      </c>
      <c r="B773">
        <v>1354729</v>
      </c>
      <c r="D773" t="s">
        <v>7</v>
      </c>
      <c r="E773">
        <v>945311</v>
      </c>
      <c r="F773">
        <v>9015884123</v>
      </c>
      <c r="G773">
        <v>85</v>
      </c>
      <c r="H773" t="s">
        <v>199</v>
      </c>
      <c r="I773">
        <v>0</v>
      </c>
      <c r="J773" t="s">
        <v>200</v>
      </c>
      <c r="K773" t="s">
        <v>8</v>
      </c>
      <c r="L773" t="s">
        <v>19</v>
      </c>
      <c r="M773" t="s">
        <v>9</v>
      </c>
      <c r="N773" t="s">
        <v>14</v>
      </c>
      <c r="O773" s="2">
        <v>56.12</v>
      </c>
      <c r="P773" s="3">
        <v>0.28399999999999997</v>
      </c>
      <c r="Q773" s="1">
        <v>46033</v>
      </c>
      <c r="R773" s="1">
        <v>45992</v>
      </c>
      <c r="S773" s="1">
        <v>46022</v>
      </c>
      <c r="V773" s="8">
        <v>1</v>
      </c>
      <c r="W773" t="s">
        <v>24</v>
      </c>
      <c r="X773" t="s">
        <v>201</v>
      </c>
      <c r="Y773" t="s">
        <v>10</v>
      </c>
      <c r="Z773" t="s">
        <v>11</v>
      </c>
      <c r="AA773">
        <v>62371</v>
      </c>
      <c r="AB773">
        <v>17169186</v>
      </c>
      <c r="AC773">
        <v>0</v>
      </c>
      <c r="AD773" s="8"/>
    </row>
    <row r="774" spans="1:30" x14ac:dyDescent="0.3">
      <c r="A774" t="s">
        <v>1627</v>
      </c>
      <c r="B774">
        <v>1354733</v>
      </c>
      <c r="D774" t="s">
        <v>7</v>
      </c>
      <c r="E774">
        <v>945334</v>
      </c>
      <c r="F774">
        <v>9015884123</v>
      </c>
      <c r="G774">
        <v>91</v>
      </c>
      <c r="H774" t="s">
        <v>763</v>
      </c>
      <c r="I774">
        <v>0</v>
      </c>
      <c r="J774" t="s">
        <v>764</v>
      </c>
      <c r="K774" t="s">
        <v>8</v>
      </c>
      <c r="L774" t="s">
        <v>15</v>
      </c>
      <c r="M774" t="s">
        <v>9</v>
      </c>
      <c r="N774" t="s">
        <v>14</v>
      </c>
      <c r="O774" s="2">
        <v>0</v>
      </c>
      <c r="P774" s="3">
        <v>4050.6550000000002</v>
      </c>
      <c r="Q774" s="1">
        <v>46033</v>
      </c>
      <c r="R774" s="1">
        <v>45992</v>
      </c>
      <c r="S774" s="1">
        <v>46022</v>
      </c>
      <c r="V774" s="8">
        <v>1</v>
      </c>
      <c r="W774" t="s">
        <v>24</v>
      </c>
      <c r="X774" t="s">
        <v>765</v>
      </c>
      <c r="Y774" t="s">
        <v>10</v>
      </c>
      <c r="Z774" t="s">
        <v>11</v>
      </c>
      <c r="AA774">
        <v>62371</v>
      </c>
      <c r="AB774">
        <v>18816558</v>
      </c>
      <c r="AC774">
        <v>1</v>
      </c>
      <c r="AD774" s="8"/>
    </row>
    <row r="775" spans="1:30" x14ac:dyDescent="0.3">
      <c r="A775" t="s">
        <v>1627</v>
      </c>
      <c r="B775">
        <v>1354740</v>
      </c>
      <c r="D775" t="s">
        <v>7</v>
      </c>
      <c r="E775">
        <v>945366</v>
      </c>
      <c r="F775">
        <v>9015884123</v>
      </c>
      <c r="G775">
        <v>101</v>
      </c>
      <c r="H775" t="s">
        <v>1388</v>
      </c>
      <c r="I775">
        <v>0</v>
      </c>
      <c r="J775" t="s">
        <v>1389</v>
      </c>
      <c r="K775" t="s">
        <v>8</v>
      </c>
      <c r="L775" t="s">
        <v>67</v>
      </c>
      <c r="M775" t="s">
        <v>9</v>
      </c>
      <c r="N775" t="s">
        <v>14</v>
      </c>
      <c r="O775" s="2">
        <v>380302.17</v>
      </c>
      <c r="P775" s="3">
        <v>3521.4549999999999</v>
      </c>
      <c r="Q775" s="1">
        <v>46033</v>
      </c>
      <c r="R775" s="1">
        <v>45992</v>
      </c>
      <c r="S775" s="1">
        <v>46022</v>
      </c>
      <c r="V775" s="8">
        <v>1</v>
      </c>
      <c r="W775" t="s">
        <v>24</v>
      </c>
      <c r="X775" t="s">
        <v>1390</v>
      </c>
      <c r="Y775" t="s">
        <v>10</v>
      </c>
      <c r="Z775" t="s">
        <v>11</v>
      </c>
      <c r="AA775">
        <v>62371</v>
      </c>
      <c r="AB775">
        <v>19537007</v>
      </c>
      <c r="AC775">
        <v>1</v>
      </c>
      <c r="AD775" s="8"/>
    </row>
    <row r="776" spans="1:30" x14ac:dyDescent="0.3">
      <c r="A776" t="s">
        <v>1627</v>
      </c>
      <c r="B776">
        <v>1403708</v>
      </c>
      <c r="D776" t="s">
        <v>7</v>
      </c>
      <c r="E776">
        <v>946246</v>
      </c>
      <c r="F776">
        <v>9015884123</v>
      </c>
      <c r="G776">
        <v>300</v>
      </c>
      <c r="H776" t="s">
        <v>154</v>
      </c>
      <c r="I776">
        <v>0</v>
      </c>
      <c r="J776" t="s">
        <v>155</v>
      </c>
      <c r="K776" t="s">
        <v>8</v>
      </c>
      <c r="L776" t="s">
        <v>67</v>
      </c>
      <c r="M776" t="s">
        <v>9</v>
      </c>
      <c r="N776" t="s">
        <v>14</v>
      </c>
      <c r="O776" s="2">
        <v>350374.84</v>
      </c>
      <c r="P776" s="3">
        <v>2459.9540000000002</v>
      </c>
      <c r="Q776" s="1">
        <v>46033</v>
      </c>
      <c r="R776" s="1">
        <v>45992</v>
      </c>
      <c r="S776" s="1">
        <v>46022</v>
      </c>
      <c r="V776" s="8">
        <v>1</v>
      </c>
      <c r="W776" t="s">
        <v>24</v>
      </c>
      <c r="X776" t="s">
        <v>156</v>
      </c>
      <c r="Y776" t="s">
        <v>31</v>
      </c>
      <c r="Z776" t="s">
        <v>11</v>
      </c>
      <c r="AA776">
        <v>62371</v>
      </c>
      <c r="AB776">
        <v>18971739</v>
      </c>
      <c r="AC776">
        <v>0</v>
      </c>
      <c r="AD776" s="8"/>
    </row>
    <row r="777" spans="1:30" x14ac:dyDescent="0.3">
      <c r="A777" t="s">
        <v>1627</v>
      </c>
      <c r="B777">
        <v>1398093</v>
      </c>
      <c r="D777" t="s">
        <v>7</v>
      </c>
      <c r="E777">
        <v>946073</v>
      </c>
      <c r="F777">
        <v>9015884123</v>
      </c>
      <c r="G777">
        <v>245</v>
      </c>
      <c r="H777" t="s">
        <v>1153</v>
      </c>
      <c r="I777">
        <v>0</v>
      </c>
      <c r="J777" t="s">
        <v>1154</v>
      </c>
      <c r="K777" t="s">
        <v>8</v>
      </c>
      <c r="L777" t="s">
        <v>67</v>
      </c>
      <c r="M777" t="s">
        <v>9</v>
      </c>
      <c r="N777" t="s">
        <v>14</v>
      </c>
      <c r="O777" s="2">
        <v>313337.25</v>
      </c>
      <c r="P777" s="3">
        <v>2199.9160000000002</v>
      </c>
      <c r="Q777" s="1">
        <v>46033</v>
      </c>
      <c r="R777" s="1">
        <v>45992</v>
      </c>
      <c r="S777" s="1">
        <v>46022</v>
      </c>
      <c r="V777" s="8">
        <v>1</v>
      </c>
      <c r="W777" t="s">
        <v>24</v>
      </c>
      <c r="X777" t="s">
        <v>1155</v>
      </c>
      <c r="Y777" t="s">
        <v>34</v>
      </c>
      <c r="Z777" t="s">
        <v>11</v>
      </c>
      <c r="AA777">
        <v>62371</v>
      </c>
      <c r="AB777">
        <v>20025391</v>
      </c>
      <c r="AC777">
        <v>0</v>
      </c>
      <c r="AD777" s="8"/>
    </row>
    <row r="778" spans="1:30" x14ac:dyDescent="0.3">
      <c r="A778" t="s">
        <v>1627</v>
      </c>
      <c r="B778">
        <v>1398093</v>
      </c>
      <c r="D778" t="s">
        <v>7</v>
      </c>
      <c r="E778">
        <v>946073</v>
      </c>
      <c r="F778">
        <v>9015884123</v>
      </c>
      <c r="G778">
        <v>245</v>
      </c>
      <c r="H778" t="s">
        <v>1153</v>
      </c>
      <c r="I778">
        <v>0</v>
      </c>
      <c r="J778" t="s">
        <v>1154</v>
      </c>
      <c r="K778" t="s">
        <v>8</v>
      </c>
      <c r="L778" t="s">
        <v>15</v>
      </c>
      <c r="M778" t="s">
        <v>9</v>
      </c>
      <c r="N778" t="s">
        <v>14</v>
      </c>
      <c r="O778" s="2">
        <v>0</v>
      </c>
      <c r="P778" s="3">
        <v>2199.9160000000002</v>
      </c>
      <c r="Q778" s="1">
        <v>46033</v>
      </c>
      <c r="R778" s="1">
        <v>45992</v>
      </c>
      <c r="S778" s="1">
        <v>46022</v>
      </c>
      <c r="V778" s="8">
        <v>1</v>
      </c>
      <c r="W778" t="s">
        <v>24</v>
      </c>
      <c r="X778" t="s">
        <v>1155</v>
      </c>
      <c r="Y778" t="s">
        <v>34</v>
      </c>
      <c r="Z778" t="s">
        <v>11</v>
      </c>
      <c r="AA778">
        <v>62371</v>
      </c>
      <c r="AB778">
        <v>20025391</v>
      </c>
      <c r="AC778">
        <v>0</v>
      </c>
      <c r="AD778" s="8"/>
    </row>
    <row r="779" spans="1:30" x14ac:dyDescent="0.3">
      <c r="A779" t="s">
        <v>1627</v>
      </c>
      <c r="B779">
        <v>1380619</v>
      </c>
      <c r="D779" t="s">
        <v>7</v>
      </c>
      <c r="E779">
        <v>945999</v>
      </c>
      <c r="F779">
        <v>9015884123</v>
      </c>
      <c r="G779">
        <v>217</v>
      </c>
      <c r="H779" t="s">
        <v>733</v>
      </c>
      <c r="I779">
        <v>0</v>
      </c>
      <c r="J779" t="s">
        <v>734</v>
      </c>
      <c r="K779" t="s">
        <v>8</v>
      </c>
      <c r="L779" t="s">
        <v>18</v>
      </c>
      <c r="M779" t="s">
        <v>9</v>
      </c>
      <c r="N779" t="s">
        <v>14</v>
      </c>
      <c r="O779" s="2">
        <v>-1.55</v>
      </c>
      <c r="P779" s="3">
        <v>0</v>
      </c>
      <c r="Q779" s="1">
        <v>46033</v>
      </c>
      <c r="R779" s="1">
        <v>45992</v>
      </c>
      <c r="S779" s="1">
        <v>46022</v>
      </c>
      <c r="V779" s="8">
        <v>1</v>
      </c>
      <c r="W779" t="s">
        <v>24</v>
      </c>
      <c r="X779" t="s">
        <v>735</v>
      </c>
      <c r="Y779" t="s">
        <v>31</v>
      </c>
      <c r="Z779" t="s">
        <v>11</v>
      </c>
      <c r="AA779">
        <v>62371</v>
      </c>
      <c r="AB779">
        <v>21087841</v>
      </c>
      <c r="AC779">
        <v>0</v>
      </c>
      <c r="AD779" s="8"/>
    </row>
    <row r="780" spans="1:30" x14ac:dyDescent="0.3">
      <c r="A780" t="s">
        <v>1627</v>
      </c>
      <c r="B780">
        <v>1363525</v>
      </c>
      <c r="D780" t="s">
        <v>7</v>
      </c>
      <c r="E780">
        <v>945913</v>
      </c>
      <c r="F780">
        <v>9015884123</v>
      </c>
      <c r="G780">
        <v>163</v>
      </c>
      <c r="H780" t="s">
        <v>1117</v>
      </c>
      <c r="I780">
        <v>0</v>
      </c>
      <c r="J780" t="s">
        <v>1118</v>
      </c>
      <c r="K780" t="s">
        <v>8</v>
      </c>
      <c r="L780" t="s">
        <v>15</v>
      </c>
      <c r="M780" t="s">
        <v>9</v>
      </c>
      <c r="N780" t="s">
        <v>14</v>
      </c>
      <c r="O780" s="2">
        <v>0</v>
      </c>
      <c r="P780" s="3">
        <v>3835.3249999999998</v>
      </c>
      <c r="Q780" s="1">
        <v>46033</v>
      </c>
      <c r="R780" s="1">
        <v>45992</v>
      </c>
      <c r="S780" s="1">
        <v>46022</v>
      </c>
      <c r="V780" s="8">
        <v>1</v>
      </c>
      <c r="W780" t="s">
        <v>24</v>
      </c>
      <c r="X780" t="s">
        <v>1119</v>
      </c>
      <c r="Y780" t="s">
        <v>31</v>
      </c>
      <c r="Z780" t="s">
        <v>11</v>
      </c>
      <c r="AA780">
        <v>62371</v>
      </c>
      <c r="AB780">
        <v>19282555</v>
      </c>
      <c r="AC780">
        <v>0</v>
      </c>
      <c r="AD780" s="8"/>
    </row>
    <row r="781" spans="1:30" x14ac:dyDescent="0.3">
      <c r="A781" t="s">
        <v>1627</v>
      </c>
      <c r="B781">
        <v>1359844</v>
      </c>
      <c r="D781" t="s">
        <v>7</v>
      </c>
      <c r="E781">
        <v>945489</v>
      </c>
      <c r="F781">
        <v>9015884123</v>
      </c>
      <c r="G781">
        <v>142</v>
      </c>
      <c r="H781" t="s">
        <v>139</v>
      </c>
      <c r="I781">
        <v>0</v>
      </c>
      <c r="J781" t="s">
        <v>140</v>
      </c>
      <c r="K781" t="s">
        <v>8</v>
      </c>
      <c r="L781" t="s">
        <v>67</v>
      </c>
      <c r="M781" t="s">
        <v>9</v>
      </c>
      <c r="N781" t="s">
        <v>14</v>
      </c>
      <c r="O781" s="2">
        <v>62304.37</v>
      </c>
      <c r="P781" s="3">
        <v>576.91499999999996</v>
      </c>
      <c r="Q781" s="1">
        <v>46033</v>
      </c>
      <c r="R781" s="1">
        <v>45992</v>
      </c>
      <c r="S781" s="1">
        <v>46022</v>
      </c>
      <c r="V781" s="8">
        <v>1</v>
      </c>
      <c r="W781" t="s">
        <v>24</v>
      </c>
      <c r="X781" t="s">
        <v>141</v>
      </c>
      <c r="Y781" t="s">
        <v>31</v>
      </c>
      <c r="Z781" t="s">
        <v>11</v>
      </c>
      <c r="AA781">
        <v>62371</v>
      </c>
      <c r="AB781">
        <v>21392095</v>
      </c>
      <c r="AC781">
        <v>1</v>
      </c>
      <c r="AD781" s="8"/>
    </row>
    <row r="782" spans="1:30" x14ac:dyDescent="0.3">
      <c r="A782" t="s">
        <v>1627</v>
      </c>
      <c r="B782">
        <v>1363362</v>
      </c>
      <c r="D782" t="s">
        <v>7</v>
      </c>
      <c r="E782">
        <v>945911</v>
      </c>
      <c r="F782">
        <v>9015884123</v>
      </c>
      <c r="G782">
        <v>160</v>
      </c>
      <c r="H782" t="s">
        <v>157</v>
      </c>
      <c r="I782">
        <v>0</v>
      </c>
      <c r="J782" t="s">
        <v>158</v>
      </c>
      <c r="K782" t="s">
        <v>8</v>
      </c>
      <c r="L782" t="s">
        <v>67</v>
      </c>
      <c r="M782" t="s">
        <v>9</v>
      </c>
      <c r="N782" t="s">
        <v>14</v>
      </c>
      <c r="O782" s="2">
        <v>72089.429999999993</v>
      </c>
      <c r="P782" s="3">
        <v>667.52099999999996</v>
      </c>
      <c r="Q782" s="1">
        <v>46033</v>
      </c>
      <c r="R782" s="1">
        <v>45992</v>
      </c>
      <c r="S782" s="1">
        <v>46022</v>
      </c>
      <c r="V782" s="8">
        <v>1</v>
      </c>
      <c r="W782" t="s">
        <v>24</v>
      </c>
      <c r="X782" t="s">
        <v>159</v>
      </c>
      <c r="Y782" t="s">
        <v>34</v>
      </c>
      <c r="Z782" t="s">
        <v>11</v>
      </c>
      <c r="AA782">
        <v>62371</v>
      </c>
      <c r="AB782">
        <v>21249744</v>
      </c>
      <c r="AC782">
        <v>1</v>
      </c>
      <c r="AD782" s="8"/>
    </row>
    <row r="783" spans="1:30" x14ac:dyDescent="0.3">
      <c r="A783" t="s">
        <v>1627</v>
      </c>
      <c r="B783">
        <v>1363134</v>
      </c>
      <c r="D783" t="s">
        <v>7</v>
      </c>
      <c r="E783">
        <v>945907</v>
      </c>
      <c r="F783">
        <v>9015884123</v>
      </c>
      <c r="G783">
        <v>156</v>
      </c>
      <c r="H783" t="s">
        <v>173</v>
      </c>
      <c r="I783">
        <v>0</v>
      </c>
      <c r="J783" t="s">
        <v>174</v>
      </c>
      <c r="K783" t="s">
        <v>8</v>
      </c>
      <c r="L783" t="s">
        <v>18</v>
      </c>
      <c r="M783" t="s">
        <v>9</v>
      </c>
      <c r="N783" t="s">
        <v>14</v>
      </c>
      <c r="O783" s="2">
        <v>4.9000000000000004</v>
      </c>
      <c r="P783" s="3">
        <v>0</v>
      </c>
      <c r="Q783" s="1">
        <v>46033</v>
      </c>
      <c r="R783" s="1">
        <v>45992</v>
      </c>
      <c r="S783" s="1">
        <v>46022</v>
      </c>
      <c r="V783" s="8">
        <v>1</v>
      </c>
      <c r="W783" t="s">
        <v>24</v>
      </c>
      <c r="X783" t="s">
        <v>175</v>
      </c>
      <c r="Y783" t="s">
        <v>34</v>
      </c>
      <c r="Z783" t="s">
        <v>11</v>
      </c>
      <c r="AA783">
        <v>62371</v>
      </c>
      <c r="AB783">
        <v>21249790</v>
      </c>
      <c r="AC783">
        <v>1</v>
      </c>
      <c r="AD783" s="8"/>
    </row>
    <row r="784" spans="1:30" x14ac:dyDescent="0.3">
      <c r="A784" t="s">
        <v>1627</v>
      </c>
      <c r="B784">
        <v>1345486</v>
      </c>
      <c r="D784" t="s">
        <v>7</v>
      </c>
      <c r="E784">
        <v>945282</v>
      </c>
      <c r="F784">
        <v>9015884123</v>
      </c>
      <c r="G784">
        <v>76</v>
      </c>
      <c r="H784" t="s">
        <v>760</v>
      </c>
      <c r="I784">
        <v>0</v>
      </c>
      <c r="J784" t="s">
        <v>761</v>
      </c>
      <c r="K784" t="s">
        <v>8</v>
      </c>
      <c r="L784" t="s">
        <v>19</v>
      </c>
      <c r="M784" t="s">
        <v>9</v>
      </c>
      <c r="N784" t="s">
        <v>14</v>
      </c>
      <c r="O784" s="2">
        <v>0</v>
      </c>
      <c r="P784" s="3">
        <v>2380.2049999999999</v>
      </c>
      <c r="Q784" s="1">
        <v>46033</v>
      </c>
      <c r="R784" s="1">
        <v>45992</v>
      </c>
      <c r="S784" s="1">
        <v>46022</v>
      </c>
      <c r="V784" s="8">
        <v>1</v>
      </c>
      <c r="W784" t="s">
        <v>24</v>
      </c>
      <c r="X784" t="s">
        <v>762</v>
      </c>
      <c r="Y784" t="s">
        <v>10</v>
      </c>
      <c r="Z784" t="s">
        <v>11</v>
      </c>
      <c r="AA784">
        <v>62371</v>
      </c>
      <c r="AB784">
        <v>18508479</v>
      </c>
      <c r="AC784">
        <v>1</v>
      </c>
      <c r="AD784" s="8" t="s">
        <v>1650</v>
      </c>
    </row>
    <row r="785" spans="1:30" x14ac:dyDescent="0.3">
      <c r="A785" t="s">
        <v>1627</v>
      </c>
      <c r="B785">
        <v>1342238</v>
      </c>
      <c r="D785" t="s">
        <v>7</v>
      </c>
      <c r="E785">
        <v>945263</v>
      </c>
      <c r="F785">
        <v>9015884123</v>
      </c>
      <c r="G785">
        <v>70</v>
      </c>
      <c r="H785" t="s">
        <v>748</v>
      </c>
      <c r="I785">
        <v>0</v>
      </c>
      <c r="J785" t="s">
        <v>749</v>
      </c>
      <c r="K785" t="s">
        <v>8</v>
      </c>
      <c r="L785" t="s">
        <v>19</v>
      </c>
      <c r="M785" t="s">
        <v>9</v>
      </c>
      <c r="N785" t="s">
        <v>14</v>
      </c>
      <c r="O785" s="2">
        <v>379.77</v>
      </c>
      <c r="P785" s="3">
        <v>1.9219999999999999</v>
      </c>
      <c r="Q785" s="1">
        <v>46033</v>
      </c>
      <c r="R785" s="1">
        <v>45992</v>
      </c>
      <c r="S785" s="1">
        <v>46022</v>
      </c>
      <c r="V785" s="8">
        <v>1</v>
      </c>
      <c r="W785" t="s">
        <v>24</v>
      </c>
      <c r="X785" t="s">
        <v>750</v>
      </c>
      <c r="Y785" t="s">
        <v>10</v>
      </c>
      <c r="Z785" t="s">
        <v>11</v>
      </c>
      <c r="AA785">
        <v>62371</v>
      </c>
      <c r="AB785">
        <v>17037991</v>
      </c>
      <c r="AC785">
        <v>0</v>
      </c>
      <c r="AD785" s="8"/>
    </row>
    <row r="786" spans="1:30" x14ac:dyDescent="0.3">
      <c r="A786" t="s">
        <v>1627</v>
      </c>
      <c r="B786">
        <v>1354731</v>
      </c>
      <c r="D786" t="s">
        <v>7</v>
      </c>
      <c r="E786">
        <v>945321</v>
      </c>
      <c r="F786">
        <v>9015884123</v>
      </c>
      <c r="G786">
        <v>88</v>
      </c>
      <c r="H786" t="s">
        <v>757</v>
      </c>
      <c r="I786">
        <v>0</v>
      </c>
      <c r="J786" t="s">
        <v>758</v>
      </c>
      <c r="K786" t="s">
        <v>8</v>
      </c>
      <c r="L786" t="s">
        <v>67</v>
      </c>
      <c r="M786" t="s">
        <v>9</v>
      </c>
      <c r="N786" t="s">
        <v>14</v>
      </c>
      <c r="O786" s="2">
        <v>760661.26</v>
      </c>
      <c r="P786" s="3">
        <v>7043.4369999999999</v>
      </c>
      <c r="Q786" s="1">
        <v>46033</v>
      </c>
      <c r="R786" s="1">
        <v>45992</v>
      </c>
      <c r="S786" s="1">
        <v>46022</v>
      </c>
      <c r="V786" s="8">
        <v>1</v>
      </c>
      <c r="W786" t="s">
        <v>24</v>
      </c>
      <c r="X786" t="s">
        <v>759</v>
      </c>
      <c r="Y786" t="s">
        <v>10</v>
      </c>
      <c r="Z786" t="s">
        <v>11</v>
      </c>
      <c r="AA786">
        <v>62371</v>
      </c>
      <c r="AB786">
        <v>17679524</v>
      </c>
      <c r="AC786">
        <v>1</v>
      </c>
      <c r="AD786" s="8"/>
    </row>
    <row r="787" spans="1:30" x14ac:dyDescent="0.3">
      <c r="A787" t="s">
        <v>1627</v>
      </c>
      <c r="B787">
        <v>1354734</v>
      </c>
      <c r="D787" t="s">
        <v>7</v>
      </c>
      <c r="E787">
        <v>945343</v>
      </c>
      <c r="F787">
        <v>9015884123</v>
      </c>
      <c r="G787">
        <v>94</v>
      </c>
      <c r="H787" t="s">
        <v>1162</v>
      </c>
      <c r="I787">
        <v>0</v>
      </c>
      <c r="J787" t="s">
        <v>1163</v>
      </c>
      <c r="K787" t="s">
        <v>8</v>
      </c>
      <c r="L787" t="s">
        <v>15</v>
      </c>
      <c r="M787" t="s">
        <v>9</v>
      </c>
      <c r="N787" t="s">
        <v>14</v>
      </c>
      <c r="O787" s="2">
        <v>0</v>
      </c>
      <c r="P787" s="3">
        <v>5334.7160000000003</v>
      </c>
      <c r="Q787" s="1">
        <v>46033</v>
      </c>
      <c r="R787" s="1">
        <v>45992</v>
      </c>
      <c r="S787" s="1">
        <v>46022</v>
      </c>
      <c r="V787" s="8">
        <v>1</v>
      </c>
      <c r="W787" t="s">
        <v>24</v>
      </c>
      <c r="X787" t="s">
        <v>1164</v>
      </c>
      <c r="Y787" t="s">
        <v>10</v>
      </c>
      <c r="Z787" t="s">
        <v>11</v>
      </c>
      <c r="AA787">
        <v>62371</v>
      </c>
      <c r="AB787">
        <v>21137523</v>
      </c>
      <c r="AC787">
        <v>0</v>
      </c>
      <c r="AD787" s="8"/>
    </row>
    <row r="788" spans="1:30" x14ac:dyDescent="0.3">
      <c r="A788" t="s">
        <v>1627</v>
      </c>
      <c r="B788">
        <v>1354733</v>
      </c>
      <c r="D788" t="s">
        <v>7</v>
      </c>
      <c r="E788">
        <v>945334</v>
      </c>
      <c r="F788">
        <v>9015884123</v>
      </c>
      <c r="G788">
        <v>91</v>
      </c>
      <c r="H788" t="s">
        <v>763</v>
      </c>
      <c r="I788">
        <v>0</v>
      </c>
      <c r="J788" t="s">
        <v>764</v>
      </c>
      <c r="K788" t="s">
        <v>8</v>
      </c>
      <c r="L788" t="s">
        <v>67</v>
      </c>
      <c r="M788" t="s">
        <v>9</v>
      </c>
      <c r="N788" t="s">
        <v>14</v>
      </c>
      <c r="O788" s="2">
        <v>437453.52</v>
      </c>
      <c r="P788" s="3">
        <v>4050.6550000000002</v>
      </c>
      <c r="Q788" s="1">
        <v>46033</v>
      </c>
      <c r="R788" s="1">
        <v>45992</v>
      </c>
      <c r="S788" s="1">
        <v>46022</v>
      </c>
      <c r="V788" s="8">
        <v>1</v>
      </c>
      <c r="W788" t="s">
        <v>24</v>
      </c>
      <c r="X788" t="s">
        <v>765</v>
      </c>
      <c r="Y788" t="s">
        <v>10</v>
      </c>
      <c r="Z788" t="s">
        <v>11</v>
      </c>
      <c r="AA788">
        <v>62371</v>
      </c>
      <c r="AB788">
        <v>18816558</v>
      </c>
      <c r="AC788">
        <v>1</v>
      </c>
      <c r="AD788" s="8"/>
    </row>
    <row r="789" spans="1:30" x14ac:dyDescent="0.3">
      <c r="A789" t="s">
        <v>1627</v>
      </c>
      <c r="B789">
        <v>1359030</v>
      </c>
      <c r="D789" t="s">
        <v>7</v>
      </c>
      <c r="E789">
        <v>945898</v>
      </c>
      <c r="F789">
        <v>9015884123</v>
      </c>
      <c r="G789">
        <v>147</v>
      </c>
      <c r="H789" t="s">
        <v>202</v>
      </c>
      <c r="I789">
        <v>0</v>
      </c>
      <c r="J789" t="s">
        <v>203</v>
      </c>
      <c r="K789" t="s">
        <v>8</v>
      </c>
      <c r="L789" t="s">
        <v>18</v>
      </c>
      <c r="M789" t="s">
        <v>9</v>
      </c>
      <c r="N789" t="s">
        <v>14</v>
      </c>
      <c r="O789" s="2">
        <v>2.5099999999999998</v>
      </c>
      <c r="P789" s="3">
        <v>0</v>
      </c>
      <c r="Q789" s="1">
        <v>46033</v>
      </c>
      <c r="R789" s="1">
        <v>45992</v>
      </c>
      <c r="S789" s="1">
        <v>46022</v>
      </c>
      <c r="V789" s="8">
        <v>1</v>
      </c>
      <c r="W789" t="s">
        <v>24</v>
      </c>
      <c r="X789" t="s">
        <v>204</v>
      </c>
      <c r="Y789" t="s">
        <v>17</v>
      </c>
      <c r="Z789" t="s">
        <v>11</v>
      </c>
      <c r="AA789">
        <v>62371</v>
      </c>
      <c r="AB789">
        <v>18549020</v>
      </c>
      <c r="AC789">
        <v>1</v>
      </c>
      <c r="AD789" s="8"/>
    </row>
    <row r="790" spans="1:30" x14ac:dyDescent="0.3">
      <c r="A790" t="s">
        <v>1627</v>
      </c>
      <c r="B790">
        <v>1363377</v>
      </c>
      <c r="D790" t="s">
        <v>7</v>
      </c>
      <c r="E790">
        <v>945910</v>
      </c>
      <c r="F790">
        <v>9015884123</v>
      </c>
      <c r="G790">
        <v>159</v>
      </c>
      <c r="H790" t="s">
        <v>205</v>
      </c>
      <c r="I790">
        <v>0</v>
      </c>
      <c r="J790" t="s">
        <v>206</v>
      </c>
      <c r="K790" t="s">
        <v>8</v>
      </c>
      <c r="L790" t="s">
        <v>19</v>
      </c>
      <c r="M790" t="s">
        <v>9</v>
      </c>
      <c r="N790" t="s">
        <v>14</v>
      </c>
      <c r="O790" s="2">
        <v>8490.15</v>
      </c>
      <c r="P790" s="3">
        <v>52.036999999999999</v>
      </c>
      <c r="Q790" s="1">
        <v>46033</v>
      </c>
      <c r="R790" s="1">
        <v>45992</v>
      </c>
      <c r="S790" s="1">
        <v>46022</v>
      </c>
      <c r="V790" s="8">
        <v>1</v>
      </c>
      <c r="W790" t="s">
        <v>24</v>
      </c>
      <c r="X790" t="s">
        <v>207</v>
      </c>
      <c r="Y790" t="s">
        <v>17</v>
      </c>
      <c r="Z790" t="s">
        <v>11</v>
      </c>
      <c r="AA790">
        <v>62371</v>
      </c>
      <c r="AB790">
        <v>19861998</v>
      </c>
      <c r="AC790">
        <v>1</v>
      </c>
      <c r="AD790" s="8"/>
    </row>
    <row r="791" spans="1:30" x14ac:dyDescent="0.3">
      <c r="A791" t="s">
        <v>1627</v>
      </c>
      <c r="B791">
        <v>1377966</v>
      </c>
      <c r="D791" t="s">
        <v>7</v>
      </c>
      <c r="E791">
        <v>945942</v>
      </c>
      <c r="F791">
        <v>9015884123</v>
      </c>
      <c r="G791">
        <v>189</v>
      </c>
      <c r="H791" t="s">
        <v>772</v>
      </c>
      <c r="I791">
        <v>0</v>
      </c>
      <c r="J791" t="s">
        <v>773</v>
      </c>
      <c r="K791" t="s">
        <v>8</v>
      </c>
      <c r="L791" t="s">
        <v>67</v>
      </c>
      <c r="M791" t="s">
        <v>9</v>
      </c>
      <c r="N791" t="s">
        <v>14</v>
      </c>
      <c r="O791" s="2">
        <v>336117.44</v>
      </c>
      <c r="P791" s="3">
        <v>3112.3209999999999</v>
      </c>
      <c r="Q791" s="1">
        <v>46033</v>
      </c>
      <c r="R791" s="1">
        <v>45992</v>
      </c>
      <c r="S791" s="1">
        <v>46022</v>
      </c>
      <c r="V791" s="8">
        <v>1</v>
      </c>
      <c r="W791" t="s">
        <v>24</v>
      </c>
      <c r="X791" t="s">
        <v>774</v>
      </c>
      <c r="Y791" t="s">
        <v>17</v>
      </c>
      <c r="Z791" t="s">
        <v>11</v>
      </c>
      <c r="AA791">
        <v>62371</v>
      </c>
      <c r="AB791">
        <v>19409261</v>
      </c>
      <c r="AC791">
        <v>1</v>
      </c>
      <c r="AD791" s="8"/>
    </row>
    <row r="792" spans="1:30" x14ac:dyDescent="0.3">
      <c r="A792" t="s">
        <v>1627</v>
      </c>
      <c r="B792">
        <v>1356235</v>
      </c>
      <c r="D792" t="s">
        <v>7</v>
      </c>
      <c r="E792">
        <v>945433</v>
      </c>
      <c r="F792">
        <v>9015884123</v>
      </c>
      <c r="G792">
        <v>122</v>
      </c>
      <c r="H792" t="s">
        <v>1391</v>
      </c>
      <c r="I792">
        <v>0</v>
      </c>
      <c r="J792" t="s">
        <v>1392</v>
      </c>
      <c r="K792" t="s">
        <v>8</v>
      </c>
      <c r="L792" t="s">
        <v>67</v>
      </c>
      <c r="M792" t="s">
        <v>9</v>
      </c>
      <c r="N792" t="s">
        <v>14</v>
      </c>
      <c r="O792" s="2">
        <v>493661.17</v>
      </c>
      <c r="P792" s="3">
        <v>3465.9560000000001</v>
      </c>
      <c r="Q792" s="1">
        <v>46033</v>
      </c>
      <c r="R792" s="1">
        <v>45992</v>
      </c>
      <c r="S792" s="1">
        <v>46022</v>
      </c>
      <c r="V792" s="8">
        <v>1</v>
      </c>
      <c r="W792" t="s">
        <v>24</v>
      </c>
      <c r="X792" t="s">
        <v>1393</v>
      </c>
      <c r="Y792" t="s">
        <v>17</v>
      </c>
      <c r="Z792" t="s">
        <v>11</v>
      </c>
      <c r="AA792">
        <v>62371</v>
      </c>
      <c r="AB792">
        <v>17812190</v>
      </c>
      <c r="AC792">
        <v>0</v>
      </c>
      <c r="AD792" s="8"/>
    </row>
    <row r="793" spans="1:30" x14ac:dyDescent="0.3">
      <c r="A793" t="s">
        <v>1627</v>
      </c>
      <c r="B793">
        <v>1384733</v>
      </c>
      <c r="D793" t="s">
        <v>7</v>
      </c>
      <c r="E793">
        <v>946045</v>
      </c>
      <c r="F793">
        <v>9015884123</v>
      </c>
      <c r="G793">
        <v>235</v>
      </c>
      <c r="H793" t="s">
        <v>778</v>
      </c>
      <c r="I793">
        <v>0</v>
      </c>
      <c r="J793" t="s">
        <v>779</v>
      </c>
      <c r="K793" t="s">
        <v>8</v>
      </c>
      <c r="L793" t="s">
        <v>19</v>
      </c>
      <c r="M793" t="s">
        <v>9</v>
      </c>
      <c r="N793" t="s">
        <v>14</v>
      </c>
      <c r="O793" s="2">
        <v>127144.56</v>
      </c>
      <c r="P793" s="3">
        <v>643.471</v>
      </c>
      <c r="Q793" s="1">
        <v>46033</v>
      </c>
      <c r="R793" s="1">
        <v>45992</v>
      </c>
      <c r="S793" s="1">
        <v>46022</v>
      </c>
      <c r="V793" s="8">
        <v>1</v>
      </c>
      <c r="W793" t="s">
        <v>24</v>
      </c>
      <c r="X793" t="s">
        <v>780</v>
      </c>
      <c r="Y793" t="s">
        <v>17</v>
      </c>
      <c r="Z793" t="s">
        <v>11</v>
      </c>
      <c r="AA793">
        <v>62371</v>
      </c>
      <c r="AB793">
        <v>19749570</v>
      </c>
      <c r="AC793">
        <v>0</v>
      </c>
      <c r="AD793" s="8"/>
    </row>
    <row r="794" spans="1:30" x14ac:dyDescent="0.3">
      <c r="A794" t="s">
        <v>1627</v>
      </c>
      <c r="B794">
        <v>1363377</v>
      </c>
      <c r="D794" t="s">
        <v>7</v>
      </c>
      <c r="E794">
        <v>945910</v>
      </c>
      <c r="F794">
        <v>9015884123</v>
      </c>
      <c r="G794">
        <v>159</v>
      </c>
      <c r="H794" t="s">
        <v>205</v>
      </c>
      <c r="I794">
        <v>0</v>
      </c>
      <c r="J794" t="s">
        <v>206</v>
      </c>
      <c r="K794" t="s">
        <v>8</v>
      </c>
      <c r="L794" t="s">
        <v>67</v>
      </c>
      <c r="M794" t="s">
        <v>9</v>
      </c>
      <c r="N794" t="s">
        <v>14</v>
      </c>
      <c r="O794" s="2">
        <v>228019.31</v>
      </c>
      <c r="P794" s="3">
        <v>2111.373</v>
      </c>
      <c r="Q794" s="1">
        <v>46033</v>
      </c>
      <c r="R794" s="1">
        <v>45992</v>
      </c>
      <c r="S794" s="1">
        <v>46022</v>
      </c>
      <c r="V794" s="8">
        <v>1</v>
      </c>
      <c r="W794" t="s">
        <v>24</v>
      </c>
      <c r="X794" t="s">
        <v>207</v>
      </c>
      <c r="Y794" t="s">
        <v>17</v>
      </c>
      <c r="Z794" t="s">
        <v>11</v>
      </c>
      <c r="AA794">
        <v>62371</v>
      </c>
      <c r="AB794">
        <v>19861998</v>
      </c>
      <c r="AC794">
        <v>1</v>
      </c>
      <c r="AD794" s="8"/>
    </row>
    <row r="795" spans="1:30" x14ac:dyDescent="0.3">
      <c r="A795" t="s">
        <v>1627</v>
      </c>
      <c r="B795">
        <v>1356366</v>
      </c>
      <c r="D795" t="s">
        <v>7</v>
      </c>
      <c r="E795">
        <v>945470</v>
      </c>
      <c r="F795">
        <v>9015884123</v>
      </c>
      <c r="G795">
        <v>135</v>
      </c>
      <c r="H795" t="s">
        <v>787</v>
      </c>
      <c r="I795">
        <v>0</v>
      </c>
      <c r="J795" t="s">
        <v>788</v>
      </c>
      <c r="K795" t="s">
        <v>8</v>
      </c>
      <c r="L795" t="s">
        <v>18</v>
      </c>
      <c r="M795" t="s">
        <v>9</v>
      </c>
      <c r="N795" t="s">
        <v>14</v>
      </c>
      <c r="O795" s="2">
        <v>2.96</v>
      </c>
      <c r="P795" s="3">
        <v>0</v>
      </c>
      <c r="Q795" s="1">
        <v>46033</v>
      </c>
      <c r="R795" s="1">
        <v>45992</v>
      </c>
      <c r="S795" s="1">
        <v>46022</v>
      </c>
      <c r="V795" s="8">
        <v>1</v>
      </c>
      <c r="W795" t="s">
        <v>24</v>
      </c>
      <c r="X795" t="s">
        <v>789</v>
      </c>
      <c r="Y795" t="s">
        <v>10</v>
      </c>
      <c r="Z795" t="s">
        <v>11</v>
      </c>
      <c r="AA795">
        <v>62371</v>
      </c>
      <c r="AB795">
        <v>17032603</v>
      </c>
      <c r="AC795">
        <v>1</v>
      </c>
      <c r="AD795" s="8"/>
    </row>
    <row r="796" spans="1:30" x14ac:dyDescent="0.3">
      <c r="A796" t="s">
        <v>1627</v>
      </c>
      <c r="B796">
        <v>1359833</v>
      </c>
      <c r="D796" t="s">
        <v>7</v>
      </c>
      <c r="E796">
        <v>945475</v>
      </c>
      <c r="F796">
        <v>9015884123</v>
      </c>
      <c r="G796">
        <v>137</v>
      </c>
      <c r="H796" t="s">
        <v>232</v>
      </c>
      <c r="I796">
        <v>0</v>
      </c>
      <c r="J796" t="s">
        <v>233</v>
      </c>
      <c r="K796" t="s">
        <v>8</v>
      </c>
      <c r="L796" t="s">
        <v>19</v>
      </c>
      <c r="M796" t="s">
        <v>9</v>
      </c>
      <c r="N796" t="s">
        <v>14</v>
      </c>
      <c r="O796" s="2">
        <v>2.94</v>
      </c>
      <c r="P796" s="3">
        <v>1.7999999999999999E-2</v>
      </c>
      <c r="Q796" s="1">
        <v>46033</v>
      </c>
      <c r="R796" s="1">
        <v>45992</v>
      </c>
      <c r="S796" s="1">
        <v>46022</v>
      </c>
      <c r="V796" s="8">
        <v>1</v>
      </c>
      <c r="W796" t="s">
        <v>24</v>
      </c>
      <c r="X796" t="s">
        <v>234</v>
      </c>
      <c r="Y796" t="s">
        <v>10</v>
      </c>
      <c r="Z796" t="s">
        <v>11</v>
      </c>
      <c r="AA796">
        <v>62371</v>
      </c>
      <c r="AB796">
        <v>21334311</v>
      </c>
      <c r="AC796">
        <v>1</v>
      </c>
      <c r="AD796" s="8"/>
    </row>
    <row r="797" spans="1:30" x14ac:dyDescent="0.3">
      <c r="A797" t="s">
        <v>1627</v>
      </c>
      <c r="B797">
        <v>1359839</v>
      </c>
      <c r="D797" t="s">
        <v>7</v>
      </c>
      <c r="E797">
        <v>945481</v>
      </c>
      <c r="F797">
        <v>9015884123</v>
      </c>
      <c r="G797">
        <v>139</v>
      </c>
      <c r="H797" t="s">
        <v>220</v>
      </c>
      <c r="I797">
        <v>0</v>
      </c>
      <c r="J797" t="s">
        <v>221</v>
      </c>
      <c r="K797" t="s">
        <v>8</v>
      </c>
      <c r="L797" t="s">
        <v>15</v>
      </c>
      <c r="M797" t="s">
        <v>9</v>
      </c>
      <c r="N797" t="s">
        <v>14</v>
      </c>
      <c r="O797" s="2">
        <v>0</v>
      </c>
      <c r="P797" s="3">
        <v>2214.098</v>
      </c>
      <c r="Q797" s="1">
        <v>46033</v>
      </c>
      <c r="R797" s="1">
        <v>45992</v>
      </c>
      <c r="S797" s="1">
        <v>46022</v>
      </c>
      <c r="V797" s="8">
        <v>1</v>
      </c>
      <c r="W797" t="s">
        <v>24</v>
      </c>
      <c r="X797" t="s">
        <v>222</v>
      </c>
      <c r="Y797" t="s">
        <v>10</v>
      </c>
      <c r="Z797" t="s">
        <v>11</v>
      </c>
      <c r="AA797">
        <v>62371</v>
      </c>
      <c r="AB797">
        <v>17173001</v>
      </c>
      <c r="AC797">
        <v>0</v>
      </c>
      <c r="AD797" s="8"/>
    </row>
    <row r="798" spans="1:30" x14ac:dyDescent="0.3">
      <c r="A798" t="s">
        <v>1627</v>
      </c>
      <c r="B798">
        <v>1408942</v>
      </c>
      <c r="D798" t="s">
        <v>7</v>
      </c>
      <c r="E798">
        <v>946345</v>
      </c>
      <c r="F798">
        <v>9015884123</v>
      </c>
      <c r="G798">
        <v>346</v>
      </c>
      <c r="H798" t="s">
        <v>820</v>
      </c>
      <c r="I798">
        <v>0</v>
      </c>
      <c r="J798" t="s">
        <v>821</v>
      </c>
      <c r="K798" t="s">
        <v>8</v>
      </c>
      <c r="L798" t="s">
        <v>15</v>
      </c>
      <c r="M798" t="s">
        <v>9</v>
      </c>
      <c r="N798" t="s">
        <v>14</v>
      </c>
      <c r="O798" s="2">
        <v>0</v>
      </c>
      <c r="P798" s="3">
        <v>2536.433</v>
      </c>
      <c r="Q798" s="1">
        <v>46033</v>
      </c>
      <c r="R798" s="1">
        <v>45992</v>
      </c>
      <c r="S798" s="1">
        <v>46022</v>
      </c>
      <c r="V798" s="8">
        <v>1</v>
      </c>
      <c r="W798" t="s">
        <v>24</v>
      </c>
      <c r="X798" t="s">
        <v>822</v>
      </c>
      <c r="Y798" t="s">
        <v>17</v>
      </c>
      <c r="Z798" t="s">
        <v>11</v>
      </c>
      <c r="AA798">
        <v>62371</v>
      </c>
      <c r="AB798">
        <v>21374339</v>
      </c>
      <c r="AC798">
        <v>1</v>
      </c>
      <c r="AD798" s="8"/>
    </row>
    <row r="799" spans="1:30" x14ac:dyDescent="0.3">
      <c r="A799" t="s">
        <v>1627</v>
      </c>
      <c r="B799">
        <v>1408948</v>
      </c>
      <c r="D799" t="s">
        <v>7</v>
      </c>
      <c r="E799">
        <v>946355</v>
      </c>
      <c r="F799">
        <v>9015884123</v>
      </c>
      <c r="G799">
        <v>350</v>
      </c>
      <c r="H799" t="s">
        <v>238</v>
      </c>
      <c r="I799">
        <v>0</v>
      </c>
      <c r="J799" t="s">
        <v>239</v>
      </c>
      <c r="K799" t="s">
        <v>8</v>
      </c>
      <c r="L799" t="s">
        <v>15</v>
      </c>
      <c r="M799" t="s">
        <v>9</v>
      </c>
      <c r="N799" t="s">
        <v>14</v>
      </c>
      <c r="O799" s="2">
        <v>0</v>
      </c>
      <c r="P799" s="3">
        <v>2204.0709999999999</v>
      </c>
      <c r="Q799" s="1">
        <v>46033</v>
      </c>
      <c r="R799" s="1">
        <v>45992</v>
      </c>
      <c r="S799" s="1">
        <v>46022</v>
      </c>
      <c r="V799" s="8">
        <v>1</v>
      </c>
      <c r="W799" t="s">
        <v>24</v>
      </c>
      <c r="X799" t="s">
        <v>240</v>
      </c>
      <c r="Y799" t="s">
        <v>17</v>
      </c>
      <c r="Z799" t="s">
        <v>11</v>
      </c>
      <c r="AA799">
        <v>62371</v>
      </c>
      <c r="AB799">
        <v>19966389</v>
      </c>
      <c r="AC799">
        <v>1</v>
      </c>
      <c r="AD799" s="8"/>
    </row>
    <row r="800" spans="1:30" x14ac:dyDescent="0.3">
      <c r="A800" t="s">
        <v>1627</v>
      </c>
      <c r="B800">
        <v>1408948</v>
      </c>
      <c r="D800" t="s">
        <v>7</v>
      </c>
      <c r="E800">
        <v>946355</v>
      </c>
      <c r="F800">
        <v>9015884123</v>
      </c>
      <c r="G800">
        <v>350</v>
      </c>
      <c r="H800" t="s">
        <v>238</v>
      </c>
      <c r="I800">
        <v>0</v>
      </c>
      <c r="J800" t="s">
        <v>239</v>
      </c>
      <c r="K800" t="s">
        <v>8</v>
      </c>
      <c r="L800" t="s">
        <v>67</v>
      </c>
      <c r="M800" t="s">
        <v>9</v>
      </c>
      <c r="N800" t="s">
        <v>14</v>
      </c>
      <c r="O800" s="2">
        <v>238030.3</v>
      </c>
      <c r="P800" s="3">
        <v>2204.0709999999999</v>
      </c>
      <c r="Q800" s="1">
        <v>46033</v>
      </c>
      <c r="R800" s="1">
        <v>45992</v>
      </c>
      <c r="S800" s="1">
        <v>46022</v>
      </c>
      <c r="V800" s="8">
        <v>1</v>
      </c>
      <c r="W800" t="s">
        <v>24</v>
      </c>
      <c r="X800" t="s">
        <v>240</v>
      </c>
      <c r="Y800" t="s">
        <v>17</v>
      </c>
      <c r="Z800" t="s">
        <v>11</v>
      </c>
      <c r="AA800">
        <v>62371</v>
      </c>
      <c r="AB800">
        <v>19966389</v>
      </c>
      <c r="AC800">
        <v>1</v>
      </c>
      <c r="AD800" s="8"/>
    </row>
    <row r="801" spans="1:30" x14ac:dyDescent="0.3">
      <c r="A801" t="s">
        <v>1627</v>
      </c>
      <c r="B801">
        <v>1415366</v>
      </c>
      <c r="D801" t="s">
        <v>7</v>
      </c>
      <c r="E801">
        <v>946550</v>
      </c>
      <c r="F801">
        <v>9015884123</v>
      </c>
      <c r="G801">
        <v>420</v>
      </c>
      <c r="H801" t="s">
        <v>817</v>
      </c>
      <c r="I801">
        <v>0</v>
      </c>
      <c r="J801" t="s">
        <v>818</v>
      </c>
      <c r="K801" t="s">
        <v>8</v>
      </c>
      <c r="L801" t="s">
        <v>67</v>
      </c>
      <c r="M801" t="s">
        <v>9</v>
      </c>
      <c r="N801" t="s">
        <v>14</v>
      </c>
      <c r="O801" s="2">
        <v>2396561.3199999998</v>
      </c>
      <c r="P801" s="3">
        <v>29167.986000000001</v>
      </c>
      <c r="Q801" s="1">
        <v>46033</v>
      </c>
      <c r="R801" s="1">
        <v>45992</v>
      </c>
      <c r="S801" s="1">
        <v>46022</v>
      </c>
      <c r="V801" s="8">
        <v>2</v>
      </c>
      <c r="W801" t="s">
        <v>24</v>
      </c>
      <c r="X801" t="s">
        <v>819</v>
      </c>
      <c r="Y801" t="s">
        <v>17</v>
      </c>
      <c r="Z801" t="s">
        <v>11</v>
      </c>
      <c r="AA801">
        <v>62371</v>
      </c>
      <c r="AB801">
        <v>18384714</v>
      </c>
      <c r="AC801">
        <v>1</v>
      </c>
      <c r="AD801" s="8"/>
    </row>
    <row r="802" spans="1:30" x14ac:dyDescent="0.3">
      <c r="A802" t="s">
        <v>1627</v>
      </c>
      <c r="B802">
        <v>1417714</v>
      </c>
      <c r="D802" t="s">
        <v>7</v>
      </c>
      <c r="E802">
        <v>946591</v>
      </c>
      <c r="F802">
        <v>9015884123</v>
      </c>
      <c r="G802">
        <v>432</v>
      </c>
      <c r="H802" t="s">
        <v>823</v>
      </c>
      <c r="I802">
        <v>0</v>
      </c>
      <c r="J802" t="s">
        <v>824</v>
      </c>
      <c r="K802" t="s">
        <v>8</v>
      </c>
      <c r="L802" t="s">
        <v>67</v>
      </c>
      <c r="M802" t="s">
        <v>9</v>
      </c>
      <c r="N802" t="s">
        <v>14</v>
      </c>
      <c r="O802" s="2">
        <v>404372.32</v>
      </c>
      <c r="P802" s="3">
        <v>2839.0659999999998</v>
      </c>
      <c r="Q802" s="1">
        <v>46033</v>
      </c>
      <c r="R802" s="1">
        <v>45992</v>
      </c>
      <c r="S802" s="1">
        <v>46022</v>
      </c>
      <c r="V802" s="8">
        <v>1</v>
      </c>
      <c r="W802" t="s">
        <v>24</v>
      </c>
      <c r="X802" t="s">
        <v>825</v>
      </c>
      <c r="Y802" t="s">
        <v>17</v>
      </c>
      <c r="Z802" t="s">
        <v>11</v>
      </c>
      <c r="AA802">
        <v>62371</v>
      </c>
      <c r="AB802">
        <v>17752477</v>
      </c>
      <c r="AC802">
        <v>0</v>
      </c>
      <c r="AD802" s="8"/>
    </row>
    <row r="803" spans="1:30" x14ac:dyDescent="0.3">
      <c r="A803" t="s">
        <v>1627</v>
      </c>
      <c r="B803">
        <v>1282806</v>
      </c>
      <c r="D803" t="s">
        <v>7</v>
      </c>
      <c r="E803">
        <v>945224</v>
      </c>
      <c r="F803">
        <v>9015884123</v>
      </c>
      <c r="G803">
        <v>6</v>
      </c>
      <c r="H803" t="s">
        <v>280</v>
      </c>
      <c r="I803">
        <v>0</v>
      </c>
      <c r="J803" t="s">
        <v>281</v>
      </c>
      <c r="K803" t="s">
        <v>8</v>
      </c>
      <c r="L803" t="s">
        <v>67</v>
      </c>
      <c r="M803" t="s">
        <v>9</v>
      </c>
      <c r="N803" t="s">
        <v>14</v>
      </c>
      <c r="O803" s="2">
        <v>84284.96</v>
      </c>
      <c r="P803" s="3">
        <v>591.75800000000004</v>
      </c>
      <c r="Q803" s="1">
        <v>46033</v>
      </c>
      <c r="R803" s="1">
        <v>45992</v>
      </c>
      <c r="S803" s="1">
        <v>46022</v>
      </c>
      <c r="V803" s="8">
        <v>1</v>
      </c>
      <c r="W803" t="s">
        <v>24</v>
      </c>
      <c r="X803" t="s">
        <v>282</v>
      </c>
      <c r="Y803" t="s">
        <v>17</v>
      </c>
      <c r="Z803" t="s">
        <v>11</v>
      </c>
      <c r="AA803">
        <v>62371</v>
      </c>
      <c r="AB803">
        <v>18920220</v>
      </c>
      <c r="AC803">
        <v>0</v>
      </c>
      <c r="AD803" s="8"/>
    </row>
    <row r="804" spans="1:30" x14ac:dyDescent="0.3">
      <c r="A804" t="s">
        <v>1627</v>
      </c>
      <c r="B804">
        <v>1282806</v>
      </c>
      <c r="D804" t="s">
        <v>7</v>
      </c>
      <c r="E804">
        <v>945224</v>
      </c>
      <c r="F804">
        <v>9015884123</v>
      </c>
      <c r="G804">
        <v>6</v>
      </c>
      <c r="H804" t="s">
        <v>280</v>
      </c>
      <c r="I804">
        <v>0</v>
      </c>
      <c r="J804" t="s">
        <v>281</v>
      </c>
      <c r="K804" t="s">
        <v>8</v>
      </c>
      <c r="L804" t="s">
        <v>19</v>
      </c>
      <c r="M804" t="s">
        <v>9</v>
      </c>
      <c r="N804" t="s">
        <v>14</v>
      </c>
      <c r="O804" s="2">
        <v>39972.61</v>
      </c>
      <c r="P804" s="3">
        <v>202.29900000000001</v>
      </c>
      <c r="Q804" s="1">
        <v>46033</v>
      </c>
      <c r="R804" s="1">
        <v>45992</v>
      </c>
      <c r="S804" s="1">
        <v>46022</v>
      </c>
      <c r="V804" s="8">
        <v>1</v>
      </c>
      <c r="W804" t="s">
        <v>24</v>
      </c>
      <c r="X804" t="s">
        <v>282</v>
      </c>
      <c r="Y804" t="s">
        <v>17</v>
      </c>
      <c r="Z804" t="s">
        <v>11</v>
      </c>
      <c r="AA804">
        <v>62371</v>
      </c>
      <c r="AB804">
        <v>18920220</v>
      </c>
      <c r="AC804">
        <v>0</v>
      </c>
      <c r="AD804" s="8"/>
    </row>
    <row r="805" spans="1:30" x14ac:dyDescent="0.3">
      <c r="A805" t="s">
        <v>1627</v>
      </c>
      <c r="B805">
        <v>1356237</v>
      </c>
      <c r="D805" t="s">
        <v>7</v>
      </c>
      <c r="E805">
        <v>945426</v>
      </c>
      <c r="F805">
        <v>9015884123</v>
      </c>
      <c r="G805">
        <v>120</v>
      </c>
      <c r="H805" t="s">
        <v>1394</v>
      </c>
      <c r="I805">
        <v>0</v>
      </c>
      <c r="J805" t="s">
        <v>1395</v>
      </c>
      <c r="K805" t="s">
        <v>8</v>
      </c>
      <c r="L805" t="s">
        <v>15</v>
      </c>
      <c r="M805" t="s">
        <v>9</v>
      </c>
      <c r="N805" t="s">
        <v>14</v>
      </c>
      <c r="O805" s="2">
        <v>0</v>
      </c>
      <c r="P805" s="3">
        <v>1412.347</v>
      </c>
      <c r="Q805" s="1">
        <v>46033</v>
      </c>
      <c r="R805" s="1">
        <v>45992</v>
      </c>
      <c r="S805" s="1">
        <v>46022</v>
      </c>
      <c r="V805" s="8">
        <v>1</v>
      </c>
      <c r="W805" t="s">
        <v>24</v>
      </c>
      <c r="X805" t="s">
        <v>1396</v>
      </c>
      <c r="Y805" t="s">
        <v>10</v>
      </c>
      <c r="Z805" t="s">
        <v>11</v>
      </c>
      <c r="AA805">
        <v>62371</v>
      </c>
      <c r="AB805">
        <v>19538839</v>
      </c>
      <c r="AC805">
        <v>1</v>
      </c>
      <c r="AD805" s="8"/>
    </row>
    <row r="806" spans="1:30" x14ac:dyDescent="0.3">
      <c r="A806" t="s">
        <v>1627</v>
      </c>
      <c r="B806">
        <v>1356366</v>
      </c>
      <c r="D806" t="s">
        <v>7</v>
      </c>
      <c r="E806">
        <v>945470</v>
      </c>
      <c r="F806">
        <v>9015884123</v>
      </c>
      <c r="G806">
        <v>135</v>
      </c>
      <c r="H806" t="s">
        <v>787</v>
      </c>
      <c r="I806">
        <v>0</v>
      </c>
      <c r="J806" t="s">
        <v>788</v>
      </c>
      <c r="K806" t="s">
        <v>8</v>
      </c>
      <c r="L806" t="s">
        <v>67</v>
      </c>
      <c r="M806" t="s">
        <v>9</v>
      </c>
      <c r="N806" t="s">
        <v>14</v>
      </c>
      <c r="O806" s="2">
        <v>220067.04</v>
      </c>
      <c r="P806" s="3">
        <v>2037.7380000000001</v>
      </c>
      <c r="Q806" s="1">
        <v>46033</v>
      </c>
      <c r="R806" s="1">
        <v>45992</v>
      </c>
      <c r="S806" s="1">
        <v>46022</v>
      </c>
      <c r="V806" s="8">
        <v>1</v>
      </c>
      <c r="W806" t="s">
        <v>24</v>
      </c>
      <c r="X806" t="s">
        <v>789</v>
      </c>
      <c r="Y806" t="s">
        <v>10</v>
      </c>
      <c r="Z806" t="s">
        <v>11</v>
      </c>
      <c r="AA806">
        <v>62371</v>
      </c>
      <c r="AB806">
        <v>17032603</v>
      </c>
      <c r="AC806">
        <v>1</v>
      </c>
      <c r="AD806" s="8"/>
    </row>
    <row r="807" spans="1:30" x14ac:dyDescent="0.3">
      <c r="A807" t="s">
        <v>1627</v>
      </c>
      <c r="B807">
        <v>1356166</v>
      </c>
      <c r="D807" t="s">
        <v>7</v>
      </c>
      <c r="E807">
        <v>945394</v>
      </c>
      <c r="F807">
        <v>9015884123</v>
      </c>
      <c r="G807">
        <v>110</v>
      </c>
      <c r="H807" t="s">
        <v>1171</v>
      </c>
      <c r="I807">
        <v>0</v>
      </c>
      <c r="J807" t="s">
        <v>1172</v>
      </c>
      <c r="K807" t="s">
        <v>8</v>
      </c>
      <c r="L807" t="s">
        <v>18</v>
      </c>
      <c r="M807" t="s">
        <v>9</v>
      </c>
      <c r="N807" t="s">
        <v>14</v>
      </c>
      <c r="O807" s="2">
        <v>2.1</v>
      </c>
      <c r="P807" s="3">
        <v>0</v>
      </c>
      <c r="Q807" s="1">
        <v>46033</v>
      </c>
      <c r="R807" s="1">
        <v>45992</v>
      </c>
      <c r="S807" s="1">
        <v>46022</v>
      </c>
      <c r="V807" s="8">
        <v>1</v>
      </c>
      <c r="W807" t="s">
        <v>24</v>
      </c>
      <c r="X807" t="s">
        <v>1173</v>
      </c>
      <c r="Y807" t="s">
        <v>10</v>
      </c>
      <c r="Z807" t="s">
        <v>11</v>
      </c>
      <c r="AA807">
        <v>62371</v>
      </c>
      <c r="AB807">
        <v>21141479</v>
      </c>
      <c r="AC807">
        <v>1</v>
      </c>
      <c r="AD807" s="8"/>
    </row>
    <row r="808" spans="1:30" x14ac:dyDescent="0.3">
      <c r="A808" t="s">
        <v>1627</v>
      </c>
      <c r="B808">
        <v>1356219</v>
      </c>
      <c r="D808" t="s">
        <v>7</v>
      </c>
      <c r="E808">
        <v>945416</v>
      </c>
      <c r="F808">
        <v>9015884123</v>
      </c>
      <c r="G808">
        <v>117</v>
      </c>
      <c r="H808" t="s">
        <v>796</v>
      </c>
      <c r="I808">
        <v>0</v>
      </c>
      <c r="J808" t="s">
        <v>797</v>
      </c>
      <c r="K808" t="s">
        <v>8</v>
      </c>
      <c r="L808" t="s">
        <v>15</v>
      </c>
      <c r="M808" t="s">
        <v>9</v>
      </c>
      <c r="N808" t="s">
        <v>14</v>
      </c>
      <c r="O808" s="2">
        <v>0</v>
      </c>
      <c r="P808" s="3">
        <v>4586.991</v>
      </c>
      <c r="Q808" s="1">
        <v>46033</v>
      </c>
      <c r="R808" s="1">
        <v>45992</v>
      </c>
      <c r="S808" s="1">
        <v>46022</v>
      </c>
      <c r="V808" s="8">
        <v>1</v>
      </c>
      <c r="W808" t="s">
        <v>24</v>
      </c>
      <c r="X808" t="s">
        <v>798</v>
      </c>
      <c r="Y808" t="s">
        <v>10</v>
      </c>
      <c r="Z808" t="s">
        <v>11</v>
      </c>
      <c r="AA808">
        <v>62371</v>
      </c>
      <c r="AB808">
        <v>17538944</v>
      </c>
      <c r="AC808">
        <v>0</v>
      </c>
      <c r="AD808" s="8"/>
    </row>
    <row r="809" spans="1:30" x14ac:dyDescent="0.3">
      <c r="A809" t="s">
        <v>1627</v>
      </c>
      <c r="B809">
        <v>1356229</v>
      </c>
      <c r="D809" t="s">
        <v>7</v>
      </c>
      <c r="E809">
        <v>945419</v>
      </c>
      <c r="F809">
        <v>9015884123</v>
      </c>
      <c r="G809">
        <v>118</v>
      </c>
      <c r="H809" t="s">
        <v>805</v>
      </c>
      <c r="I809">
        <v>0</v>
      </c>
      <c r="J809" t="s">
        <v>806</v>
      </c>
      <c r="K809" t="s">
        <v>8</v>
      </c>
      <c r="L809" t="s">
        <v>15</v>
      </c>
      <c r="M809" t="s">
        <v>9</v>
      </c>
      <c r="N809" t="s">
        <v>14</v>
      </c>
      <c r="O809" s="2">
        <v>0</v>
      </c>
      <c r="P809" s="3">
        <v>3822.2530000000002</v>
      </c>
      <c r="Q809" s="1">
        <v>46033</v>
      </c>
      <c r="R809" s="1">
        <v>45992</v>
      </c>
      <c r="S809" s="1">
        <v>46022</v>
      </c>
      <c r="V809" s="8">
        <v>1</v>
      </c>
      <c r="W809" t="s">
        <v>24</v>
      </c>
      <c r="X809" t="s">
        <v>807</v>
      </c>
      <c r="Y809" t="s">
        <v>10</v>
      </c>
      <c r="Z809" t="s">
        <v>11</v>
      </c>
      <c r="AA809">
        <v>62371</v>
      </c>
      <c r="AB809">
        <v>18533571</v>
      </c>
      <c r="AC809">
        <v>1</v>
      </c>
      <c r="AD809" s="8"/>
    </row>
    <row r="810" spans="1:30" x14ac:dyDescent="0.3">
      <c r="A810" t="s">
        <v>1627</v>
      </c>
      <c r="B810">
        <v>1359841</v>
      </c>
      <c r="D810" t="s">
        <v>7</v>
      </c>
      <c r="E810">
        <v>945484</v>
      </c>
      <c r="F810">
        <v>9015884123</v>
      </c>
      <c r="G810">
        <v>140</v>
      </c>
      <c r="H810" t="s">
        <v>1397</v>
      </c>
      <c r="I810">
        <v>0</v>
      </c>
      <c r="J810" t="s">
        <v>1398</v>
      </c>
      <c r="K810" t="s">
        <v>8</v>
      </c>
      <c r="L810" t="s">
        <v>67</v>
      </c>
      <c r="M810" t="s">
        <v>9</v>
      </c>
      <c r="N810" t="s">
        <v>14</v>
      </c>
      <c r="O810" s="2">
        <v>307017.14</v>
      </c>
      <c r="P810" s="3">
        <v>2155.5430000000001</v>
      </c>
      <c r="Q810" s="1">
        <v>46033</v>
      </c>
      <c r="R810" s="1">
        <v>45992</v>
      </c>
      <c r="S810" s="1">
        <v>46022</v>
      </c>
      <c r="V810" s="8">
        <v>1</v>
      </c>
      <c r="W810" t="s">
        <v>24</v>
      </c>
      <c r="X810" t="s">
        <v>1399</v>
      </c>
      <c r="Y810" t="s">
        <v>10</v>
      </c>
      <c r="Z810" t="s">
        <v>11</v>
      </c>
      <c r="AA810">
        <v>62371</v>
      </c>
      <c r="AB810">
        <v>21471849</v>
      </c>
      <c r="AC810">
        <v>0</v>
      </c>
      <c r="AD810" s="8"/>
    </row>
    <row r="811" spans="1:30" x14ac:dyDescent="0.3">
      <c r="A811" t="s">
        <v>1627</v>
      </c>
      <c r="B811">
        <v>1359841</v>
      </c>
      <c r="D811" t="s">
        <v>7</v>
      </c>
      <c r="E811">
        <v>945484</v>
      </c>
      <c r="F811">
        <v>9015884123</v>
      </c>
      <c r="G811">
        <v>140</v>
      </c>
      <c r="H811" t="s">
        <v>1397</v>
      </c>
      <c r="I811">
        <v>0</v>
      </c>
      <c r="J811" t="s">
        <v>1398</v>
      </c>
      <c r="K811" t="s">
        <v>8</v>
      </c>
      <c r="L811" t="s">
        <v>18</v>
      </c>
      <c r="M811" t="s">
        <v>9</v>
      </c>
      <c r="N811" t="s">
        <v>14</v>
      </c>
      <c r="O811" s="2">
        <v>-1.1100000000000001</v>
      </c>
      <c r="P811" s="3">
        <v>0</v>
      </c>
      <c r="Q811" s="1">
        <v>46033</v>
      </c>
      <c r="R811" s="1">
        <v>45992</v>
      </c>
      <c r="S811" s="1">
        <v>46022</v>
      </c>
      <c r="V811" s="8">
        <v>1</v>
      </c>
      <c r="W811" t="s">
        <v>24</v>
      </c>
      <c r="X811" t="s">
        <v>1399</v>
      </c>
      <c r="Y811" t="s">
        <v>10</v>
      </c>
      <c r="Z811" t="s">
        <v>11</v>
      </c>
      <c r="AA811">
        <v>62371</v>
      </c>
      <c r="AB811">
        <v>21471849</v>
      </c>
      <c r="AC811">
        <v>0</v>
      </c>
      <c r="AD811" s="8"/>
    </row>
    <row r="812" spans="1:30" x14ac:dyDescent="0.3">
      <c r="A812" t="s">
        <v>1627</v>
      </c>
      <c r="B812">
        <v>1359845</v>
      </c>
      <c r="D812" t="s">
        <v>7</v>
      </c>
      <c r="E812">
        <v>945896</v>
      </c>
      <c r="F812">
        <v>9015884123</v>
      </c>
      <c r="G812">
        <v>145</v>
      </c>
      <c r="H812" t="s">
        <v>1400</v>
      </c>
      <c r="I812">
        <v>0</v>
      </c>
      <c r="J812" t="s">
        <v>1401</v>
      </c>
      <c r="K812" t="s">
        <v>8</v>
      </c>
      <c r="L812" t="s">
        <v>18</v>
      </c>
      <c r="M812" t="s">
        <v>9</v>
      </c>
      <c r="N812" t="s">
        <v>14</v>
      </c>
      <c r="O812" s="2">
        <v>-4.51</v>
      </c>
      <c r="P812" s="3">
        <v>0</v>
      </c>
      <c r="Q812" s="1">
        <v>46033</v>
      </c>
      <c r="R812" s="1">
        <v>45992</v>
      </c>
      <c r="S812" s="1">
        <v>46022</v>
      </c>
      <c r="V812" s="8">
        <v>1</v>
      </c>
      <c r="W812" t="s">
        <v>24</v>
      </c>
      <c r="X812" t="s">
        <v>1402</v>
      </c>
      <c r="Y812" t="s">
        <v>10</v>
      </c>
      <c r="Z812" t="s">
        <v>11</v>
      </c>
      <c r="AA812">
        <v>62371</v>
      </c>
      <c r="AB812">
        <v>21442927</v>
      </c>
      <c r="AC812">
        <v>0</v>
      </c>
      <c r="AD812" s="8"/>
    </row>
    <row r="813" spans="1:30" x14ac:dyDescent="0.3">
      <c r="A813" t="s">
        <v>1627</v>
      </c>
      <c r="B813">
        <v>1403983</v>
      </c>
      <c r="D813" t="s">
        <v>7</v>
      </c>
      <c r="E813">
        <v>946242</v>
      </c>
      <c r="F813">
        <v>9015884123</v>
      </c>
      <c r="G813">
        <v>299</v>
      </c>
      <c r="H813" t="s">
        <v>1186</v>
      </c>
      <c r="I813">
        <v>0</v>
      </c>
      <c r="J813" t="s">
        <v>1187</v>
      </c>
      <c r="K813" t="s">
        <v>8</v>
      </c>
      <c r="L813" t="s">
        <v>15</v>
      </c>
      <c r="M813" t="s">
        <v>9</v>
      </c>
      <c r="N813" t="s">
        <v>14</v>
      </c>
      <c r="O813" s="2">
        <v>0</v>
      </c>
      <c r="P813" s="3">
        <v>2112.4740000000002</v>
      </c>
      <c r="Q813" s="1">
        <v>46033</v>
      </c>
      <c r="R813" s="1">
        <v>45992</v>
      </c>
      <c r="S813" s="1">
        <v>46022</v>
      </c>
      <c r="V813" s="8">
        <v>1</v>
      </c>
      <c r="W813" t="s">
        <v>24</v>
      </c>
      <c r="X813" t="s">
        <v>1188</v>
      </c>
      <c r="Y813" t="s">
        <v>17</v>
      </c>
      <c r="Z813" t="s">
        <v>11</v>
      </c>
      <c r="AA813">
        <v>62371</v>
      </c>
      <c r="AB813">
        <v>19821470</v>
      </c>
      <c r="AC813">
        <v>1</v>
      </c>
      <c r="AD813" s="8"/>
    </row>
    <row r="814" spans="1:30" x14ac:dyDescent="0.3">
      <c r="A814" t="s">
        <v>1627</v>
      </c>
      <c r="B814">
        <v>1403977</v>
      </c>
      <c r="D814" t="s">
        <v>7</v>
      </c>
      <c r="E814">
        <v>946150</v>
      </c>
      <c r="F814">
        <v>9015884123</v>
      </c>
      <c r="G814">
        <v>269</v>
      </c>
      <c r="H814" t="s">
        <v>226</v>
      </c>
      <c r="I814">
        <v>0</v>
      </c>
      <c r="J814" t="s">
        <v>227</v>
      </c>
      <c r="K814" t="s">
        <v>8</v>
      </c>
      <c r="L814" t="s">
        <v>19</v>
      </c>
      <c r="M814" t="s">
        <v>9</v>
      </c>
      <c r="N814" t="s">
        <v>14</v>
      </c>
      <c r="O814" s="2">
        <v>152080.68</v>
      </c>
      <c r="P814" s="3">
        <v>932.11800000000005</v>
      </c>
      <c r="Q814" s="1">
        <v>46033</v>
      </c>
      <c r="R814" s="1">
        <v>45992</v>
      </c>
      <c r="S814" s="1">
        <v>46022</v>
      </c>
      <c r="V814" s="8">
        <v>1</v>
      </c>
      <c r="W814" t="s">
        <v>24</v>
      </c>
      <c r="X814" t="s">
        <v>228</v>
      </c>
      <c r="Y814" t="s">
        <v>17</v>
      </c>
      <c r="Z814" t="s">
        <v>11</v>
      </c>
      <c r="AA814">
        <v>62371</v>
      </c>
      <c r="AB814">
        <v>21139542</v>
      </c>
      <c r="AC814">
        <v>1</v>
      </c>
      <c r="AD814" s="8"/>
    </row>
    <row r="815" spans="1:30" x14ac:dyDescent="0.3">
      <c r="A815" t="s">
        <v>1627</v>
      </c>
      <c r="B815">
        <v>1413687</v>
      </c>
      <c r="D815" t="s">
        <v>7</v>
      </c>
      <c r="E815">
        <v>946424</v>
      </c>
      <c r="F815">
        <v>9015884123</v>
      </c>
      <c r="G815">
        <v>381</v>
      </c>
      <c r="H815" t="s">
        <v>829</v>
      </c>
      <c r="I815">
        <v>0</v>
      </c>
      <c r="J815" t="s">
        <v>830</v>
      </c>
      <c r="K815" t="s">
        <v>8</v>
      </c>
      <c r="L815" t="s">
        <v>15</v>
      </c>
      <c r="M815" t="s">
        <v>9</v>
      </c>
      <c r="N815" t="s">
        <v>14</v>
      </c>
      <c r="O815" s="2">
        <v>0</v>
      </c>
      <c r="P815" s="3">
        <v>890.32399999999996</v>
      </c>
      <c r="Q815" s="1">
        <v>46033</v>
      </c>
      <c r="R815" s="1">
        <v>45992</v>
      </c>
      <c r="S815" s="1">
        <v>46022</v>
      </c>
      <c r="V815" s="8">
        <v>1</v>
      </c>
      <c r="W815" t="s">
        <v>24</v>
      </c>
      <c r="X815" t="s">
        <v>831</v>
      </c>
      <c r="Y815" t="s">
        <v>832</v>
      </c>
      <c r="Z815" t="s">
        <v>11</v>
      </c>
      <c r="AA815">
        <v>62371</v>
      </c>
      <c r="AB815">
        <v>21453429</v>
      </c>
      <c r="AC815">
        <v>0</v>
      </c>
      <c r="AD815" s="8"/>
    </row>
    <row r="816" spans="1:30" x14ac:dyDescent="0.3">
      <c r="A816" t="s">
        <v>1627</v>
      </c>
      <c r="B816">
        <v>1408935</v>
      </c>
      <c r="D816" t="s">
        <v>7</v>
      </c>
      <c r="E816">
        <v>946335</v>
      </c>
      <c r="F816">
        <v>9015884123</v>
      </c>
      <c r="G816">
        <v>342</v>
      </c>
      <c r="H816" t="s">
        <v>1189</v>
      </c>
      <c r="I816">
        <v>0</v>
      </c>
      <c r="J816" t="s">
        <v>1190</v>
      </c>
      <c r="K816" t="s">
        <v>8</v>
      </c>
      <c r="L816" t="s">
        <v>15</v>
      </c>
      <c r="M816" t="s">
        <v>9</v>
      </c>
      <c r="N816" t="s">
        <v>14</v>
      </c>
      <c r="O816" s="2">
        <v>0</v>
      </c>
      <c r="P816" s="3">
        <v>1275.2070000000001</v>
      </c>
      <c r="Q816" s="1">
        <v>46033</v>
      </c>
      <c r="R816" s="1">
        <v>45992</v>
      </c>
      <c r="S816" s="1">
        <v>46022</v>
      </c>
      <c r="V816" s="8">
        <v>1</v>
      </c>
      <c r="W816" t="s">
        <v>24</v>
      </c>
      <c r="X816" t="s">
        <v>1191</v>
      </c>
      <c r="Y816" t="s">
        <v>17</v>
      </c>
      <c r="Z816" t="s">
        <v>11</v>
      </c>
      <c r="AA816">
        <v>62371</v>
      </c>
      <c r="AB816">
        <v>18466873</v>
      </c>
      <c r="AC816">
        <v>1</v>
      </c>
      <c r="AD816" s="8"/>
    </row>
    <row r="817" spans="1:30" x14ac:dyDescent="0.3">
      <c r="A817" t="s">
        <v>1627</v>
      </c>
      <c r="B817">
        <v>1411964</v>
      </c>
      <c r="D817" t="s">
        <v>7</v>
      </c>
      <c r="E817">
        <v>946380</v>
      </c>
      <c r="F817">
        <v>9015884123</v>
      </c>
      <c r="G817">
        <v>364</v>
      </c>
      <c r="H817" t="s">
        <v>244</v>
      </c>
      <c r="I817">
        <v>0</v>
      </c>
      <c r="J817" t="s">
        <v>245</v>
      </c>
      <c r="K817" t="s">
        <v>8</v>
      </c>
      <c r="L817" t="s">
        <v>19</v>
      </c>
      <c r="M817" t="s">
        <v>9</v>
      </c>
      <c r="N817" t="s">
        <v>14</v>
      </c>
      <c r="O817" s="2">
        <v>6022.42</v>
      </c>
      <c r="P817" s="3">
        <v>36.911999999999999</v>
      </c>
      <c r="Q817" s="1">
        <v>46033</v>
      </c>
      <c r="R817" s="1">
        <v>45992</v>
      </c>
      <c r="S817" s="1">
        <v>46022</v>
      </c>
      <c r="V817" s="8">
        <v>1</v>
      </c>
      <c r="W817" t="s">
        <v>24</v>
      </c>
      <c r="X817" t="s">
        <v>246</v>
      </c>
      <c r="Y817" t="s">
        <v>17</v>
      </c>
      <c r="Z817" t="s">
        <v>11</v>
      </c>
      <c r="AA817">
        <v>62371</v>
      </c>
      <c r="AB817">
        <v>19862171</v>
      </c>
      <c r="AC817">
        <v>1</v>
      </c>
      <c r="AD817" s="8"/>
    </row>
    <row r="818" spans="1:30" x14ac:dyDescent="0.3">
      <c r="A818" t="s">
        <v>1627</v>
      </c>
      <c r="B818">
        <v>1412841</v>
      </c>
      <c r="D818" t="s">
        <v>7</v>
      </c>
      <c r="E818">
        <v>946418</v>
      </c>
      <c r="F818">
        <v>9015884123</v>
      </c>
      <c r="G818">
        <v>379</v>
      </c>
      <c r="H818" t="s">
        <v>265</v>
      </c>
      <c r="I818">
        <v>0</v>
      </c>
      <c r="J818" t="s">
        <v>266</v>
      </c>
      <c r="K818" t="s">
        <v>8</v>
      </c>
      <c r="L818" t="s">
        <v>18</v>
      </c>
      <c r="M818" t="s">
        <v>9</v>
      </c>
      <c r="N818" t="s">
        <v>14</v>
      </c>
      <c r="O818" s="2">
        <v>4.95</v>
      </c>
      <c r="P818" s="3">
        <v>0</v>
      </c>
      <c r="Q818" s="1">
        <v>46033</v>
      </c>
      <c r="R818" s="1">
        <v>45992</v>
      </c>
      <c r="S818" s="1">
        <v>46022</v>
      </c>
      <c r="V818" s="8">
        <v>1</v>
      </c>
      <c r="W818" t="s">
        <v>24</v>
      </c>
      <c r="X818" t="s">
        <v>267</v>
      </c>
      <c r="Y818" t="s">
        <v>17</v>
      </c>
      <c r="Z818" t="s">
        <v>11</v>
      </c>
      <c r="AA818">
        <v>62371</v>
      </c>
      <c r="AB818">
        <v>19748260</v>
      </c>
      <c r="AC818">
        <v>1</v>
      </c>
      <c r="AD818" s="8"/>
    </row>
    <row r="819" spans="1:30" x14ac:dyDescent="0.3">
      <c r="A819" t="s">
        <v>1627</v>
      </c>
      <c r="B819">
        <v>1415366</v>
      </c>
      <c r="D819" t="s">
        <v>7</v>
      </c>
      <c r="E819">
        <v>946550</v>
      </c>
      <c r="F819">
        <v>9015884123</v>
      </c>
      <c r="G819">
        <v>420</v>
      </c>
      <c r="H819" t="s">
        <v>817</v>
      </c>
      <c r="I819">
        <v>0</v>
      </c>
      <c r="J819" t="s">
        <v>818</v>
      </c>
      <c r="K819" t="s">
        <v>8</v>
      </c>
      <c r="L819" t="s">
        <v>18</v>
      </c>
      <c r="M819" t="s">
        <v>9</v>
      </c>
      <c r="N819" t="s">
        <v>14</v>
      </c>
      <c r="O819" s="2">
        <v>-4.4800000000000004</v>
      </c>
      <c r="P819" s="3">
        <v>0</v>
      </c>
      <c r="Q819" s="1">
        <v>46033</v>
      </c>
      <c r="R819" s="1">
        <v>45992</v>
      </c>
      <c r="S819" s="1">
        <v>46022</v>
      </c>
      <c r="V819" s="8">
        <v>2</v>
      </c>
      <c r="W819" t="s">
        <v>24</v>
      </c>
      <c r="X819" t="s">
        <v>819</v>
      </c>
      <c r="Y819" t="s">
        <v>17</v>
      </c>
      <c r="Z819" t="s">
        <v>11</v>
      </c>
      <c r="AA819">
        <v>62371</v>
      </c>
      <c r="AB819">
        <v>18384714</v>
      </c>
      <c r="AC819">
        <v>1</v>
      </c>
      <c r="AD819" s="8"/>
    </row>
    <row r="820" spans="1:30" x14ac:dyDescent="0.3">
      <c r="A820" t="s">
        <v>1627</v>
      </c>
      <c r="B820">
        <v>1363527</v>
      </c>
      <c r="D820" t="s">
        <v>7</v>
      </c>
      <c r="E820">
        <v>945914</v>
      </c>
      <c r="F820">
        <v>9015884123</v>
      </c>
      <c r="G820">
        <v>165</v>
      </c>
      <c r="H820" t="s">
        <v>294</v>
      </c>
      <c r="I820">
        <v>0</v>
      </c>
      <c r="J820" t="s">
        <v>295</v>
      </c>
      <c r="K820" t="s">
        <v>8</v>
      </c>
      <c r="L820" t="s">
        <v>19</v>
      </c>
      <c r="M820" t="s">
        <v>9</v>
      </c>
      <c r="N820" t="s">
        <v>14</v>
      </c>
      <c r="O820" s="2">
        <v>151794.53</v>
      </c>
      <c r="P820" s="3">
        <v>768.22299999999996</v>
      </c>
      <c r="Q820" s="1">
        <v>46033</v>
      </c>
      <c r="R820" s="1">
        <v>45992</v>
      </c>
      <c r="S820" s="1">
        <v>46022</v>
      </c>
      <c r="V820" s="8">
        <v>1</v>
      </c>
      <c r="W820" t="s">
        <v>24</v>
      </c>
      <c r="X820" t="s">
        <v>296</v>
      </c>
      <c r="Y820" t="s">
        <v>10</v>
      </c>
      <c r="Z820" t="s">
        <v>11</v>
      </c>
      <c r="AA820">
        <v>62371</v>
      </c>
      <c r="AB820">
        <v>17523451</v>
      </c>
      <c r="AC820">
        <v>0</v>
      </c>
      <c r="AD820" s="8"/>
    </row>
    <row r="821" spans="1:30" x14ac:dyDescent="0.3">
      <c r="A821" t="s">
        <v>1627</v>
      </c>
      <c r="B821">
        <v>1363541</v>
      </c>
      <c r="D821" t="s">
        <v>7</v>
      </c>
      <c r="E821">
        <v>945921</v>
      </c>
      <c r="F821">
        <v>9015884123</v>
      </c>
      <c r="G821">
        <v>172</v>
      </c>
      <c r="H821" t="s">
        <v>839</v>
      </c>
      <c r="I821">
        <v>0</v>
      </c>
      <c r="J821" t="s">
        <v>840</v>
      </c>
      <c r="K821" t="s">
        <v>8</v>
      </c>
      <c r="L821" t="s">
        <v>15</v>
      </c>
      <c r="M821" t="s">
        <v>9</v>
      </c>
      <c r="N821" t="s">
        <v>14</v>
      </c>
      <c r="O821" s="2">
        <v>0</v>
      </c>
      <c r="P821" s="3">
        <v>2970.3110000000001</v>
      </c>
      <c r="Q821" s="1">
        <v>46033</v>
      </c>
      <c r="R821" s="1">
        <v>45992</v>
      </c>
      <c r="S821" s="1">
        <v>46022</v>
      </c>
      <c r="V821" s="8">
        <v>1</v>
      </c>
      <c r="W821" t="s">
        <v>24</v>
      </c>
      <c r="X821" t="s">
        <v>841</v>
      </c>
      <c r="Y821" t="s">
        <v>10</v>
      </c>
      <c r="Z821" t="s">
        <v>11</v>
      </c>
      <c r="AA821">
        <v>62371</v>
      </c>
      <c r="AB821">
        <v>21107604</v>
      </c>
      <c r="AC821">
        <v>1</v>
      </c>
      <c r="AD821" s="8"/>
    </row>
    <row r="822" spans="1:30" x14ac:dyDescent="0.3">
      <c r="A822" t="s">
        <v>1627</v>
      </c>
      <c r="B822">
        <v>1415367</v>
      </c>
      <c r="D822" t="s">
        <v>7</v>
      </c>
      <c r="E822">
        <v>946532</v>
      </c>
      <c r="F822">
        <v>9015884123</v>
      </c>
      <c r="G822">
        <v>415</v>
      </c>
      <c r="H822" t="s">
        <v>253</v>
      </c>
      <c r="I822">
        <v>0</v>
      </c>
      <c r="J822" t="s">
        <v>254</v>
      </c>
      <c r="K822" t="s">
        <v>8</v>
      </c>
      <c r="L822" t="s">
        <v>19</v>
      </c>
      <c r="M822" t="s">
        <v>9</v>
      </c>
      <c r="N822" t="s">
        <v>14</v>
      </c>
      <c r="O822" s="2">
        <v>2351.08</v>
      </c>
      <c r="P822" s="3">
        <v>14.41</v>
      </c>
      <c r="Q822" s="1">
        <v>46033</v>
      </c>
      <c r="R822" s="1">
        <v>45992</v>
      </c>
      <c r="S822" s="1">
        <v>46022</v>
      </c>
      <c r="V822" s="8">
        <v>1</v>
      </c>
      <c r="W822" t="s">
        <v>24</v>
      </c>
      <c r="X822" t="s">
        <v>255</v>
      </c>
      <c r="Y822" t="s">
        <v>17</v>
      </c>
      <c r="Z822" t="s">
        <v>11</v>
      </c>
      <c r="AA822">
        <v>62371</v>
      </c>
      <c r="AB822">
        <v>18360148</v>
      </c>
      <c r="AC822">
        <v>1</v>
      </c>
      <c r="AD822" s="8"/>
    </row>
    <row r="823" spans="1:30" x14ac:dyDescent="0.3">
      <c r="A823" t="s">
        <v>1627</v>
      </c>
      <c r="B823">
        <v>1415364</v>
      </c>
      <c r="D823" t="s">
        <v>7</v>
      </c>
      <c r="E823">
        <v>946553</v>
      </c>
      <c r="F823">
        <v>9015884123</v>
      </c>
      <c r="G823">
        <v>421</v>
      </c>
      <c r="H823" t="s">
        <v>1403</v>
      </c>
      <c r="I823">
        <v>0</v>
      </c>
      <c r="J823" t="s">
        <v>1404</v>
      </c>
      <c r="K823" t="s">
        <v>8</v>
      </c>
      <c r="L823" t="s">
        <v>19</v>
      </c>
      <c r="M823" t="s">
        <v>9</v>
      </c>
      <c r="N823" t="s">
        <v>14</v>
      </c>
      <c r="O823" s="2">
        <v>10235.57</v>
      </c>
      <c r="P823" s="3">
        <v>80.418999999999997</v>
      </c>
      <c r="Q823" s="1">
        <v>46033</v>
      </c>
      <c r="R823" s="1">
        <v>45992</v>
      </c>
      <c r="S823" s="1">
        <v>46022</v>
      </c>
      <c r="V823" s="8">
        <v>2</v>
      </c>
      <c r="W823" t="s">
        <v>24</v>
      </c>
      <c r="X823" t="s">
        <v>1405</v>
      </c>
      <c r="Y823" t="s">
        <v>17</v>
      </c>
      <c r="Z823" t="s">
        <v>11</v>
      </c>
      <c r="AA823">
        <v>62371</v>
      </c>
      <c r="AB823">
        <v>19570725</v>
      </c>
      <c r="AC823">
        <v>1</v>
      </c>
      <c r="AD823" s="8"/>
    </row>
    <row r="824" spans="1:30" x14ac:dyDescent="0.3">
      <c r="A824" t="s">
        <v>1627</v>
      </c>
      <c r="B824">
        <v>1418374</v>
      </c>
      <c r="D824" t="s">
        <v>7</v>
      </c>
      <c r="E824">
        <v>946609</v>
      </c>
      <c r="F824">
        <v>9015884123</v>
      </c>
      <c r="G824">
        <v>438</v>
      </c>
      <c r="H824" t="s">
        <v>1180</v>
      </c>
      <c r="I824">
        <v>0</v>
      </c>
      <c r="J824" t="s">
        <v>1181</v>
      </c>
      <c r="K824" t="s">
        <v>8</v>
      </c>
      <c r="L824" t="s">
        <v>15</v>
      </c>
      <c r="M824" t="s">
        <v>9</v>
      </c>
      <c r="N824" t="s">
        <v>14</v>
      </c>
      <c r="O824" s="2">
        <v>0</v>
      </c>
      <c r="P824" s="3">
        <v>2381.194</v>
      </c>
      <c r="Q824" s="1">
        <v>46033</v>
      </c>
      <c r="R824" s="1">
        <v>45992</v>
      </c>
      <c r="S824" s="1">
        <v>46022</v>
      </c>
      <c r="V824" s="8">
        <v>1</v>
      </c>
      <c r="W824" t="s">
        <v>24</v>
      </c>
      <c r="X824" t="s">
        <v>1182</v>
      </c>
      <c r="Y824" t="s">
        <v>17</v>
      </c>
      <c r="Z824" t="s">
        <v>11</v>
      </c>
      <c r="AA824">
        <v>62371</v>
      </c>
      <c r="AB824">
        <v>18948795</v>
      </c>
      <c r="AC824">
        <v>0</v>
      </c>
      <c r="AD824" s="8"/>
    </row>
    <row r="825" spans="1:30" x14ac:dyDescent="0.3">
      <c r="A825" t="s">
        <v>1627</v>
      </c>
      <c r="B825">
        <v>1408311</v>
      </c>
      <c r="D825" t="s">
        <v>7</v>
      </c>
      <c r="E825">
        <v>946329</v>
      </c>
      <c r="F825">
        <v>9015884123</v>
      </c>
      <c r="G825">
        <v>337</v>
      </c>
      <c r="H825" t="s">
        <v>304</v>
      </c>
      <c r="I825">
        <v>0</v>
      </c>
      <c r="J825" t="s">
        <v>305</v>
      </c>
      <c r="K825" t="s">
        <v>8</v>
      </c>
      <c r="L825" t="s">
        <v>67</v>
      </c>
      <c r="M825" t="s">
        <v>9</v>
      </c>
      <c r="N825" t="s">
        <v>14</v>
      </c>
      <c r="O825" s="2">
        <v>344862.88</v>
      </c>
      <c r="P825" s="3">
        <v>2421.2550000000001</v>
      </c>
      <c r="Q825" s="1">
        <v>46033</v>
      </c>
      <c r="R825" s="1">
        <v>45992</v>
      </c>
      <c r="S825" s="1">
        <v>46022</v>
      </c>
      <c r="V825" s="8">
        <v>1</v>
      </c>
      <c r="W825" t="s">
        <v>24</v>
      </c>
      <c r="X825" t="s">
        <v>306</v>
      </c>
      <c r="Y825" t="s">
        <v>39</v>
      </c>
      <c r="Z825" t="s">
        <v>11</v>
      </c>
      <c r="AA825">
        <v>62371</v>
      </c>
      <c r="AB825">
        <v>17901029</v>
      </c>
      <c r="AC825">
        <v>0</v>
      </c>
      <c r="AD825" s="8"/>
    </row>
    <row r="826" spans="1:30" x14ac:dyDescent="0.3">
      <c r="A826" t="s">
        <v>1627</v>
      </c>
      <c r="B826">
        <v>1417662</v>
      </c>
      <c r="D826" t="s">
        <v>7</v>
      </c>
      <c r="E826">
        <v>946597</v>
      </c>
      <c r="F826">
        <v>9015884123</v>
      </c>
      <c r="G826">
        <v>434</v>
      </c>
      <c r="H826" t="s">
        <v>274</v>
      </c>
      <c r="I826">
        <v>0</v>
      </c>
      <c r="J826" t="s">
        <v>275</v>
      </c>
      <c r="K826" t="s">
        <v>8</v>
      </c>
      <c r="L826" t="s">
        <v>19</v>
      </c>
      <c r="M826" t="s">
        <v>9</v>
      </c>
      <c r="N826" t="s">
        <v>14</v>
      </c>
      <c r="O826" s="2">
        <v>6383.99</v>
      </c>
      <c r="P826" s="3">
        <v>32.308999999999997</v>
      </c>
      <c r="Q826" s="1">
        <v>46033</v>
      </c>
      <c r="R826" s="1">
        <v>45992</v>
      </c>
      <c r="S826" s="1">
        <v>46022</v>
      </c>
      <c r="V826" s="8">
        <v>1</v>
      </c>
      <c r="W826" t="s">
        <v>24</v>
      </c>
      <c r="X826" t="s">
        <v>276</v>
      </c>
      <c r="Y826" t="s">
        <v>17</v>
      </c>
      <c r="Z826" t="s">
        <v>11</v>
      </c>
      <c r="AA826">
        <v>62371</v>
      </c>
      <c r="AB826">
        <v>17751495</v>
      </c>
      <c r="AC826">
        <v>0</v>
      </c>
      <c r="AD826" s="8"/>
    </row>
    <row r="827" spans="1:30" x14ac:dyDescent="0.3">
      <c r="A827" t="s">
        <v>1627</v>
      </c>
      <c r="B827">
        <v>1417722</v>
      </c>
      <c r="D827" t="s">
        <v>7</v>
      </c>
      <c r="E827">
        <v>946606</v>
      </c>
      <c r="F827">
        <v>9015884123</v>
      </c>
      <c r="G827">
        <v>437</v>
      </c>
      <c r="H827" t="s">
        <v>277</v>
      </c>
      <c r="I827">
        <v>0</v>
      </c>
      <c r="J827" t="s">
        <v>278</v>
      </c>
      <c r="K827" t="s">
        <v>8</v>
      </c>
      <c r="L827" t="s">
        <v>18</v>
      </c>
      <c r="M827" t="s">
        <v>9</v>
      </c>
      <c r="N827" t="s">
        <v>14</v>
      </c>
      <c r="O827" s="2">
        <v>1.44</v>
      </c>
      <c r="P827" s="3">
        <v>0</v>
      </c>
      <c r="Q827" s="1">
        <v>46033</v>
      </c>
      <c r="R827" s="1">
        <v>45992</v>
      </c>
      <c r="S827" s="1">
        <v>46022</v>
      </c>
      <c r="V827" s="8">
        <v>1</v>
      </c>
      <c r="W827" t="s">
        <v>24</v>
      </c>
      <c r="X827" t="s">
        <v>279</v>
      </c>
      <c r="Y827" t="s">
        <v>17</v>
      </c>
      <c r="Z827" t="s">
        <v>11</v>
      </c>
      <c r="AA827">
        <v>62371</v>
      </c>
      <c r="AB827">
        <v>17755319</v>
      </c>
      <c r="AC827">
        <v>0</v>
      </c>
      <c r="AD827" s="8"/>
    </row>
    <row r="828" spans="1:30" x14ac:dyDescent="0.3">
      <c r="A828" t="s">
        <v>1627</v>
      </c>
      <c r="B828">
        <v>1377789</v>
      </c>
      <c r="D828" t="s">
        <v>7</v>
      </c>
      <c r="E828">
        <v>945954</v>
      </c>
      <c r="F828">
        <v>9015884123</v>
      </c>
      <c r="G828">
        <v>195</v>
      </c>
      <c r="H828" t="s">
        <v>1406</v>
      </c>
      <c r="I828">
        <v>0</v>
      </c>
      <c r="J828" t="s">
        <v>1407</v>
      </c>
      <c r="K828" t="s">
        <v>8</v>
      </c>
      <c r="L828" t="s">
        <v>15</v>
      </c>
      <c r="M828" t="s">
        <v>9</v>
      </c>
      <c r="N828" t="s">
        <v>14</v>
      </c>
      <c r="O828" s="2">
        <v>0</v>
      </c>
      <c r="P828" s="3">
        <v>14403.957</v>
      </c>
      <c r="Q828" s="1">
        <v>46033</v>
      </c>
      <c r="R828" s="1">
        <v>45992</v>
      </c>
      <c r="S828" s="1">
        <v>46022</v>
      </c>
      <c r="V828" s="8">
        <v>1</v>
      </c>
      <c r="W828" t="s">
        <v>24</v>
      </c>
      <c r="X828" t="s">
        <v>1408</v>
      </c>
      <c r="Y828" t="s">
        <v>10</v>
      </c>
      <c r="Z828" t="s">
        <v>11</v>
      </c>
      <c r="AA828">
        <v>62371</v>
      </c>
      <c r="AB828">
        <v>17031125</v>
      </c>
      <c r="AC828">
        <v>1</v>
      </c>
      <c r="AD828" s="8"/>
    </row>
    <row r="829" spans="1:30" x14ac:dyDescent="0.3">
      <c r="A829" t="s">
        <v>1627</v>
      </c>
      <c r="B829">
        <v>1399956</v>
      </c>
      <c r="D829" t="s">
        <v>7</v>
      </c>
      <c r="E829">
        <v>946099</v>
      </c>
      <c r="F829">
        <v>9015884123</v>
      </c>
      <c r="G829">
        <v>253</v>
      </c>
      <c r="H829" t="s">
        <v>874</v>
      </c>
      <c r="I829">
        <v>0</v>
      </c>
      <c r="J829" t="s">
        <v>875</v>
      </c>
      <c r="K829" t="s">
        <v>8</v>
      </c>
      <c r="L829" t="s">
        <v>18</v>
      </c>
      <c r="M829" t="s">
        <v>9</v>
      </c>
      <c r="N829" t="s">
        <v>14</v>
      </c>
      <c r="O829" s="2">
        <v>4.8899999999999997</v>
      </c>
      <c r="P829" s="3">
        <v>0</v>
      </c>
      <c r="Q829" s="1">
        <v>46033</v>
      </c>
      <c r="R829" s="1">
        <v>45992</v>
      </c>
      <c r="S829" s="1">
        <v>46022</v>
      </c>
      <c r="V829" s="8">
        <v>1</v>
      </c>
      <c r="W829" t="s">
        <v>24</v>
      </c>
      <c r="X829" t="s">
        <v>876</v>
      </c>
      <c r="Y829" t="s">
        <v>326</v>
      </c>
      <c r="Z829" t="s">
        <v>11</v>
      </c>
      <c r="AA829">
        <v>62371</v>
      </c>
      <c r="AB829">
        <v>18436958</v>
      </c>
      <c r="AC829">
        <v>1</v>
      </c>
      <c r="AD829" s="8"/>
    </row>
    <row r="830" spans="1:30" x14ac:dyDescent="0.3">
      <c r="A830" t="s">
        <v>1627</v>
      </c>
      <c r="B830">
        <v>1377801</v>
      </c>
      <c r="D830" t="s">
        <v>7</v>
      </c>
      <c r="E830">
        <v>945965</v>
      </c>
      <c r="F830">
        <v>9015884123</v>
      </c>
      <c r="G830">
        <v>200</v>
      </c>
      <c r="H830" t="s">
        <v>330</v>
      </c>
      <c r="I830">
        <v>0</v>
      </c>
      <c r="J830" t="s">
        <v>331</v>
      </c>
      <c r="K830" t="s">
        <v>8</v>
      </c>
      <c r="L830" t="s">
        <v>67</v>
      </c>
      <c r="M830" t="s">
        <v>9</v>
      </c>
      <c r="N830" t="s">
        <v>14</v>
      </c>
      <c r="O830" s="2">
        <v>451176.65</v>
      </c>
      <c r="P830" s="3">
        <v>4177.7259999999997</v>
      </c>
      <c r="Q830" s="1">
        <v>46033</v>
      </c>
      <c r="R830" s="1">
        <v>45992</v>
      </c>
      <c r="S830" s="1">
        <v>46022</v>
      </c>
      <c r="V830" s="8">
        <v>1</v>
      </c>
      <c r="W830" t="s">
        <v>24</v>
      </c>
      <c r="X830" t="s">
        <v>332</v>
      </c>
      <c r="Y830" t="s">
        <v>10</v>
      </c>
      <c r="Z830" t="s">
        <v>11</v>
      </c>
      <c r="AA830">
        <v>62371</v>
      </c>
      <c r="AB830">
        <v>17058663</v>
      </c>
      <c r="AC830">
        <v>1</v>
      </c>
      <c r="AD830" s="8"/>
    </row>
    <row r="831" spans="1:30" x14ac:dyDescent="0.3">
      <c r="A831" t="s">
        <v>1627</v>
      </c>
      <c r="B831">
        <v>1420049</v>
      </c>
      <c r="D831" t="s">
        <v>7</v>
      </c>
      <c r="E831">
        <v>946668</v>
      </c>
      <c r="F831">
        <v>9015884123</v>
      </c>
      <c r="G831">
        <v>458</v>
      </c>
      <c r="H831" t="s">
        <v>343</v>
      </c>
      <c r="I831">
        <v>0</v>
      </c>
      <c r="J831" t="s">
        <v>344</v>
      </c>
      <c r="K831" t="s">
        <v>8</v>
      </c>
      <c r="L831" t="s">
        <v>18</v>
      </c>
      <c r="M831" t="s">
        <v>9</v>
      </c>
      <c r="N831" t="s">
        <v>14</v>
      </c>
      <c r="O831" s="2">
        <v>-2.56</v>
      </c>
      <c r="P831" s="3">
        <v>0</v>
      </c>
      <c r="Q831" s="1">
        <v>46033</v>
      </c>
      <c r="R831" s="1">
        <v>45992</v>
      </c>
      <c r="S831" s="1">
        <v>46022</v>
      </c>
      <c r="V831" s="8">
        <v>1</v>
      </c>
      <c r="W831" t="s">
        <v>24</v>
      </c>
      <c r="X831" t="s">
        <v>345</v>
      </c>
      <c r="Y831" t="s">
        <v>41</v>
      </c>
      <c r="Z831" t="s">
        <v>11</v>
      </c>
      <c r="AA831">
        <v>62371</v>
      </c>
      <c r="AB831">
        <v>17723762</v>
      </c>
      <c r="AC831">
        <v>0</v>
      </c>
      <c r="AD831" s="8"/>
    </row>
    <row r="832" spans="1:30" x14ac:dyDescent="0.3">
      <c r="A832" t="s">
        <v>1627</v>
      </c>
      <c r="B832">
        <v>1413684</v>
      </c>
      <c r="D832" t="s">
        <v>7</v>
      </c>
      <c r="E832">
        <v>946576</v>
      </c>
      <c r="F832">
        <v>9015884123</v>
      </c>
      <c r="G832">
        <v>428</v>
      </c>
      <c r="H832" t="s">
        <v>1409</v>
      </c>
      <c r="I832">
        <v>0</v>
      </c>
      <c r="J832" t="s">
        <v>1410</v>
      </c>
      <c r="K832" t="s">
        <v>8</v>
      </c>
      <c r="L832" t="s">
        <v>18</v>
      </c>
      <c r="M832" t="s">
        <v>9</v>
      </c>
      <c r="N832" t="s">
        <v>14</v>
      </c>
      <c r="O832" s="2">
        <v>-2.15</v>
      </c>
      <c r="P832" s="3">
        <v>0</v>
      </c>
      <c r="Q832" s="1">
        <v>46033</v>
      </c>
      <c r="R832" s="1">
        <v>45992</v>
      </c>
      <c r="S832" s="1">
        <v>46022</v>
      </c>
      <c r="V832" s="8">
        <v>1</v>
      </c>
      <c r="W832" t="s">
        <v>24</v>
      </c>
      <c r="X832" t="s">
        <v>1411</v>
      </c>
      <c r="Y832" t="s">
        <v>56</v>
      </c>
      <c r="Z832" t="s">
        <v>11</v>
      </c>
      <c r="AA832">
        <v>62371</v>
      </c>
      <c r="AB832">
        <v>21385425</v>
      </c>
      <c r="AC832">
        <v>0</v>
      </c>
      <c r="AD832" s="8"/>
    </row>
    <row r="833" spans="1:30" x14ac:dyDescent="0.3">
      <c r="A833" t="s">
        <v>1627</v>
      </c>
      <c r="B833">
        <v>1383128</v>
      </c>
      <c r="D833" t="s">
        <v>7</v>
      </c>
      <c r="E833">
        <v>946019</v>
      </c>
      <c r="F833">
        <v>9015884123</v>
      </c>
      <c r="G833">
        <v>227</v>
      </c>
      <c r="H833" t="s">
        <v>1217</v>
      </c>
      <c r="I833">
        <v>0</v>
      </c>
      <c r="J833" t="s">
        <v>1218</v>
      </c>
      <c r="K833" t="s">
        <v>8</v>
      </c>
      <c r="L833" t="s">
        <v>67</v>
      </c>
      <c r="M833" t="s">
        <v>9</v>
      </c>
      <c r="N833" t="s">
        <v>14</v>
      </c>
      <c r="O833" s="2">
        <v>462893.22</v>
      </c>
      <c r="P833" s="3">
        <v>4286.2169999999996</v>
      </c>
      <c r="Q833" s="1">
        <v>46033</v>
      </c>
      <c r="R833" s="1">
        <v>45992</v>
      </c>
      <c r="S833" s="1">
        <v>46022</v>
      </c>
      <c r="V833" s="8">
        <v>1</v>
      </c>
      <c r="W833" t="s">
        <v>24</v>
      </c>
      <c r="X833" t="s">
        <v>1219</v>
      </c>
      <c r="Y833" t="s">
        <v>10</v>
      </c>
      <c r="Z833" t="s">
        <v>11</v>
      </c>
      <c r="AA833">
        <v>62371</v>
      </c>
      <c r="AB833">
        <v>18799272</v>
      </c>
      <c r="AC833">
        <v>1</v>
      </c>
      <c r="AD833" s="8"/>
    </row>
    <row r="834" spans="1:30" x14ac:dyDescent="0.3">
      <c r="A834" t="s">
        <v>1627</v>
      </c>
      <c r="B834">
        <v>1383128</v>
      </c>
      <c r="D834" t="s">
        <v>7</v>
      </c>
      <c r="E834">
        <v>946019</v>
      </c>
      <c r="F834">
        <v>9015884123</v>
      </c>
      <c r="G834">
        <v>227</v>
      </c>
      <c r="H834" t="s">
        <v>1217</v>
      </c>
      <c r="I834">
        <v>0</v>
      </c>
      <c r="J834" t="s">
        <v>1218</v>
      </c>
      <c r="K834" t="s">
        <v>8</v>
      </c>
      <c r="L834" t="s">
        <v>19</v>
      </c>
      <c r="M834" t="s">
        <v>9</v>
      </c>
      <c r="N834" t="s">
        <v>14</v>
      </c>
      <c r="O834" s="2">
        <v>12740.04</v>
      </c>
      <c r="P834" s="3">
        <v>78.084999999999994</v>
      </c>
      <c r="Q834" s="1">
        <v>46033</v>
      </c>
      <c r="R834" s="1">
        <v>45992</v>
      </c>
      <c r="S834" s="1">
        <v>46022</v>
      </c>
      <c r="V834" s="8">
        <v>1</v>
      </c>
      <c r="W834" t="s">
        <v>24</v>
      </c>
      <c r="X834" t="s">
        <v>1219</v>
      </c>
      <c r="Y834" t="s">
        <v>10</v>
      </c>
      <c r="Z834" t="s">
        <v>11</v>
      </c>
      <c r="AA834">
        <v>62371</v>
      </c>
      <c r="AB834">
        <v>18799272</v>
      </c>
      <c r="AC834">
        <v>1</v>
      </c>
      <c r="AD834" s="8"/>
    </row>
    <row r="835" spans="1:30" x14ac:dyDescent="0.3">
      <c r="A835" t="s">
        <v>1627</v>
      </c>
      <c r="B835">
        <v>1386094</v>
      </c>
      <c r="D835" t="s">
        <v>7</v>
      </c>
      <c r="E835">
        <v>946049</v>
      </c>
      <c r="F835">
        <v>9015884123</v>
      </c>
      <c r="G835">
        <v>236</v>
      </c>
      <c r="H835" t="s">
        <v>886</v>
      </c>
      <c r="I835">
        <v>0</v>
      </c>
      <c r="J835" t="s">
        <v>887</v>
      </c>
      <c r="K835" t="s">
        <v>8</v>
      </c>
      <c r="L835" t="s">
        <v>18</v>
      </c>
      <c r="M835" t="s">
        <v>9</v>
      </c>
      <c r="N835" t="s">
        <v>14</v>
      </c>
      <c r="O835" s="2">
        <v>-4.32</v>
      </c>
      <c r="P835" s="3">
        <v>0</v>
      </c>
      <c r="Q835" s="1">
        <v>46033</v>
      </c>
      <c r="R835" s="1">
        <v>45992</v>
      </c>
      <c r="S835" s="1">
        <v>46022</v>
      </c>
      <c r="V835" s="8">
        <v>1</v>
      </c>
      <c r="W835" t="s">
        <v>24</v>
      </c>
      <c r="X835" t="s">
        <v>888</v>
      </c>
      <c r="Y835" t="s">
        <v>10</v>
      </c>
      <c r="Z835" t="s">
        <v>11</v>
      </c>
      <c r="AA835">
        <v>62371</v>
      </c>
      <c r="AB835">
        <v>17653498</v>
      </c>
      <c r="AC835">
        <v>0</v>
      </c>
      <c r="AD835" s="8"/>
    </row>
    <row r="836" spans="1:30" x14ac:dyDescent="0.3">
      <c r="A836" t="s">
        <v>1627</v>
      </c>
      <c r="B836">
        <v>1303907</v>
      </c>
      <c r="D836" t="s">
        <v>7</v>
      </c>
      <c r="E836">
        <v>945160</v>
      </c>
      <c r="F836">
        <v>9015884123</v>
      </c>
      <c r="G836">
        <v>32</v>
      </c>
      <c r="H836" t="s">
        <v>286</v>
      </c>
      <c r="I836">
        <v>0</v>
      </c>
      <c r="J836" t="s">
        <v>287</v>
      </c>
      <c r="K836" t="s">
        <v>8</v>
      </c>
      <c r="L836" t="s">
        <v>18</v>
      </c>
      <c r="M836" t="s">
        <v>9</v>
      </c>
      <c r="N836" t="s">
        <v>14</v>
      </c>
      <c r="O836" s="2">
        <v>0.95</v>
      </c>
      <c r="P836" s="3">
        <v>0</v>
      </c>
      <c r="Q836" s="1">
        <v>46033</v>
      </c>
      <c r="R836" s="1">
        <v>45992</v>
      </c>
      <c r="S836" s="1">
        <v>46022</v>
      </c>
      <c r="V836" s="8">
        <v>1</v>
      </c>
      <c r="W836" t="s">
        <v>24</v>
      </c>
      <c r="X836" t="s">
        <v>288</v>
      </c>
      <c r="Y836" t="s">
        <v>17</v>
      </c>
      <c r="Z836" t="s">
        <v>11</v>
      </c>
      <c r="AA836">
        <v>62371</v>
      </c>
      <c r="AB836">
        <v>19971596</v>
      </c>
      <c r="AC836">
        <v>1</v>
      </c>
      <c r="AD836" s="8"/>
    </row>
    <row r="837" spans="1:30" x14ac:dyDescent="0.3">
      <c r="A837" t="s">
        <v>1627</v>
      </c>
      <c r="B837">
        <v>1303924</v>
      </c>
      <c r="D837" t="s">
        <v>7</v>
      </c>
      <c r="E837">
        <v>945165</v>
      </c>
      <c r="F837">
        <v>9015884123</v>
      </c>
      <c r="G837">
        <v>34</v>
      </c>
      <c r="H837" t="s">
        <v>1195</v>
      </c>
      <c r="I837">
        <v>0</v>
      </c>
      <c r="J837" t="s">
        <v>1196</v>
      </c>
      <c r="K837" t="s">
        <v>8</v>
      </c>
      <c r="L837" t="s">
        <v>19</v>
      </c>
      <c r="M837" t="s">
        <v>9</v>
      </c>
      <c r="N837" t="s">
        <v>14</v>
      </c>
      <c r="O837" s="2">
        <v>3367.54</v>
      </c>
      <c r="P837" s="3">
        <v>20.64</v>
      </c>
      <c r="Q837" s="1">
        <v>46033</v>
      </c>
      <c r="R837" s="1">
        <v>45992</v>
      </c>
      <c r="S837" s="1">
        <v>46022</v>
      </c>
      <c r="V837" s="8">
        <v>1</v>
      </c>
      <c r="W837" t="s">
        <v>24</v>
      </c>
      <c r="X837" t="s">
        <v>1197</v>
      </c>
      <c r="Y837" t="s">
        <v>17</v>
      </c>
      <c r="Z837" t="s">
        <v>11</v>
      </c>
      <c r="AA837">
        <v>62371</v>
      </c>
      <c r="AB837">
        <v>18686952</v>
      </c>
      <c r="AC837">
        <v>1</v>
      </c>
      <c r="AD837" s="8"/>
    </row>
    <row r="838" spans="1:30" x14ac:dyDescent="0.3">
      <c r="A838" t="s">
        <v>1627</v>
      </c>
      <c r="B838">
        <v>1413687</v>
      </c>
      <c r="D838" t="s">
        <v>7</v>
      </c>
      <c r="E838">
        <v>946424</v>
      </c>
      <c r="F838">
        <v>9015884123</v>
      </c>
      <c r="G838">
        <v>381</v>
      </c>
      <c r="H838" t="s">
        <v>829</v>
      </c>
      <c r="I838">
        <v>0</v>
      </c>
      <c r="J838" t="s">
        <v>830</v>
      </c>
      <c r="K838" t="s">
        <v>8</v>
      </c>
      <c r="L838" t="s">
        <v>67</v>
      </c>
      <c r="M838" t="s">
        <v>9</v>
      </c>
      <c r="N838" t="s">
        <v>14</v>
      </c>
      <c r="O838" s="2">
        <v>126810.15</v>
      </c>
      <c r="P838" s="3">
        <v>890.32399999999996</v>
      </c>
      <c r="Q838" s="1">
        <v>46033</v>
      </c>
      <c r="R838" s="1">
        <v>45992</v>
      </c>
      <c r="S838" s="1">
        <v>46022</v>
      </c>
      <c r="V838" s="8">
        <v>1</v>
      </c>
      <c r="W838" t="s">
        <v>24</v>
      </c>
      <c r="X838" t="s">
        <v>831</v>
      </c>
      <c r="Y838" t="s">
        <v>832</v>
      </c>
      <c r="Z838" t="s">
        <v>11</v>
      </c>
      <c r="AA838">
        <v>62371</v>
      </c>
      <c r="AB838">
        <v>21453429</v>
      </c>
      <c r="AC838">
        <v>0</v>
      </c>
      <c r="AD838" s="8"/>
    </row>
    <row r="839" spans="1:30" x14ac:dyDescent="0.3">
      <c r="A839" t="s">
        <v>1627</v>
      </c>
      <c r="B839">
        <v>1363541</v>
      </c>
      <c r="D839" t="s">
        <v>7</v>
      </c>
      <c r="E839">
        <v>945921</v>
      </c>
      <c r="F839">
        <v>9015884123</v>
      </c>
      <c r="G839">
        <v>172</v>
      </c>
      <c r="H839" t="s">
        <v>839</v>
      </c>
      <c r="I839">
        <v>0</v>
      </c>
      <c r="J839" t="s">
        <v>840</v>
      </c>
      <c r="K839" t="s">
        <v>8</v>
      </c>
      <c r="L839" t="s">
        <v>19</v>
      </c>
      <c r="M839" t="s">
        <v>9</v>
      </c>
      <c r="N839" t="s">
        <v>14</v>
      </c>
      <c r="O839" s="2">
        <v>27908.98</v>
      </c>
      <c r="P839" s="3">
        <v>171.05699999999999</v>
      </c>
      <c r="Q839" s="1">
        <v>46033</v>
      </c>
      <c r="R839" s="1">
        <v>45992</v>
      </c>
      <c r="S839" s="1">
        <v>46022</v>
      </c>
      <c r="V839" s="8">
        <v>1</v>
      </c>
      <c r="W839" t="s">
        <v>24</v>
      </c>
      <c r="X839" t="s">
        <v>841</v>
      </c>
      <c r="Y839" t="s">
        <v>10</v>
      </c>
      <c r="Z839" t="s">
        <v>11</v>
      </c>
      <c r="AA839">
        <v>62371</v>
      </c>
      <c r="AB839">
        <v>21107604</v>
      </c>
      <c r="AC839">
        <v>1</v>
      </c>
      <c r="AD839" s="8"/>
    </row>
    <row r="840" spans="1:30" x14ac:dyDescent="0.3">
      <c r="A840" t="s">
        <v>1627</v>
      </c>
      <c r="B840">
        <v>1363545</v>
      </c>
      <c r="D840" t="s">
        <v>7</v>
      </c>
      <c r="E840">
        <v>945923</v>
      </c>
      <c r="F840">
        <v>9015884123</v>
      </c>
      <c r="G840">
        <v>174</v>
      </c>
      <c r="H840" t="s">
        <v>1412</v>
      </c>
      <c r="I840">
        <v>0</v>
      </c>
      <c r="J840" t="s">
        <v>1413</v>
      </c>
      <c r="K840" t="s">
        <v>8</v>
      </c>
      <c r="L840" t="s">
        <v>67</v>
      </c>
      <c r="M840" t="s">
        <v>9</v>
      </c>
      <c r="N840" t="s">
        <v>14</v>
      </c>
      <c r="O840" s="2">
        <v>775775.88</v>
      </c>
      <c r="P840" s="3">
        <v>5446.6610000000001</v>
      </c>
      <c r="Q840" s="1">
        <v>46033</v>
      </c>
      <c r="R840" s="1">
        <v>45992</v>
      </c>
      <c r="S840" s="1">
        <v>46022</v>
      </c>
      <c r="V840" s="8">
        <v>1</v>
      </c>
      <c r="W840" t="s">
        <v>24</v>
      </c>
      <c r="X840" t="s">
        <v>1414</v>
      </c>
      <c r="Y840" t="s">
        <v>10</v>
      </c>
      <c r="Z840" t="s">
        <v>11</v>
      </c>
      <c r="AA840">
        <v>62371</v>
      </c>
      <c r="AB840">
        <v>19619315</v>
      </c>
      <c r="AC840">
        <v>0</v>
      </c>
      <c r="AD840" s="8"/>
    </row>
    <row r="841" spans="1:30" x14ac:dyDescent="0.3">
      <c r="A841" t="s">
        <v>1627</v>
      </c>
      <c r="B841">
        <v>1408949</v>
      </c>
      <c r="D841" t="s">
        <v>7</v>
      </c>
      <c r="E841">
        <v>946361</v>
      </c>
      <c r="F841">
        <v>9015884123</v>
      </c>
      <c r="G841">
        <v>353</v>
      </c>
      <c r="H841" t="s">
        <v>307</v>
      </c>
      <c r="I841">
        <v>0</v>
      </c>
      <c r="J841" t="s">
        <v>308</v>
      </c>
      <c r="K841" t="s">
        <v>8</v>
      </c>
      <c r="L841" t="s">
        <v>18</v>
      </c>
      <c r="M841" t="s">
        <v>9</v>
      </c>
      <c r="N841" t="s">
        <v>14</v>
      </c>
      <c r="O841" s="2">
        <v>3.99</v>
      </c>
      <c r="P841" s="3">
        <v>0</v>
      </c>
      <c r="Q841" s="1">
        <v>46033</v>
      </c>
      <c r="R841" s="1">
        <v>45992</v>
      </c>
      <c r="S841" s="1">
        <v>46022</v>
      </c>
      <c r="V841" s="8">
        <v>1</v>
      </c>
      <c r="W841" t="s">
        <v>24</v>
      </c>
      <c r="X841" t="s">
        <v>309</v>
      </c>
      <c r="Y841" t="s">
        <v>310</v>
      </c>
      <c r="Z841" t="s">
        <v>11</v>
      </c>
      <c r="AA841">
        <v>62371</v>
      </c>
      <c r="AB841">
        <v>17797455</v>
      </c>
      <c r="AC841">
        <v>0</v>
      </c>
      <c r="AD841" s="8"/>
    </row>
    <row r="842" spans="1:30" x14ac:dyDescent="0.3">
      <c r="A842" t="s">
        <v>1627</v>
      </c>
      <c r="B842">
        <v>1415559</v>
      </c>
      <c r="D842" t="s">
        <v>7</v>
      </c>
      <c r="E842">
        <v>946506</v>
      </c>
      <c r="F842">
        <v>9015884123</v>
      </c>
      <c r="G842">
        <v>407</v>
      </c>
      <c r="H842" t="s">
        <v>1415</v>
      </c>
      <c r="I842">
        <v>0</v>
      </c>
      <c r="J842" t="s">
        <v>1416</v>
      </c>
      <c r="K842" t="s">
        <v>8</v>
      </c>
      <c r="L842" t="s">
        <v>15</v>
      </c>
      <c r="M842" t="s">
        <v>9</v>
      </c>
      <c r="N842" t="s">
        <v>14</v>
      </c>
      <c r="O842" s="2">
        <v>0</v>
      </c>
      <c r="P842" s="3">
        <v>1039.5719999999999</v>
      </c>
      <c r="Q842" s="1">
        <v>46033</v>
      </c>
      <c r="R842" s="1">
        <v>45992</v>
      </c>
      <c r="S842" s="1">
        <v>46022</v>
      </c>
      <c r="V842" s="8">
        <v>1</v>
      </c>
      <c r="W842" t="s">
        <v>24</v>
      </c>
      <c r="X842" t="s">
        <v>1417</v>
      </c>
      <c r="Y842" t="s">
        <v>1418</v>
      </c>
      <c r="Z842" t="s">
        <v>11</v>
      </c>
      <c r="AA842">
        <v>62371</v>
      </c>
      <c r="AB842">
        <v>17423957</v>
      </c>
      <c r="AC842">
        <v>0</v>
      </c>
      <c r="AD842" s="8"/>
    </row>
    <row r="843" spans="1:30" x14ac:dyDescent="0.3">
      <c r="A843" t="s">
        <v>1627</v>
      </c>
      <c r="B843">
        <v>1418638</v>
      </c>
      <c r="D843" t="s">
        <v>7</v>
      </c>
      <c r="E843">
        <v>946651</v>
      </c>
      <c r="F843">
        <v>9015884123</v>
      </c>
      <c r="G843">
        <v>452</v>
      </c>
      <c r="H843" t="s">
        <v>1419</v>
      </c>
      <c r="I843">
        <v>0</v>
      </c>
      <c r="J843" t="s">
        <v>1420</v>
      </c>
      <c r="K843" t="s">
        <v>8</v>
      </c>
      <c r="L843" t="s">
        <v>18</v>
      </c>
      <c r="M843" t="s">
        <v>9</v>
      </c>
      <c r="N843" t="s">
        <v>14</v>
      </c>
      <c r="O843" s="2">
        <v>-2.4300000000000002</v>
      </c>
      <c r="P843" s="3">
        <v>0</v>
      </c>
      <c r="Q843" s="1">
        <v>46033</v>
      </c>
      <c r="R843" s="1">
        <v>45992</v>
      </c>
      <c r="S843" s="1">
        <v>46022</v>
      </c>
      <c r="V843" s="8">
        <v>1</v>
      </c>
      <c r="W843" t="s">
        <v>24</v>
      </c>
      <c r="X843" t="s">
        <v>1421</v>
      </c>
      <c r="Y843" t="s">
        <v>37</v>
      </c>
      <c r="Z843" t="s">
        <v>11</v>
      </c>
      <c r="AA843">
        <v>62371</v>
      </c>
      <c r="AB843">
        <v>21491085</v>
      </c>
      <c r="AC843">
        <v>1</v>
      </c>
      <c r="AD843" s="8"/>
    </row>
    <row r="844" spans="1:30" x14ac:dyDescent="0.3">
      <c r="A844" t="s">
        <v>1627</v>
      </c>
      <c r="B844">
        <v>1377790</v>
      </c>
      <c r="D844" t="s">
        <v>7</v>
      </c>
      <c r="E844">
        <v>945957</v>
      </c>
      <c r="F844">
        <v>9015884123</v>
      </c>
      <c r="G844">
        <v>196</v>
      </c>
      <c r="H844" t="s">
        <v>1202</v>
      </c>
      <c r="I844">
        <v>0</v>
      </c>
      <c r="J844" t="s">
        <v>1203</v>
      </c>
      <c r="K844" t="s">
        <v>8</v>
      </c>
      <c r="L844" t="s">
        <v>18</v>
      </c>
      <c r="M844" t="s">
        <v>9</v>
      </c>
      <c r="N844" t="s">
        <v>14</v>
      </c>
      <c r="O844" s="2">
        <v>1.68</v>
      </c>
      <c r="P844" s="3">
        <v>0</v>
      </c>
      <c r="Q844" s="1">
        <v>46033</v>
      </c>
      <c r="R844" s="1">
        <v>45992</v>
      </c>
      <c r="S844" s="1">
        <v>46022</v>
      </c>
      <c r="V844" s="8">
        <v>1</v>
      </c>
      <c r="W844" t="s">
        <v>24</v>
      </c>
      <c r="X844" t="s">
        <v>1204</v>
      </c>
      <c r="Y844" t="s">
        <v>10</v>
      </c>
      <c r="Z844" t="s">
        <v>11</v>
      </c>
      <c r="AA844">
        <v>62371</v>
      </c>
      <c r="AB844">
        <v>17161448</v>
      </c>
      <c r="AC844">
        <v>0</v>
      </c>
      <c r="AD844" s="8"/>
    </row>
    <row r="845" spans="1:30" x14ac:dyDescent="0.3">
      <c r="A845" t="s">
        <v>1627</v>
      </c>
      <c r="B845">
        <v>1377793</v>
      </c>
      <c r="D845" t="s">
        <v>7</v>
      </c>
      <c r="E845">
        <v>945963</v>
      </c>
      <c r="F845">
        <v>9015884123</v>
      </c>
      <c r="G845">
        <v>199</v>
      </c>
      <c r="H845" t="s">
        <v>323</v>
      </c>
      <c r="I845">
        <v>0</v>
      </c>
      <c r="J845" t="s">
        <v>324</v>
      </c>
      <c r="K845" t="s">
        <v>8</v>
      </c>
      <c r="L845" t="s">
        <v>15</v>
      </c>
      <c r="M845" t="s">
        <v>9</v>
      </c>
      <c r="N845" t="s">
        <v>14</v>
      </c>
      <c r="O845" s="2">
        <v>0</v>
      </c>
      <c r="P845" s="3">
        <v>32731.256000000001</v>
      </c>
      <c r="Q845" s="1">
        <v>46033</v>
      </c>
      <c r="R845" s="1">
        <v>45992</v>
      </c>
      <c r="S845" s="1">
        <v>46022</v>
      </c>
      <c r="V845" s="8">
        <v>2</v>
      </c>
      <c r="W845" t="s">
        <v>24</v>
      </c>
      <c r="X845" t="s">
        <v>325</v>
      </c>
      <c r="Y845" t="s">
        <v>10</v>
      </c>
      <c r="Z845" t="s">
        <v>11</v>
      </c>
      <c r="AA845">
        <v>62371</v>
      </c>
      <c r="AB845">
        <v>19373024</v>
      </c>
      <c r="AC845">
        <v>1</v>
      </c>
      <c r="AD845" s="8"/>
    </row>
    <row r="846" spans="1:30" x14ac:dyDescent="0.3">
      <c r="A846" t="s">
        <v>1627</v>
      </c>
      <c r="B846">
        <v>1377620</v>
      </c>
      <c r="D846" t="s">
        <v>7</v>
      </c>
      <c r="E846">
        <v>945948</v>
      </c>
      <c r="F846">
        <v>9015884123</v>
      </c>
      <c r="G846">
        <v>192</v>
      </c>
      <c r="H846" t="s">
        <v>337</v>
      </c>
      <c r="I846">
        <v>0</v>
      </c>
      <c r="J846" t="s">
        <v>338</v>
      </c>
      <c r="K846" t="s">
        <v>8</v>
      </c>
      <c r="L846" t="s">
        <v>18</v>
      </c>
      <c r="M846" t="s">
        <v>9</v>
      </c>
      <c r="N846" t="s">
        <v>14</v>
      </c>
      <c r="O846" s="2">
        <v>-0.76</v>
      </c>
      <c r="P846" s="3">
        <v>0</v>
      </c>
      <c r="Q846" s="1">
        <v>46033</v>
      </c>
      <c r="R846" s="1">
        <v>45992</v>
      </c>
      <c r="S846" s="1">
        <v>46022</v>
      </c>
      <c r="V846" s="8">
        <v>1</v>
      </c>
      <c r="W846" t="s">
        <v>24</v>
      </c>
      <c r="X846" t="s">
        <v>339</v>
      </c>
      <c r="Y846" t="s">
        <v>10</v>
      </c>
      <c r="Z846" t="s">
        <v>11</v>
      </c>
      <c r="AA846">
        <v>62371</v>
      </c>
      <c r="AB846">
        <v>18884431</v>
      </c>
      <c r="AC846">
        <v>0</v>
      </c>
      <c r="AD846" s="8"/>
    </row>
    <row r="847" spans="1:30" x14ac:dyDescent="0.3">
      <c r="A847" t="s">
        <v>1627</v>
      </c>
      <c r="B847">
        <v>1411985</v>
      </c>
      <c r="D847" t="s">
        <v>7</v>
      </c>
      <c r="E847">
        <v>946370</v>
      </c>
      <c r="F847">
        <v>9015884123</v>
      </c>
      <c r="G847">
        <v>358</v>
      </c>
      <c r="H847" t="s">
        <v>858</v>
      </c>
      <c r="I847">
        <v>0</v>
      </c>
      <c r="J847" t="s">
        <v>859</v>
      </c>
      <c r="K847" t="s">
        <v>8</v>
      </c>
      <c r="L847" t="s">
        <v>18</v>
      </c>
      <c r="M847" t="s">
        <v>9</v>
      </c>
      <c r="N847" t="s">
        <v>14</v>
      </c>
      <c r="O847" s="2">
        <v>3.5</v>
      </c>
      <c r="P847" s="3">
        <v>0</v>
      </c>
      <c r="Q847" s="1">
        <v>46033</v>
      </c>
      <c r="R847" s="1">
        <v>45992</v>
      </c>
      <c r="S847" s="1">
        <v>46022</v>
      </c>
      <c r="V847" s="8">
        <v>1</v>
      </c>
      <c r="W847" t="s">
        <v>24</v>
      </c>
      <c r="X847" t="s">
        <v>860</v>
      </c>
      <c r="Y847" t="s">
        <v>861</v>
      </c>
      <c r="Z847" t="s">
        <v>11</v>
      </c>
      <c r="AA847">
        <v>62371</v>
      </c>
      <c r="AB847">
        <v>21427989</v>
      </c>
      <c r="AC847">
        <v>0</v>
      </c>
      <c r="AD847" s="8"/>
    </row>
    <row r="848" spans="1:30" x14ac:dyDescent="0.3">
      <c r="A848" t="s">
        <v>1627</v>
      </c>
      <c r="B848">
        <v>1411985</v>
      </c>
      <c r="D848" t="s">
        <v>7</v>
      </c>
      <c r="E848">
        <v>946370</v>
      </c>
      <c r="F848">
        <v>9015884123</v>
      </c>
      <c r="G848">
        <v>358</v>
      </c>
      <c r="H848" t="s">
        <v>858</v>
      </c>
      <c r="I848">
        <v>0</v>
      </c>
      <c r="J848" t="s">
        <v>859</v>
      </c>
      <c r="K848" t="s">
        <v>8</v>
      </c>
      <c r="L848" t="s">
        <v>19</v>
      </c>
      <c r="M848" t="s">
        <v>9</v>
      </c>
      <c r="N848" t="s">
        <v>14</v>
      </c>
      <c r="O848" s="2">
        <v>7639.69</v>
      </c>
      <c r="P848" s="3">
        <v>38.664000000000001</v>
      </c>
      <c r="Q848" s="1">
        <v>46033</v>
      </c>
      <c r="R848" s="1">
        <v>45992</v>
      </c>
      <c r="S848" s="1">
        <v>46022</v>
      </c>
      <c r="V848" s="8">
        <v>1</v>
      </c>
      <c r="W848" t="s">
        <v>24</v>
      </c>
      <c r="X848" t="s">
        <v>860</v>
      </c>
      <c r="Y848" t="s">
        <v>861</v>
      </c>
      <c r="Z848" t="s">
        <v>11</v>
      </c>
      <c r="AA848">
        <v>62371</v>
      </c>
      <c r="AB848">
        <v>21427989</v>
      </c>
      <c r="AC848">
        <v>0</v>
      </c>
      <c r="AD848" s="8"/>
    </row>
    <row r="849" spans="1:30" x14ac:dyDescent="0.3">
      <c r="A849" t="s">
        <v>1627</v>
      </c>
      <c r="B849">
        <v>1415114</v>
      </c>
      <c r="D849" t="s">
        <v>7</v>
      </c>
      <c r="E849">
        <v>946493</v>
      </c>
      <c r="F849">
        <v>9015884123</v>
      </c>
      <c r="G849">
        <v>402</v>
      </c>
      <c r="H849" t="s">
        <v>333</v>
      </c>
      <c r="I849">
        <v>0</v>
      </c>
      <c r="J849" t="s">
        <v>334</v>
      </c>
      <c r="K849" t="s">
        <v>8</v>
      </c>
      <c r="L849" t="s">
        <v>15</v>
      </c>
      <c r="M849" t="s">
        <v>9</v>
      </c>
      <c r="N849" t="s">
        <v>14</v>
      </c>
      <c r="O849" s="2">
        <v>0</v>
      </c>
      <c r="P849" s="3">
        <v>958.846</v>
      </c>
      <c r="Q849" s="1">
        <v>46033</v>
      </c>
      <c r="R849" s="1">
        <v>45992</v>
      </c>
      <c r="S849" s="1">
        <v>46022</v>
      </c>
      <c r="V849" s="8">
        <v>1</v>
      </c>
      <c r="W849" t="s">
        <v>24</v>
      </c>
      <c r="X849" t="s">
        <v>335</v>
      </c>
      <c r="Y849" t="s">
        <v>336</v>
      </c>
      <c r="Z849" t="s">
        <v>11</v>
      </c>
      <c r="AA849">
        <v>62371</v>
      </c>
      <c r="AB849">
        <v>19445714</v>
      </c>
      <c r="AC849">
        <v>0</v>
      </c>
      <c r="AD849" s="8"/>
    </row>
    <row r="850" spans="1:30" x14ac:dyDescent="0.3">
      <c r="A850" t="s">
        <v>1627</v>
      </c>
      <c r="B850">
        <v>1408500</v>
      </c>
      <c r="D850" t="s">
        <v>7</v>
      </c>
      <c r="E850">
        <v>946332</v>
      </c>
      <c r="F850">
        <v>9015884123</v>
      </c>
      <c r="G850">
        <v>339</v>
      </c>
      <c r="H850" t="s">
        <v>862</v>
      </c>
      <c r="I850">
        <v>0</v>
      </c>
      <c r="J850" t="s">
        <v>863</v>
      </c>
      <c r="K850" t="s">
        <v>8</v>
      </c>
      <c r="L850" t="s">
        <v>19</v>
      </c>
      <c r="M850" t="s">
        <v>9</v>
      </c>
      <c r="N850" t="s">
        <v>14</v>
      </c>
      <c r="O850" s="2">
        <v>21883.48</v>
      </c>
      <c r="P850" s="3">
        <v>110.751</v>
      </c>
      <c r="Q850" s="1">
        <v>46033</v>
      </c>
      <c r="R850" s="1">
        <v>45992</v>
      </c>
      <c r="S850" s="1">
        <v>46022</v>
      </c>
      <c r="V850" s="8">
        <v>1</v>
      </c>
      <c r="W850" t="s">
        <v>24</v>
      </c>
      <c r="X850" t="s">
        <v>864</v>
      </c>
      <c r="Y850" t="s">
        <v>41</v>
      </c>
      <c r="Z850" t="s">
        <v>11</v>
      </c>
      <c r="AA850">
        <v>62371</v>
      </c>
      <c r="AB850">
        <v>17708078</v>
      </c>
      <c r="AC850">
        <v>0</v>
      </c>
      <c r="AD850" s="8"/>
    </row>
    <row r="851" spans="1:30" x14ac:dyDescent="0.3">
      <c r="A851" t="s">
        <v>1627</v>
      </c>
      <c r="B851">
        <v>1413684</v>
      </c>
      <c r="D851" t="s">
        <v>7</v>
      </c>
      <c r="E851">
        <v>946576</v>
      </c>
      <c r="F851">
        <v>9015884123</v>
      </c>
      <c r="G851">
        <v>428</v>
      </c>
      <c r="H851" t="s">
        <v>1409</v>
      </c>
      <c r="I851">
        <v>0</v>
      </c>
      <c r="J851" t="s">
        <v>1410</v>
      </c>
      <c r="K851" t="s">
        <v>8</v>
      </c>
      <c r="L851" t="s">
        <v>15</v>
      </c>
      <c r="M851" t="s">
        <v>9</v>
      </c>
      <c r="N851" t="s">
        <v>14</v>
      </c>
      <c r="O851" s="2">
        <v>0</v>
      </c>
      <c r="P851" s="3">
        <v>2174.2809999999999</v>
      </c>
      <c r="Q851" s="1">
        <v>46033</v>
      </c>
      <c r="R851" s="1">
        <v>45992</v>
      </c>
      <c r="S851" s="1">
        <v>46022</v>
      </c>
      <c r="V851" s="8">
        <v>1</v>
      </c>
      <c r="W851" t="s">
        <v>24</v>
      </c>
      <c r="X851" t="s">
        <v>1411</v>
      </c>
      <c r="Y851" t="s">
        <v>56</v>
      </c>
      <c r="Z851" t="s">
        <v>11</v>
      </c>
      <c r="AA851">
        <v>62371</v>
      </c>
      <c r="AB851">
        <v>21385425</v>
      </c>
      <c r="AC851">
        <v>0</v>
      </c>
      <c r="AD851" s="8"/>
    </row>
    <row r="852" spans="1:30" x14ac:dyDescent="0.3">
      <c r="A852" t="s">
        <v>1627</v>
      </c>
      <c r="B852">
        <v>1415558</v>
      </c>
      <c r="D852" t="s">
        <v>7</v>
      </c>
      <c r="E852">
        <v>946503</v>
      </c>
      <c r="F852">
        <v>9015884123</v>
      </c>
      <c r="G852">
        <v>406</v>
      </c>
      <c r="H852" t="s">
        <v>1422</v>
      </c>
      <c r="I852">
        <v>0</v>
      </c>
      <c r="J852" t="s">
        <v>1423</v>
      </c>
      <c r="K852" t="s">
        <v>8</v>
      </c>
      <c r="L852" t="s">
        <v>15</v>
      </c>
      <c r="M852" t="s">
        <v>9</v>
      </c>
      <c r="N852" t="s">
        <v>14</v>
      </c>
      <c r="O852" s="2">
        <v>0</v>
      </c>
      <c r="P852" s="3">
        <v>255.90299999999999</v>
      </c>
      <c r="Q852" s="1">
        <v>46033</v>
      </c>
      <c r="R852" s="1">
        <v>45992</v>
      </c>
      <c r="S852" s="1">
        <v>46022</v>
      </c>
      <c r="V852" s="8">
        <v>1</v>
      </c>
      <c r="W852" t="s">
        <v>24</v>
      </c>
      <c r="X852" t="s">
        <v>1424</v>
      </c>
      <c r="Y852" t="s">
        <v>45</v>
      </c>
      <c r="Z852" t="s">
        <v>11</v>
      </c>
      <c r="AA852">
        <v>62371</v>
      </c>
      <c r="AB852">
        <v>18410124</v>
      </c>
      <c r="AC852">
        <v>0</v>
      </c>
      <c r="AD852" s="8"/>
    </row>
    <row r="853" spans="1:30" x14ac:dyDescent="0.3">
      <c r="A853" t="s">
        <v>1627</v>
      </c>
      <c r="B853">
        <v>1379402</v>
      </c>
      <c r="D853" t="s">
        <v>7</v>
      </c>
      <c r="E853">
        <v>945971</v>
      </c>
      <c r="F853">
        <v>9015884123</v>
      </c>
      <c r="G853">
        <v>204</v>
      </c>
      <c r="H853" t="s">
        <v>1211</v>
      </c>
      <c r="I853">
        <v>0</v>
      </c>
      <c r="J853" t="s">
        <v>1212</v>
      </c>
      <c r="K853" t="s">
        <v>8</v>
      </c>
      <c r="L853" t="s">
        <v>15</v>
      </c>
      <c r="M853" t="s">
        <v>9</v>
      </c>
      <c r="N853" t="s">
        <v>14</v>
      </c>
      <c r="O853" s="2">
        <v>0</v>
      </c>
      <c r="P853" s="3">
        <v>3211.779</v>
      </c>
      <c r="Q853" s="1">
        <v>46033</v>
      </c>
      <c r="R853" s="1">
        <v>45992</v>
      </c>
      <c r="S853" s="1">
        <v>46022</v>
      </c>
      <c r="V853" s="8">
        <v>1</v>
      </c>
      <c r="W853" t="s">
        <v>24</v>
      </c>
      <c r="X853" t="s">
        <v>1213</v>
      </c>
      <c r="Y853" t="s">
        <v>10</v>
      </c>
      <c r="Z853" t="s">
        <v>11</v>
      </c>
      <c r="AA853">
        <v>62371</v>
      </c>
      <c r="AB853">
        <v>21177723</v>
      </c>
      <c r="AC853">
        <v>0</v>
      </c>
      <c r="AD853" s="8"/>
    </row>
    <row r="854" spans="1:30" x14ac:dyDescent="0.3">
      <c r="A854" t="s">
        <v>1627</v>
      </c>
      <c r="B854">
        <v>1395781</v>
      </c>
      <c r="D854" t="s">
        <v>7</v>
      </c>
      <c r="E854">
        <v>946055</v>
      </c>
      <c r="F854">
        <v>9015884123</v>
      </c>
      <c r="G854">
        <v>239</v>
      </c>
      <c r="H854" t="s">
        <v>1226</v>
      </c>
      <c r="I854">
        <v>0</v>
      </c>
      <c r="J854" t="s">
        <v>1227</v>
      </c>
      <c r="K854" t="s">
        <v>8</v>
      </c>
      <c r="L854" t="s">
        <v>15</v>
      </c>
      <c r="M854" t="s">
        <v>9</v>
      </c>
      <c r="N854" t="s">
        <v>14</v>
      </c>
      <c r="O854" s="2">
        <v>0</v>
      </c>
      <c r="P854" s="3">
        <v>13494.675999999999</v>
      </c>
      <c r="Q854" s="1">
        <v>46033</v>
      </c>
      <c r="R854" s="1">
        <v>45992</v>
      </c>
      <c r="S854" s="1">
        <v>46022</v>
      </c>
      <c r="V854" s="8">
        <v>1</v>
      </c>
      <c r="W854" t="s">
        <v>24</v>
      </c>
      <c r="X854" t="s">
        <v>1228</v>
      </c>
      <c r="Y854" t="s">
        <v>10</v>
      </c>
      <c r="Z854" t="s">
        <v>11</v>
      </c>
      <c r="AA854">
        <v>62371</v>
      </c>
      <c r="AB854">
        <v>21388849</v>
      </c>
      <c r="AC854">
        <v>1</v>
      </c>
      <c r="AD854" s="8"/>
    </row>
    <row r="855" spans="1:30" x14ac:dyDescent="0.3">
      <c r="A855" t="s">
        <v>1627</v>
      </c>
      <c r="B855">
        <v>1379402</v>
      </c>
      <c r="D855" t="s">
        <v>7</v>
      </c>
      <c r="E855">
        <v>945971</v>
      </c>
      <c r="F855">
        <v>9015884123</v>
      </c>
      <c r="G855">
        <v>204</v>
      </c>
      <c r="H855" t="s">
        <v>1211</v>
      </c>
      <c r="I855">
        <v>0</v>
      </c>
      <c r="J855" t="s">
        <v>1212</v>
      </c>
      <c r="K855" t="s">
        <v>8</v>
      </c>
      <c r="L855" t="s">
        <v>19</v>
      </c>
      <c r="M855" t="s">
        <v>9</v>
      </c>
      <c r="N855" t="s">
        <v>14</v>
      </c>
      <c r="O855" s="2">
        <v>170048.65</v>
      </c>
      <c r="P855" s="3">
        <v>860.60599999999999</v>
      </c>
      <c r="Q855" s="1">
        <v>46033</v>
      </c>
      <c r="R855" s="1">
        <v>45992</v>
      </c>
      <c r="S855" s="1">
        <v>46022</v>
      </c>
      <c r="V855" s="8">
        <v>1</v>
      </c>
      <c r="W855" t="s">
        <v>24</v>
      </c>
      <c r="X855" t="s">
        <v>1213</v>
      </c>
      <c r="Y855" t="s">
        <v>10</v>
      </c>
      <c r="Z855" t="s">
        <v>11</v>
      </c>
      <c r="AA855">
        <v>62371</v>
      </c>
      <c r="AB855">
        <v>21177723</v>
      </c>
      <c r="AC855">
        <v>0</v>
      </c>
      <c r="AD855" s="8"/>
    </row>
    <row r="856" spans="1:30" x14ac:dyDescent="0.3">
      <c r="A856" t="s">
        <v>1627</v>
      </c>
      <c r="B856">
        <v>1395796</v>
      </c>
      <c r="D856" t="s">
        <v>7</v>
      </c>
      <c r="E856">
        <v>946064</v>
      </c>
      <c r="F856">
        <v>9015884123</v>
      </c>
      <c r="G856">
        <v>243</v>
      </c>
      <c r="H856" t="s">
        <v>1425</v>
      </c>
      <c r="I856">
        <v>0</v>
      </c>
      <c r="J856" t="s">
        <v>1426</v>
      </c>
      <c r="K856" t="s">
        <v>8</v>
      </c>
      <c r="L856" t="s">
        <v>15</v>
      </c>
      <c r="M856" t="s">
        <v>9</v>
      </c>
      <c r="N856" t="s">
        <v>14</v>
      </c>
      <c r="O856" s="2">
        <v>0</v>
      </c>
      <c r="P856" s="3">
        <v>2232.2280000000001</v>
      </c>
      <c r="Q856" s="1">
        <v>46033</v>
      </c>
      <c r="R856" s="1">
        <v>45992</v>
      </c>
      <c r="S856" s="1">
        <v>46022</v>
      </c>
      <c r="V856" s="8">
        <v>1</v>
      </c>
      <c r="W856" t="s">
        <v>24</v>
      </c>
      <c r="X856" t="s">
        <v>1427</v>
      </c>
      <c r="Y856" t="s">
        <v>10</v>
      </c>
      <c r="Z856" t="s">
        <v>11</v>
      </c>
      <c r="AA856">
        <v>62371</v>
      </c>
      <c r="AB856">
        <v>17032604</v>
      </c>
      <c r="AC856">
        <v>1</v>
      </c>
      <c r="AD856" s="8"/>
    </row>
    <row r="857" spans="1:30" x14ac:dyDescent="0.3">
      <c r="A857" t="s">
        <v>1627</v>
      </c>
      <c r="B857">
        <v>1403650</v>
      </c>
      <c r="D857" t="s">
        <v>7</v>
      </c>
      <c r="E857">
        <v>946117</v>
      </c>
      <c r="F857">
        <v>9015884123</v>
      </c>
      <c r="G857">
        <v>259</v>
      </c>
      <c r="H857" t="s">
        <v>382</v>
      </c>
      <c r="I857">
        <v>0</v>
      </c>
      <c r="J857" t="s">
        <v>383</v>
      </c>
      <c r="K857" t="s">
        <v>8</v>
      </c>
      <c r="L857" t="s">
        <v>67</v>
      </c>
      <c r="M857" t="s">
        <v>9</v>
      </c>
      <c r="N857" t="s">
        <v>14</v>
      </c>
      <c r="O857" s="2">
        <v>50736.08</v>
      </c>
      <c r="P857" s="3">
        <v>469.79700000000003</v>
      </c>
      <c r="Q857" s="1">
        <v>46033</v>
      </c>
      <c r="R857" s="1">
        <v>45992</v>
      </c>
      <c r="S857" s="1">
        <v>46022</v>
      </c>
      <c r="V857" s="8">
        <v>1</v>
      </c>
      <c r="W857" t="s">
        <v>24</v>
      </c>
      <c r="X857" t="s">
        <v>384</v>
      </c>
      <c r="Y857" t="s">
        <v>10</v>
      </c>
      <c r="Z857" t="s">
        <v>11</v>
      </c>
      <c r="AA857">
        <v>62371</v>
      </c>
      <c r="AB857">
        <v>18586820</v>
      </c>
      <c r="AC857">
        <v>1</v>
      </c>
      <c r="AD857" s="8"/>
    </row>
    <row r="858" spans="1:30" x14ac:dyDescent="0.3">
      <c r="A858" t="s">
        <v>1627</v>
      </c>
      <c r="B858">
        <v>1403606</v>
      </c>
      <c r="D858" t="s">
        <v>7</v>
      </c>
      <c r="E858">
        <v>946110</v>
      </c>
      <c r="F858">
        <v>9015884123</v>
      </c>
      <c r="G858">
        <v>257</v>
      </c>
      <c r="H858" t="s">
        <v>1229</v>
      </c>
      <c r="I858">
        <v>0</v>
      </c>
      <c r="J858" t="s">
        <v>1230</v>
      </c>
      <c r="K858" t="s">
        <v>8</v>
      </c>
      <c r="L858" t="s">
        <v>15</v>
      </c>
      <c r="M858" t="s">
        <v>9</v>
      </c>
      <c r="N858" t="s">
        <v>14</v>
      </c>
      <c r="O858" s="2">
        <v>0</v>
      </c>
      <c r="P858" s="3">
        <v>2870.4850000000001</v>
      </c>
      <c r="Q858" s="1">
        <v>46033</v>
      </c>
      <c r="R858" s="1">
        <v>45992</v>
      </c>
      <c r="S858" s="1">
        <v>46022</v>
      </c>
      <c r="V858" s="8">
        <v>1</v>
      </c>
      <c r="W858" t="s">
        <v>24</v>
      </c>
      <c r="X858" t="s">
        <v>1231</v>
      </c>
      <c r="Y858" t="s">
        <v>10</v>
      </c>
      <c r="Z858" t="s">
        <v>11</v>
      </c>
      <c r="AA858">
        <v>62371</v>
      </c>
      <c r="AB858">
        <v>17045364</v>
      </c>
      <c r="AC858">
        <v>1</v>
      </c>
      <c r="AD858" s="8"/>
    </row>
    <row r="859" spans="1:30" x14ac:dyDescent="0.3">
      <c r="A859" t="s">
        <v>1627</v>
      </c>
      <c r="B859">
        <v>1403649</v>
      </c>
      <c r="D859" t="s">
        <v>7</v>
      </c>
      <c r="E859">
        <v>946120</v>
      </c>
      <c r="F859">
        <v>9015884123</v>
      </c>
      <c r="G859">
        <v>260</v>
      </c>
      <c r="H859" t="s">
        <v>1428</v>
      </c>
      <c r="I859">
        <v>0</v>
      </c>
      <c r="J859" t="s">
        <v>1429</v>
      </c>
      <c r="K859" t="s">
        <v>8</v>
      </c>
      <c r="L859" t="s">
        <v>18</v>
      </c>
      <c r="M859" t="s">
        <v>9</v>
      </c>
      <c r="N859" t="s">
        <v>14</v>
      </c>
      <c r="O859" s="2">
        <v>1.72</v>
      </c>
      <c r="P859" s="3">
        <v>0</v>
      </c>
      <c r="Q859" s="1">
        <v>46033</v>
      </c>
      <c r="R859" s="1">
        <v>45992</v>
      </c>
      <c r="S859" s="1">
        <v>46022</v>
      </c>
      <c r="V859" s="8">
        <v>1</v>
      </c>
      <c r="W859" t="s">
        <v>24</v>
      </c>
      <c r="X859" t="s">
        <v>1430</v>
      </c>
      <c r="Y859" t="s">
        <v>10</v>
      </c>
      <c r="Z859" t="s">
        <v>11</v>
      </c>
      <c r="AA859">
        <v>62371</v>
      </c>
      <c r="AB859">
        <v>19394686</v>
      </c>
      <c r="AC859">
        <v>0</v>
      </c>
      <c r="AD859" s="8"/>
    </row>
    <row r="860" spans="1:30" x14ac:dyDescent="0.3">
      <c r="A860" t="s">
        <v>1627</v>
      </c>
      <c r="B860">
        <v>1403655</v>
      </c>
      <c r="D860" t="s">
        <v>7</v>
      </c>
      <c r="E860">
        <v>946126</v>
      </c>
      <c r="F860">
        <v>9015884123</v>
      </c>
      <c r="G860">
        <v>262</v>
      </c>
      <c r="H860" t="s">
        <v>1232</v>
      </c>
      <c r="I860">
        <v>0</v>
      </c>
      <c r="J860" t="s">
        <v>1233</v>
      </c>
      <c r="K860" t="s">
        <v>8</v>
      </c>
      <c r="L860" t="s">
        <v>19</v>
      </c>
      <c r="M860" t="s">
        <v>9</v>
      </c>
      <c r="N860" t="s">
        <v>14</v>
      </c>
      <c r="O860" s="2">
        <v>2210.7600000000002</v>
      </c>
      <c r="P860" s="3">
        <v>13.55</v>
      </c>
      <c r="Q860" s="1">
        <v>46033</v>
      </c>
      <c r="R860" s="1">
        <v>45992</v>
      </c>
      <c r="S860" s="1">
        <v>46022</v>
      </c>
      <c r="V860" s="8">
        <v>1</v>
      </c>
      <c r="W860" t="s">
        <v>24</v>
      </c>
      <c r="X860" t="s">
        <v>1234</v>
      </c>
      <c r="Y860" t="s">
        <v>10</v>
      </c>
      <c r="Z860" t="s">
        <v>11</v>
      </c>
      <c r="AA860">
        <v>62371</v>
      </c>
      <c r="AB860">
        <v>18164113</v>
      </c>
      <c r="AC860">
        <v>1</v>
      </c>
      <c r="AD860" s="8"/>
    </row>
    <row r="861" spans="1:30" x14ac:dyDescent="0.3">
      <c r="A861" t="s">
        <v>1627</v>
      </c>
      <c r="B861">
        <v>1403797</v>
      </c>
      <c r="D861" t="s">
        <v>7</v>
      </c>
      <c r="E861">
        <v>946173</v>
      </c>
      <c r="F861">
        <v>9015884123</v>
      </c>
      <c r="G861">
        <v>275</v>
      </c>
      <c r="H861" t="s">
        <v>895</v>
      </c>
      <c r="I861">
        <v>0</v>
      </c>
      <c r="J861" t="s">
        <v>896</v>
      </c>
      <c r="K861" t="s">
        <v>8</v>
      </c>
      <c r="L861" t="s">
        <v>18</v>
      </c>
      <c r="M861" t="s">
        <v>9</v>
      </c>
      <c r="N861" t="s">
        <v>14</v>
      </c>
      <c r="O861" s="2">
        <v>-0.28000000000000003</v>
      </c>
      <c r="P861" s="3">
        <v>0</v>
      </c>
      <c r="Q861" s="1">
        <v>46033</v>
      </c>
      <c r="R861" s="1">
        <v>45992</v>
      </c>
      <c r="S861" s="1">
        <v>46022</v>
      </c>
      <c r="V861" s="8">
        <v>1</v>
      </c>
      <c r="W861" t="s">
        <v>24</v>
      </c>
      <c r="X861" t="s">
        <v>897</v>
      </c>
      <c r="Y861" t="s">
        <v>10</v>
      </c>
      <c r="Z861" t="s">
        <v>11</v>
      </c>
      <c r="AA861">
        <v>62371</v>
      </c>
      <c r="AB861">
        <v>19315017</v>
      </c>
      <c r="AC861">
        <v>0</v>
      </c>
      <c r="AD861" s="8"/>
    </row>
    <row r="862" spans="1:30" x14ac:dyDescent="0.3">
      <c r="A862" t="s">
        <v>1627</v>
      </c>
      <c r="B862">
        <v>1406176</v>
      </c>
      <c r="D862" t="s">
        <v>7</v>
      </c>
      <c r="E862">
        <v>946283</v>
      </c>
      <c r="F862">
        <v>9015884123</v>
      </c>
      <c r="G862">
        <v>314</v>
      </c>
      <c r="H862" t="s">
        <v>1244</v>
      </c>
      <c r="I862">
        <v>0</v>
      </c>
      <c r="J862" t="s">
        <v>1245</v>
      </c>
      <c r="K862" t="s">
        <v>8</v>
      </c>
      <c r="L862" t="s">
        <v>19</v>
      </c>
      <c r="M862" t="s">
        <v>9</v>
      </c>
      <c r="N862" t="s">
        <v>14</v>
      </c>
      <c r="O862" s="2">
        <v>11753.75</v>
      </c>
      <c r="P862" s="3">
        <v>59.484999999999999</v>
      </c>
      <c r="Q862" s="1">
        <v>46033</v>
      </c>
      <c r="R862" s="1">
        <v>45992</v>
      </c>
      <c r="S862" s="1">
        <v>46022</v>
      </c>
      <c r="V862" s="8">
        <v>1</v>
      </c>
      <c r="W862" t="s">
        <v>24</v>
      </c>
      <c r="X862" t="s">
        <v>1246</v>
      </c>
      <c r="Y862" t="s">
        <v>10</v>
      </c>
      <c r="Z862" t="s">
        <v>11</v>
      </c>
      <c r="AA862">
        <v>62371</v>
      </c>
      <c r="AB862">
        <v>18897363</v>
      </c>
      <c r="AC862">
        <v>0</v>
      </c>
      <c r="AD862" s="8"/>
    </row>
    <row r="863" spans="1:30" x14ac:dyDescent="0.3">
      <c r="A863" t="s">
        <v>1627</v>
      </c>
      <c r="B863">
        <v>1406170</v>
      </c>
      <c r="D863" t="s">
        <v>7</v>
      </c>
      <c r="E863">
        <v>946276</v>
      </c>
      <c r="F863">
        <v>9015884123</v>
      </c>
      <c r="G863">
        <v>311</v>
      </c>
      <c r="H863" t="s">
        <v>1431</v>
      </c>
      <c r="I863">
        <v>0</v>
      </c>
      <c r="J863" t="s">
        <v>1432</v>
      </c>
      <c r="K863" t="s">
        <v>8</v>
      </c>
      <c r="L863" t="s">
        <v>18</v>
      </c>
      <c r="M863" t="s">
        <v>9</v>
      </c>
      <c r="N863" t="s">
        <v>14</v>
      </c>
      <c r="O863" s="2">
        <v>3.2</v>
      </c>
      <c r="P863" s="3">
        <v>0</v>
      </c>
      <c r="Q863" s="1">
        <v>46033</v>
      </c>
      <c r="R863" s="1">
        <v>45992</v>
      </c>
      <c r="S863" s="1">
        <v>46022</v>
      </c>
      <c r="V863" s="8">
        <v>1</v>
      </c>
      <c r="W863" t="s">
        <v>24</v>
      </c>
      <c r="X863" t="s">
        <v>1433</v>
      </c>
      <c r="Y863" t="s">
        <v>10</v>
      </c>
      <c r="Z863" t="s">
        <v>11</v>
      </c>
      <c r="AA863">
        <v>62371</v>
      </c>
      <c r="AB863">
        <v>19391038</v>
      </c>
      <c r="AC863">
        <v>0</v>
      </c>
      <c r="AD863" s="8"/>
    </row>
    <row r="864" spans="1:30" x14ac:dyDescent="0.3">
      <c r="A864" t="s">
        <v>1627</v>
      </c>
      <c r="B864">
        <v>1406172</v>
      </c>
      <c r="D864" t="s">
        <v>7</v>
      </c>
      <c r="E864">
        <v>946279</v>
      </c>
      <c r="F864">
        <v>9015884123</v>
      </c>
      <c r="G864">
        <v>312</v>
      </c>
      <c r="H864" t="s">
        <v>904</v>
      </c>
      <c r="I864">
        <v>0</v>
      </c>
      <c r="J864" t="s">
        <v>905</v>
      </c>
      <c r="K864" t="s">
        <v>8</v>
      </c>
      <c r="L864" t="s">
        <v>18</v>
      </c>
      <c r="M864" t="s">
        <v>9</v>
      </c>
      <c r="N864" t="s">
        <v>14</v>
      </c>
      <c r="O864" s="2">
        <v>-1.05</v>
      </c>
      <c r="P864" s="3">
        <v>0</v>
      </c>
      <c r="Q864" s="1">
        <v>46033</v>
      </c>
      <c r="R864" s="1">
        <v>45992</v>
      </c>
      <c r="S864" s="1">
        <v>46022</v>
      </c>
      <c r="V864" s="8">
        <v>1</v>
      </c>
      <c r="W864" t="s">
        <v>24</v>
      </c>
      <c r="X864" t="s">
        <v>906</v>
      </c>
      <c r="Y864" t="s">
        <v>10</v>
      </c>
      <c r="Z864" t="s">
        <v>11</v>
      </c>
      <c r="AA864">
        <v>62371</v>
      </c>
      <c r="AB864">
        <v>18171106</v>
      </c>
      <c r="AC864">
        <v>1</v>
      </c>
      <c r="AD864" s="8"/>
    </row>
    <row r="865" spans="1:30" x14ac:dyDescent="0.3">
      <c r="A865" t="s">
        <v>1627</v>
      </c>
      <c r="B865">
        <v>1395781</v>
      </c>
      <c r="D865" t="s">
        <v>7</v>
      </c>
      <c r="E865">
        <v>946055</v>
      </c>
      <c r="F865">
        <v>9015884123</v>
      </c>
      <c r="G865">
        <v>239</v>
      </c>
      <c r="H865" t="s">
        <v>1226</v>
      </c>
      <c r="I865">
        <v>0</v>
      </c>
      <c r="J865" t="s">
        <v>1227</v>
      </c>
      <c r="K865" t="s">
        <v>8</v>
      </c>
      <c r="L865" t="s">
        <v>67</v>
      </c>
      <c r="M865" t="s">
        <v>9</v>
      </c>
      <c r="N865" t="s">
        <v>14</v>
      </c>
      <c r="O865" s="2">
        <v>1457367.66</v>
      </c>
      <c r="P865" s="3">
        <v>13494.675999999999</v>
      </c>
      <c r="Q865" s="1">
        <v>46033</v>
      </c>
      <c r="R865" s="1">
        <v>45992</v>
      </c>
      <c r="S865" s="1">
        <v>46022</v>
      </c>
      <c r="V865" s="8">
        <v>1</v>
      </c>
      <c r="W865" t="s">
        <v>24</v>
      </c>
      <c r="X865" t="s">
        <v>1228</v>
      </c>
      <c r="Y865" t="s">
        <v>10</v>
      </c>
      <c r="Z865" t="s">
        <v>11</v>
      </c>
      <c r="AA865">
        <v>62371</v>
      </c>
      <c r="AB865">
        <v>21388849</v>
      </c>
      <c r="AC865">
        <v>1</v>
      </c>
      <c r="AD865" s="8"/>
    </row>
    <row r="866" spans="1:30" x14ac:dyDescent="0.3">
      <c r="A866" t="s">
        <v>1627</v>
      </c>
      <c r="B866">
        <v>1395796</v>
      </c>
      <c r="D866" t="s">
        <v>7</v>
      </c>
      <c r="E866">
        <v>946064</v>
      </c>
      <c r="F866">
        <v>9015884123</v>
      </c>
      <c r="G866">
        <v>243</v>
      </c>
      <c r="H866" t="s">
        <v>1425</v>
      </c>
      <c r="I866">
        <v>0</v>
      </c>
      <c r="J866" t="s">
        <v>1426</v>
      </c>
      <c r="K866" t="s">
        <v>8</v>
      </c>
      <c r="L866" t="s">
        <v>19</v>
      </c>
      <c r="M866" t="s">
        <v>9</v>
      </c>
      <c r="N866" t="s">
        <v>14</v>
      </c>
      <c r="O866" s="2">
        <v>300.37</v>
      </c>
      <c r="P866" s="3">
        <v>1.841</v>
      </c>
      <c r="Q866" s="1">
        <v>46033</v>
      </c>
      <c r="R866" s="1">
        <v>45992</v>
      </c>
      <c r="S866" s="1">
        <v>46022</v>
      </c>
      <c r="V866" s="8">
        <v>1</v>
      </c>
      <c r="W866" t="s">
        <v>24</v>
      </c>
      <c r="X866" t="s">
        <v>1427</v>
      </c>
      <c r="Y866" t="s">
        <v>10</v>
      </c>
      <c r="Z866" t="s">
        <v>11</v>
      </c>
      <c r="AA866">
        <v>62371</v>
      </c>
      <c r="AB866">
        <v>17032604</v>
      </c>
      <c r="AC866">
        <v>1</v>
      </c>
      <c r="AD866" s="8"/>
    </row>
    <row r="867" spans="1:30" x14ac:dyDescent="0.3">
      <c r="A867" t="s">
        <v>1627</v>
      </c>
      <c r="B867">
        <v>1400914</v>
      </c>
      <c r="D867" t="s">
        <v>7</v>
      </c>
      <c r="E867">
        <v>946091</v>
      </c>
      <c r="F867">
        <v>9015884123</v>
      </c>
      <c r="G867">
        <v>250</v>
      </c>
      <c r="H867" t="s">
        <v>889</v>
      </c>
      <c r="I867">
        <v>0</v>
      </c>
      <c r="J867" t="s">
        <v>890</v>
      </c>
      <c r="K867" t="s">
        <v>8</v>
      </c>
      <c r="L867" t="s">
        <v>18</v>
      </c>
      <c r="M867" t="s">
        <v>9</v>
      </c>
      <c r="N867" t="s">
        <v>14</v>
      </c>
      <c r="O867" s="2">
        <v>3.67</v>
      </c>
      <c r="P867" s="3">
        <v>0</v>
      </c>
      <c r="Q867" s="1">
        <v>46033</v>
      </c>
      <c r="R867" s="1">
        <v>45992</v>
      </c>
      <c r="S867" s="1">
        <v>46022</v>
      </c>
      <c r="V867" s="8">
        <v>2</v>
      </c>
      <c r="W867" t="s">
        <v>24</v>
      </c>
      <c r="X867" t="s">
        <v>891</v>
      </c>
      <c r="Y867" t="s">
        <v>10</v>
      </c>
      <c r="Z867" t="s">
        <v>11</v>
      </c>
      <c r="AA867">
        <v>62371</v>
      </c>
      <c r="AB867">
        <v>17184893</v>
      </c>
      <c r="AC867">
        <v>1</v>
      </c>
      <c r="AD867" s="8"/>
    </row>
    <row r="868" spans="1:30" x14ac:dyDescent="0.3">
      <c r="A868" t="s">
        <v>1627</v>
      </c>
      <c r="B868">
        <v>1403729</v>
      </c>
      <c r="D868" t="s">
        <v>7</v>
      </c>
      <c r="E868">
        <v>946162</v>
      </c>
      <c r="F868">
        <v>9015884123</v>
      </c>
      <c r="G868">
        <v>272</v>
      </c>
      <c r="H868" t="s">
        <v>1434</v>
      </c>
      <c r="I868">
        <v>0</v>
      </c>
      <c r="J868" t="s">
        <v>1435</v>
      </c>
      <c r="K868" t="s">
        <v>8</v>
      </c>
      <c r="L868" t="s">
        <v>15</v>
      </c>
      <c r="M868" t="s">
        <v>9</v>
      </c>
      <c r="N868" t="s">
        <v>14</v>
      </c>
      <c r="O868" s="2">
        <v>0</v>
      </c>
      <c r="P868" s="3">
        <v>4988.7439999999997</v>
      </c>
      <c r="Q868" s="1">
        <v>46033</v>
      </c>
      <c r="R868" s="1">
        <v>45992</v>
      </c>
      <c r="S868" s="1">
        <v>46022</v>
      </c>
      <c r="V868" s="8">
        <v>1</v>
      </c>
      <c r="W868" t="s">
        <v>24</v>
      </c>
      <c r="X868" t="s">
        <v>1436</v>
      </c>
      <c r="Y868" t="s">
        <v>10</v>
      </c>
      <c r="Z868" t="s">
        <v>11</v>
      </c>
      <c r="AA868">
        <v>62371</v>
      </c>
      <c r="AB868">
        <v>17033700</v>
      </c>
      <c r="AC868">
        <v>0</v>
      </c>
      <c r="AD868" s="8"/>
    </row>
    <row r="869" spans="1:30" x14ac:dyDescent="0.3">
      <c r="A869" t="s">
        <v>1627</v>
      </c>
      <c r="B869">
        <v>1403812</v>
      </c>
      <c r="D869" t="s">
        <v>7</v>
      </c>
      <c r="E869">
        <v>946214</v>
      </c>
      <c r="F869">
        <v>9015884123</v>
      </c>
      <c r="G869">
        <v>290</v>
      </c>
      <c r="H869" t="s">
        <v>898</v>
      </c>
      <c r="I869">
        <v>0</v>
      </c>
      <c r="J869" t="s">
        <v>899</v>
      </c>
      <c r="K869" t="s">
        <v>8</v>
      </c>
      <c r="L869" t="s">
        <v>67</v>
      </c>
      <c r="M869" t="s">
        <v>9</v>
      </c>
      <c r="N869" t="s">
        <v>14</v>
      </c>
      <c r="O869" s="2">
        <v>115572.41</v>
      </c>
      <c r="P869" s="3">
        <v>1070.1569999999999</v>
      </c>
      <c r="Q869" s="1">
        <v>46033</v>
      </c>
      <c r="R869" s="1">
        <v>45992</v>
      </c>
      <c r="S869" s="1">
        <v>46022</v>
      </c>
      <c r="V869" s="8">
        <v>1</v>
      </c>
      <c r="W869" t="s">
        <v>24</v>
      </c>
      <c r="X869" t="s">
        <v>900</v>
      </c>
      <c r="Y869" t="s">
        <v>10</v>
      </c>
      <c r="Z869" t="s">
        <v>11</v>
      </c>
      <c r="AA869">
        <v>62371</v>
      </c>
      <c r="AB869">
        <v>18547299</v>
      </c>
      <c r="AC869">
        <v>1</v>
      </c>
      <c r="AD869" s="8"/>
    </row>
    <row r="870" spans="1:30" x14ac:dyDescent="0.3">
      <c r="A870" t="s">
        <v>1627</v>
      </c>
      <c r="B870">
        <v>1403651</v>
      </c>
      <c r="D870" t="s">
        <v>7</v>
      </c>
      <c r="E870">
        <v>946123</v>
      </c>
      <c r="F870">
        <v>9015884123</v>
      </c>
      <c r="G870">
        <v>261</v>
      </c>
      <c r="H870" t="s">
        <v>388</v>
      </c>
      <c r="I870">
        <v>0</v>
      </c>
      <c r="J870" t="s">
        <v>389</v>
      </c>
      <c r="K870" t="s">
        <v>8</v>
      </c>
      <c r="L870" t="s">
        <v>67</v>
      </c>
      <c r="M870" t="s">
        <v>9</v>
      </c>
      <c r="N870" t="s">
        <v>14</v>
      </c>
      <c r="O870" s="2">
        <v>652892.04</v>
      </c>
      <c r="P870" s="3">
        <v>7946.1959999999999</v>
      </c>
      <c r="Q870" s="1">
        <v>46033</v>
      </c>
      <c r="R870" s="1">
        <v>45992</v>
      </c>
      <c r="S870" s="1">
        <v>46022</v>
      </c>
      <c r="V870" s="8">
        <v>2</v>
      </c>
      <c r="W870" t="s">
        <v>24</v>
      </c>
      <c r="X870" t="s">
        <v>390</v>
      </c>
      <c r="Y870" t="s">
        <v>10</v>
      </c>
      <c r="Z870" t="s">
        <v>11</v>
      </c>
      <c r="AA870">
        <v>62371</v>
      </c>
      <c r="AB870">
        <v>17058720</v>
      </c>
      <c r="AC870">
        <v>1</v>
      </c>
      <c r="AD870" s="8"/>
    </row>
    <row r="871" spans="1:30" x14ac:dyDescent="0.3">
      <c r="A871" t="s">
        <v>1627</v>
      </c>
      <c r="B871">
        <v>1403651</v>
      </c>
      <c r="D871" t="s">
        <v>7</v>
      </c>
      <c r="E871">
        <v>946123</v>
      </c>
      <c r="F871">
        <v>9015884123</v>
      </c>
      <c r="G871">
        <v>261</v>
      </c>
      <c r="H871" t="s">
        <v>388</v>
      </c>
      <c r="I871">
        <v>0</v>
      </c>
      <c r="J871" t="s">
        <v>389</v>
      </c>
      <c r="K871" t="s">
        <v>8</v>
      </c>
      <c r="L871" t="s">
        <v>18</v>
      </c>
      <c r="M871" t="s">
        <v>9</v>
      </c>
      <c r="N871" t="s">
        <v>14</v>
      </c>
      <c r="O871" s="2">
        <v>-0.06</v>
      </c>
      <c r="P871" s="3">
        <v>0</v>
      </c>
      <c r="Q871" s="1">
        <v>46033</v>
      </c>
      <c r="R871" s="1">
        <v>45992</v>
      </c>
      <c r="S871" s="1">
        <v>46022</v>
      </c>
      <c r="V871" s="8">
        <v>2</v>
      </c>
      <c r="W871" t="s">
        <v>24</v>
      </c>
      <c r="X871" t="s">
        <v>390</v>
      </c>
      <c r="Y871" t="s">
        <v>10</v>
      </c>
      <c r="Z871" t="s">
        <v>11</v>
      </c>
      <c r="AA871">
        <v>62371</v>
      </c>
      <c r="AB871">
        <v>17058720</v>
      </c>
      <c r="AC871">
        <v>1</v>
      </c>
      <c r="AD871" s="8"/>
    </row>
    <row r="872" spans="1:30" x14ac:dyDescent="0.3">
      <c r="A872" t="s">
        <v>1627</v>
      </c>
      <c r="B872">
        <v>1405490</v>
      </c>
      <c r="D872" t="s">
        <v>7</v>
      </c>
      <c r="E872">
        <v>946259</v>
      </c>
      <c r="F872">
        <v>9015884123</v>
      </c>
      <c r="G872">
        <v>304</v>
      </c>
      <c r="H872" t="s">
        <v>1437</v>
      </c>
      <c r="I872">
        <v>0</v>
      </c>
      <c r="J872" t="s">
        <v>1438</v>
      </c>
      <c r="K872" t="s">
        <v>8</v>
      </c>
      <c r="L872" t="s">
        <v>15</v>
      </c>
      <c r="M872" t="s">
        <v>9</v>
      </c>
      <c r="N872" t="s">
        <v>14</v>
      </c>
      <c r="O872" s="2">
        <v>0</v>
      </c>
      <c r="P872" s="3">
        <v>0</v>
      </c>
      <c r="Q872" s="1">
        <v>46033</v>
      </c>
      <c r="R872" s="1">
        <v>45992</v>
      </c>
      <c r="S872" s="1">
        <v>46022</v>
      </c>
      <c r="V872" s="8">
        <v>1</v>
      </c>
      <c r="W872" t="s">
        <v>24</v>
      </c>
      <c r="X872" t="s">
        <v>1439</v>
      </c>
      <c r="Y872" t="s">
        <v>10</v>
      </c>
      <c r="Z872" t="s">
        <v>11</v>
      </c>
      <c r="AA872">
        <v>62371</v>
      </c>
      <c r="AB872">
        <v>18530365</v>
      </c>
      <c r="AC872">
        <v>1</v>
      </c>
      <c r="AD872" s="8"/>
    </row>
    <row r="873" spans="1:30" x14ac:dyDescent="0.3">
      <c r="A873" t="s">
        <v>1627</v>
      </c>
      <c r="B873">
        <v>1403799</v>
      </c>
      <c r="D873" t="s">
        <v>7</v>
      </c>
      <c r="E873">
        <v>946185</v>
      </c>
      <c r="F873">
        <v>9015884123</v>
      </c>
      <c r="G873">
        <v>279</v>
      </c>
      <c r="H873" t="s">
        <v>397</v>
      </c>
      <c r="I873">
        <v>0</v>
      </c>
      <c r="J873" t="s">
        <v>398</v>
      </c>
      <c r="K873" t="s">
        <v>8</v>
      </c>
      <c r="L873" t="s">
        <v>19</v>
      </c>
      <c r="M873" t="s">
        <v>9</v>
      </c>
      <c r="N873" t="s">
        <v>14</v>
      </c>
      <c r="O873" s="2">
        <v>4056.56</v>
      </c>
      <c r="P873" s="3">
        <v>20.53</v>
      </c>
      <c r="Q873" s="1">
        <v>46033</v>
      </c>
      <c r="R873" s="1">
        <v>45992</v>
      </c>
      <c r="S873" s="1">
        <v>46022</v>
      </c>
      <c r="V873" s="8">
        <v>1</v>
      </c>
      <c r="W873" t="s">
        <v>24</v>
      </c>
      <c r="X873" t="s">
        <v>399</v>
      </c>
      <c r="Y873" t="s">
        <v>10</v>
      </c>
      <c r="Z873" t="s">
        <v>11</v>
      </c>
      <c r="AA873">
        <v>62371</v>
      </c>
      <c r="AB873">
        <v>19383300</v>
      </c>
      <c r="AC873">
        <v>0</v>
      </c>
      <c r="AD873" s="8"/>
    </row>
    <row r="874" spans="1:30" x14ac:dyDescent="0.3">
      <c r="A874" t="s">
        <v>1627</v>
      </c>
      <c r="B874">
        <v>1403807</v>
      </c>
      <c r="D874" t="s">
        <v>7</v>
      </c>
      <c r="E874">
        <v>946200</v>
      </c>
      <c r="F874">
        <v>9015884123</v>
      </c>
      <c r="G874">
        <v>285</v>
      </c>
      <c r="H874" t="s">
        <v>1238</v>
      </c>
      <c r="I874">
        <v>0</v>
      </c>
      <c r="J874" t="s">
        <v>1239</v>
      </c>
      <c r="K874" t="s">
        <v>8</v>
      </c>
      <c r="L874" t="s">
        <v>67</v>
      </c>
      <c r="M874" t="s">
        <v>9</v>
      </c>
      <c r="N874" t="s">
        <v>14</v>
      </c>
      <c r="O874" s="2">
        <v>122397.31</v>
      </c>
      <c r="P874" s="3">
        <v>1133.3530000000001</v>
      </c>
      <c r="Q874" s="1">
        <v>46033</v>
      </c>
      <c r="R874" s="1">
        <v>45992</v>
      </c>
      <c r="S874" s="1">
        <v>46022</v>
      </c>
      <c r="V874" s="8">
        <v>1</v>
      </c>
      <c r="W874" t="s">
        <v>24</v>
      </c>
      <c r="X874" t="s">
        <v>1240</v>
      </c>
      <c r="Y874" t="s">
        <v>10</v>
      </c>
      <c r="Z874" t="s">
        <v>11</v>
      </c>
      <c r="AA874">
        <v>62371</v>
      </c>
      <c r="AB874">
        <v>18472273</v>
      </c>
      <c r="AC874">
        <v>1</v>
      </c>
      <c r="AD874" s="8"/>
    </row>
    <row r="875" spans="1:30" x14ac:dyDescent="0.3">
      <c r="A875" t="s">
        <v>1627</v>
      </c>
      <c r="B875">
        <v>1405517</v>
      </c>
      <c r="D875" t="s">
        <v>7</v>
      </c>
      <c r="E875">
        <v>946270</v>
      </c>
      <c r="F875">
        <v>9015884123</v>
      </c>
      <c r="G875">
        <v>309</v>
      </c>
      <c r="H875" t="s">
        <v>1235</v>
      </c>
      <c r="I875">
        <v>0</v>
      </c>
      <c r="J875" t="s">
        <v>1236</v>
      </c>
      <c r="K875" t="s">
        <v>8</v>
      </c>
      <c r="L875" t="s">
        <v>18</v>
      </c>
      <c r="M875" t="s">
        <v>9</v>
      </c>
      <c r="N875" t="s">
        <v>14</v>
      </c>
      <c r="O875" s="2">
        <v>-0.6</v>
      </c>
      <c r="P875" s="3">
        <v>0</v>
      </c>
      <c r="Q875" s="1">
        <v>46033</v>
      </c>
      <c r="R875" s="1">
        <v>45992</v>
      </c>
      <c r="S875" s="1">
        <v>46022</v>
      </c>
      <c r="V875" s="8">
        <v>1</v>
      </c>
      <c r="W875" t="s">
        <v>24</v>
      </c>
      <c r="X875" t="s">
        <v>1237</v>
      </c>
      <c r="Y875" t="s">
        <v>10</v>
      </c>
      <c r="Z875" t="s">
        <v>11</v>
      </c>
      <c r="AA875">
        <v>62371</v>
      </c>
      <c r="AB875">
        <v>19402884</v>
      </c>
      <c r="AC875">
        <v>0</v>
      </c>
      <c r="AD875" s="8"/>
    </row>
    <row r="876" spans="1:30" x14ac:dyDescent="0.3">
      <c r="A876" t="s">
        <v>1627</v>
      </c>
      <c r="B876">
        <v>1406176</v>
      </c>
      <c r="D876" t="s">
        <v>7</v>
      </c>
      <c r="E876">
        <v>946283</v>
      </c>
      <c r="F876">
        <v>9015884123</v>
      </c>
      <c r="G876">
        <v>314</v>
      </c>
      <c r="H876" t="s">
        <v>1244</v>
      </c>
      <c r="I876">
        <v>0</v>
      </c>
      <c r="J876" t="s">
        <v>1245</v>
      </c>
      <c r="K876" t="s">
        <v>8</v>
      </c>
      <c r="L876" t="s">
        <v>67</v>
      </c>
      <c r="M876" t="s">
        <v>9</v>
      </c>
      <c r="N876" t="s">
        <v>14</v>
      </c>
      <c r="O876" s="2">
        <v>476142.96</v>
      </c>
      <c r="P876" s="3">
        <v>3342.962</v>
      </c>
      <c r="Q876" s="1">
        <v>46033</v>
      </c>
      <c r="R876" s="1">
        <v>45992</v>
      </c>
      <c r="S876" s="1">
        <v>46022</v>
      </c>
      <c r="V876" s="8">
        <v>1</v>
      </c>
      <c r="W876" t="s">
        <v>24</v>
      </c>
      <c r="X876" t="s">
        <v>1246</v>
      </c>
      <c r="Y876" t="s">
        <v>10</v>
      </c>
      <c r="Z876" t="s">
        <v>11</v>
      </c>
      <c r="AA876">
        <v>62371</v>
      </c>
      <c r="AB876">
        <v>18897363</v>
      </c>
      <c r="AC876">
        <v>0</v>
      </c>
      <c r="AD876" s="8"/>
    </row>
    <row r="877" spans="1:30" x14ac:dyDescent="0.3">
      <c r="A877" t="s">
        <v>1627</v>
      </c>
      <c r="B877">
        <v>1407509</v>
      </c>
      <c r="D877" t="s">
        <v>7</v>
      </c>
      <c r="E877">
        <v>946317</v>
      </c>
      <c r="F877">
        <v>9015884123</v>
      </c>
      <c r="G877">
        <v>331</v>
      </c>
      <c r="H877" t="s">
        <v>418</v>
      </c>
      <c r="I877">
        <v>0</v>
      </c>
      <c r="J877" t="s">
        <v>419</v>
      </c>
      <c r="K877" t="s">
        <v>8</v>
      </c>
      <c r="L877" t="s">
        <v>15</v>
      </c>
      <c r="M877" t="s">
        <v>9</v>
      </c>
      <c r="N877" t="s">
        <v>14</v>
      </c>
      <c r="O877" s="2">
        <v>0</v>
      </c>
      <c r="P877" s="3">
        <v>661.09400000000005</v>
      </c>
      <c r="Q877" s="1">
        <v>46033</v>
      </c>
      <c r="R877" s="1">
        <v>45992</v>
      </c>
      <c r="S877" s="1">
        <v>46022</v>
      </c>
      <c r="V877" s="8">
        <v>1</v>
      </c>
      <c r="W877" t="s">
        <v>24</v>
      </c>
      <c r="X877" t="s">
        <v>420</v>
      </c>
      <c r="Y877" t="s">
        <v>10</v>
      </c>
      <c r="Z877" t="s">
        <v>11</v>
      </c>
      <c r="AA877">
        <v>62371</v>
      </c>
      <c r="AB877">
        <v>19813517</v>
      </c>
      <c r="AC877">
        <v>0</v>
      </c>
      <c r="AD877" s="8"/>
    </row>
    <row r="878" spans="1:30" x14ac:dyDescent="0.3">
      <c r="A878" t="s">
        <v>1627</v>
      </c>
      <c r="B878">
        <v>1412130</v>
      </c>
      <c r="D878" t="s">
        <v>7</v>
      </c>
      <c r="E878">
        <v>946357</v>
      </c>
      <c r="F878">
        <v>9015884123</v>
      </c>
      <c r="G878">
        <v>351</v>
      </c>
      <c r="H878" t="s">
        <v>1440</v>
      </c>
      <c r="I878">
        <v>0</v>
      </c>
      <c r="J878" t="s">
        <v>1441</v>
      </c>
      <c r="K878" t="s">
        <v>8</v>
      </c>
      <c r="L878" t="s">
        <v>18</v>
      </c>
      <c r="M878" t="s">
        <v>9</v>
      </c>
      <c r="N878" t="s">
        <v>14</v>
      </c>
      <c r="O878" s="2">
        <v>-0.94</v>
      </c>
      <c r="P878" s="3">
        <v>0</v>
      </c>
      <c r="Q878" s="1">
        <v>46033</v>
      </c>
      <c r="R878" s="1">
        <v>45992</v>
      </c>
      <c r="S878" s="1">
        <v>46022</v>
      </c>
      <c r="V878" s="8">
        <v>1</v>
      </c>
      <c r="W878" t="s">
        <v>24</v>
      </c>
      <c r="X878" t="s">
        <v>1442</v>
      </c>
      <c r="Y878" t="s">
        <v>10</v>
      </c>
      <c r="Z878" t="s">
        <v>11</v>
      </c>
      <c r="AA878">
        <v>62371</v>
      </c>
      <c r="AB878">
        <v>18194184</v>
      </c>
      <c r="AC878">
        <v>0</v>
      </c>
      <c r="AD878" s="8"/>
    </row>
    <row r="879" spans="1:30" x14ac:dyDescent="0.3">
      <c r="A879" t="s">
        <v>1627</v>
      </c>
      <c r="B879">
        <v>1412136</v>
      </c>
      <c r="D879" t="s">
        <v>7</v>
      </c>
      <c r="E879">
        <v>946373</v>
      </c>
      <c r="F879">
        <v>9015884123</v>
      </c>
      <c r="G879">
        <v>360</v>
      </c>
      <c r="H879" t="s">
        <v>430</v>
      </c>
      <c r="I879">
        <v>0</v>
      </c>
      <c r="J879" t="s">
        <v>431</v>
      </c>
      <c r="K879" t="s">
        <v>8</v>
      </c>
      <c r="L879" t="s">
        <v>18</v>
      </c>
      <c r="M879" t="s">
        <v>9</v>
      </c>
      <c r="N879" t="s">
        <v>14</v>
      </c>
      <c r="O879" s="2">
        <v>1.88</v>
      </c>
      <c r="P879" s="3">
        <v>0</v>
      </c>
      <c r="Q879" s="1">
        <v>46033</v>
      </c>
      <c r="R879" s="1">
        <v>45992</v>
      </c>
      <c r="S879" s="1">
        <v>46022</v>
      </c>
      <c r="V879" s="8">
        <v>1</v>
      </c>
      <c r="W879" t="s">
        <v>24</v>
      </c>
      <c r="X879" t="s">
        <v>432</v>
      </c>
      <c r="Y879" t="s">
        <v>10</v>
      </c>
      <c r="Z879" t="s">
        <v>11</v>
      </c>
      <c r="AA879">
        <v>62371</v>
      </c>
      <c r="AB879">
        <v>21396214</v>
      </c>
      <c r="AC879">
        <v>1</v>
      </c>
      <c r="AD879" s="8"/>
    </row>
    <row r="880" spans="1:30" x14ac:dyDescent="0.3">
      <c r="A880" t="s">
        <v>1627</v>
      </c>
      <c r="B880">
        <v>1415545</v>
      </c>
      <c r="D880" t="s">
        <v>7</v>
      </c>
      <c r="E880">
        <v>946446</v>
      </c>
      <c r="F880">
        <v>9015884123</v>
      </c>
      <c r="G880">
        <v>388</v>
      </c>
      <c r="H880" t="s">
        <v>1271</v>
      </c>
      <c r="I880">
        <v>0</v>
      </c>
      <c r="J880" t="s">
        <v>1272</v>
      </c>
      <c r="K880" t="s">
        <v>8</v>
      </c>
      <c r="L880" t="s">
        <v>18</v>
      </c>
      <c r="M880" t="s">
        <v>9</v>
      </c>
      <c r="N880" t="s">
        <v>14</v>
      </c>
      <c r="O880" s="2">
        <v>-1.72</v>
      </c>
      <c r="P880" s="3">
        <v>0</v>
      </c>
      <c r="Q880" s="1">
        <v>46033</v>
      </c>
      <c r="R880" s="1">
        <v>45992</v>
      </c>
      <c r="S880" s="1">
        <v>46022</v>
      </c>
      <c r="V880" s="8">
        <v>2</v>
      </c>
      <c r="W880" t="s">
        <v>24</v>
      </c>
      <c r="X880" t="s">
        <v>1273</v>
      </c>
      <c r="Y880" t="s">
        <v>10</v>
      </c>
      <c r="Z880" t="s">
        <v>11</v>
      </c>
      <c r="AA880">
        <v>62371</v>
      </c>
      <c r="AB880">
        <v>20035766</v>
      </c>
      <c r="AC880">
        <v>1</v>
      </c>
      <c r="AD880" s="8"/>
    </row>
    <row r="881" spans="1:30" x14ac:dyDescent="0.3">
      <c r="A881" t="s">
        <v>1627</v>
      </c>
      <c r="B881">
        <v>1415527</v>
      </c>
      <c r="D881" t="s">
        <v>7</v>
      </c>
      <c r="E881">
        <v>946518</v>
      </c>
      <c r="F881">
        <v>9015884123</v>
      </c>
      <c r="G881">
        <v>411</v>
      </c>
      <c r="H881" t="s">
        <v>1277</v>
      </c>
      <c r="I881">
        <v>0</v>
      </c>
      <c r="J881" t="s">
        <v>1278</v>
      </c>
      <c r="K881" t="s">
        <v>8</v>
      </c>
      <c r="L881" t="s">
        <v>15</v>
      </c>
      <c r="M881" t="s">
        <v>9</v>
      </c>
      <c r="N881" t="s">
        <v>14</v>
      </c>
      <c r="O881" s="2">
        <v>0</v>
      </c>
      <c r="P881" s="3">
        <v>1462.8440000000001</v>
      </c>
      <c r="Q881" s="1">
        <v>46033</v>
      </c>
      <c r="R881" s="1">
        <v>45992</v>
      </c>
      <c r="S881" s="1">
        <v>46022</v>
      </c>
      <c r="V881" s="8">
        <v>1</v>
      </c>
      <c r="W881" t="s">
        <v>24</v>
      </c>
      <c r="X881" t="s">
        <v>1279</v>
      </c>
      <c r="Y881" t="s">
        <v>189</v>
      </c>
      <c r="Z881" t="s">
        <v>11</v>
      </c>
      <c r="AA881">
        <v>62371</v>
      </c>
      <c r="AB881">
        <v>21145462</v>
      </c>
      <c r="AC881">
        <v>1</v>
      </c>
      <c r="AD881" s="8"/>
    </row>
    <row r="882" spans="1:30" x14ac:dyDescent="0.3">
      <c r="A882" t="s">
        <v>1627</v>
      </c>
      <c r="B882">
        <v>1418008</v>
      </c>
      <c r="D882" t="s">
        <v>7</v>
      </c>
      <c r="E882">
        <v>946612</v>
      </c>
      <c r="F882">
        <v>9015884123</v>
      </c>
      <c r="G882">
        <v>439</v>
      </c>
      <c r="H882" t="s">
        <v>469</v>
      </c>
      <c r="I882">
        <v>0</v>
      </c>
      <c r="J882" t="s">
        <v>470</v>
      </c>
      <c r="K882" t="s">
        <v>8</v>
      </c>
      <c r="L882" t="s">
        <v>67</v>
      </c>
      <c r="M882" t="s">
        <v>9</v>
      </c>
      <c r="N882" t="s">
        <v>14</v>
      </c>
      <c r="O882" s="2">
        <v>754529.66</v>
      </c>
      <c r="P882" s="3">
        <v>5297.4930000000004</v>
      </c>
      <c r="Q882" s="1">
        <v>46033</v>
      </c>
      <c r="R882" s="1">
        <v>45992</v>
      </c>
      <c r="S882" s="1">
        <v>46022</v>
      </c>
      <c r="V882" s="8">
        <v>1</v>
      </c>
      <c r="W882" t="s">
        <v>24</v>
      </c>
      <c r="X882" t="s">
        <v>471</v>
      </c>
      <c r="Y882" t="s">
        <v>10</v>
      </c>
      <c r="Z882" t="s">
        <v>11</v>
      </c>
      <c r="AA882">
        <v>62371</v>
      </c>
      <c r="AB882">
        <v>18579460</v>
      </c>
      <c r="AC882">
        <v>0</v>
      </c>
      <c r="AD882" s="8"/>
    </row>
    <row r="883" spans="1:30" x14ac:dyDescent="0.3">
      <c r="A883" t="s">
        <v>1627</v>
      </c>
      <c r="B883">
        <v>1416886</v>
      </c>
      <c r="D883" t="s">
        <v>7</v>
      </c>
      <c r="E883">
        <v>946594</v>
      </c>
      <c r="F883">
        <v>9015884123</v>
      </c>
      <c r="G883">
        <v>433</v>
      </c>
      <c r="H883" t="s">
        <v>1289</v>
      </c>
      <c r="I883">
        <v>0</v>
      </c>
      <c r="J883" t="s">
        <v>1290</v>
      </c>
      <c r="K883" t="s">
        <v>8</v>
      </c>
      <c r="L883" t="s">
        <v>67</v>
      </c>
      <c r="M883" t="s">
        <v>9</v>
      </c>
      <c r="N883" t="s">
        <v>14</v>
      </c>
      <c r="O883" s="2">
        <v>1261179.77</v>
      </c>
      <c r="P883" s="3">
        <v>11678.05</v>
      </c>
      <c r="Q883" s="1">
        <v>46033</v>
      </c>
      <c r="R883" s="1">
        <v>45992</v>
      </c>
      <c r="S883" s="1">
        <v>46022</v>
      </c>
      <c r="V883" s="8">
        <v>1</v>
      </c>
      <c r="W883" t="s">
        <v>24</v>
      </c>
      <c r="X883" t="s">
        <v>1291</v>
      </c>
      <c r="Y883" t="s">
        <v>10</v>
      </c>
      <c r="Z883" t="s">
        <v>11</v>
      </c>
      <c r="AA883">
        <v>62371</v>
      </c>
      <c r="AB883">
        <v>21493322</v>
      </c>
      <c r="AC883">
        <v>1</v>
      </c>
      <c r="AD883" s="8"/>
    </row>
    <row r="884" spans="1:30" x14ac:dyDescent="0.3">
      <c r="A884" t="s">
        <v>1627</v>
      </c>
      <c r="B884">
        <v>1418011</v>
      </c>
      <c r="D884" t="s">
        <v>7</v>
      </c>
      <c r="E884">
        <v>946624</v>
      </c>
      <c r="F884">
        <v>9015884123</v>
      </c>
      <c r="G884">
        <v>443</v>
      </c>
      <c r="H884" t="s">
        <v>1283</v>
      </c>
      <c r="I884">
        <v>0</v>
      </c>
      <c r="J884" t="s">
        <v>1284</v>
      </c>
      <c r="K884" t="s">
        <v>8</v>
      </c>
      <c r="L884" t="s">
        <v>67</v>
      </c>
      <c r="M884" t="s">
        <v>9</v>
      </c>
      <c r="N884" t="s">
        <v>14</v>
      </c>
      <c r="O884" s="2">
        <v>1262132.07</v>
      </c>
      <c r="P884" s="3">
        <v>11686.868</v>
      </c>
      <c r="Q884" s="1">
        <v>46033</v>
      </c>
      <c r="R884" s="1">
        <v>45992</v>
      </c>
      <c r="S884" s="1">
        <v>46022</v>
      </c>
      <c r="V884" s="8">
        <v>1</v>
      </c>
      <c r="W884" t="s">
        <v>24</v>
      </c>
      <c r="X884" t="s">
        <v>1285</v>
      </c>
      <c r="Y884" t="s">
        <v>10</v>
      </c>
      <c r="Z884" t="s">
        <v>11</v>
      </c>
      <c r="AA884">
        <v>62371</v>
      </c>
      <c r="AB884">
        <v>19954294</v>
      </c>
      <c r="AC884">
        <v>1</v>
      </c>
      <c r="AD884" s="8"/>
    </row>
    <row r="885" spans="1:30" x14ac:dyDescent="0.3">
      <c r="A885" t="s">
        <v>1627</v>
      </c>
      <c r="B885">
        <v>1407506</v>
      </c>
      <c r="D885" t="s">
        <v>7</v>
      </c>
      <c r="E885">
        <v>946313</v>
      </c>
      <c r="F885">
        <v>9015884123</v>
      </c>
      <c r="G885">
        <v>329</v>
      </c>
      <c r="H885" t="s">
        <v>1253</v>
      </c>
      <c r="I885">
        <v>0</v>
      </c>
      <c r="J885" t="s">
        <v>1254</v>
      </c>
      <c r="K885" t="s">
        <v>8</v>
      </c>
      <c r="L885" t="s">
        <v>15</v>
      </c>
      <c r="M885" t="s">
        <v>9</v>
      </c>
      <c r="N885" t="s">
        <v>14</v>
      </c>
      <c r="O885" s="2">
        <v>0</v>
      </c>
      <c r="P885" s="3">
        <v>138.59200000000001</v>
      </c>
      <c r="Q885" s="1">
        <v>46033</v>
      </c>
      <c r="R885" s="1">
        <v>45992</v>
      </c>
      <c r="S885" s="1">
        <v>46022</v>
      </c>
      <c r="V885" s="8">
        <v>1</v>
      </c>
      <c r="W885" t="s">
        <v>24</v>
      </c>
      <c r="X885" t="s">
        <v>1255</v>
      </c>
      <c r="Y885" t="s">
        <v>10</v>
      </c>
      <c r="Z885" t="s">
        <v>11</v>
      </c>
      <c r="AA885">
        <v>62371</v>
      </c>
      <c r="AB885">
        <v>18427569</v>
      </c>
      <c r="AC885">
        <v>1</v>
      </c>
      <c r="AD885" s="8"/>
    </row>
    <row r="886" spans="1:30" x14ac:dyDescent="0.3">
      <c r="A886" t="s">
        <v>1627</v>
      </c>
      <c r="B886">
        <v>1407510</v>
      </c>
      <c r="D886" t="s">
        <v>7</v>
      </c>
      <c r="E886">
        <v>946319</v>
      </c>
      <c r="F886">
        <v>9015884123</v>
      </c>
      <c r="G886">
        <v>332</v>
      </c>
      <c r="H886" t="s">
        <v>1256</v>
      </c>
      <c r="I886">
        <v>0</v>
      </c>
      <c r="J886" t="s">
        <v>1257</v>
      </c>
      <c r="K886" t="s">
        <v>8</v>
      </c>
      <c r="L886" t="s">
        <v>67</v>
      </c>
      <c r="M886" t="s">
        <v>9</v>
      </c>
      <c r="N886" t="s">
        <v>14</v>
      </c>
      <c r="O886" s="2">
        <v>84454.62</v>
      </c>
      <c r="P886" s="3">
        <v>782.01800000000003</v>
      </c>
      <c r="Q886" s="1">
        <v>46033</v>
      </c>
      <c r="R886" s="1">
        <v>45992</v>
      </c>
      <c r="S886" s="1">
        <v>46022</v>
      </c>
      <c r="V886" s="8">
        <v>1</v>
      </c>
      <c r="W886" t="s">
        <v>24</v>
      </c>
      <c r="X886" t="s">
        <v>1258</v>
      </c>
      <c r="Y886" t="s">
        <v>10</v>
      </c>
      <c r="Z886" t="s">
        <v>11</v>
      </c>
      <c r="AA886">
        <v>62371</v>
      </c>
      <c r="AB886">
        <v>21406893</v>
      </c>
      <c r="AC886">
        <v>1</v>
      </c>
      <c r="AD886" s="8"/>
    </row>
    <row r="887" spans="1:30" x14ac:dyDescent="0.3">
      <c r="A887" t="s">
        <v>1627</v>
      </c>
      <c r="B887">
        <v>1412055</v>
      </c>
      <c r="D887" t="s">
        <v>7</v>
      </c>
      <c r="E887">
        <v>946334</v>
      </c>
      <c r="F887">
        <v>9015884123</v>
      </c>
      <c r="G887">
        <v>341</v>
      </c>
      <c r="H887" t="s">
        <v>421</v>
      </c>
      <c r="I887">
        <v>0</v>
      </c>
      <c r="J887" t="s">
        <v>422</v>
      </c>
      <c r="K887" t="s">
        <v>8</v>
      </c>
      <c r="L887" t="s">
        <v>15</v>
      </c>
      <c r="M887" t="s">
        <v>9</v>
      </c>
      <c r="N887" t="s">
        <v>14</v>
      </c>
      <c r="O887" s="2">
        <v>0</v>
      </c>
      <c r="P887" s="3">
        <v>20551.080000000002</v>
      </c>
      <c r="Q887" s="1">
        <v>46033</v>
      </c>
      <c r="R887" s="1">
        <v>45992</v>
      </c>
      <c r="S887" s="1">
        <v>46022</v>
      </c>
      <c r="V887" s="8">
        <v>1</v>
      </c>
      <c r="W887" t="s">
        <v>24</v>
      </c>
      <c r="X887" t="s">
        <v>423</v>
      </c>
      <c r="Y887" t="s">
        <v>10</v>
      </c>
      <c r="Z887" t="s">
        <v>11</v>
      </c>
      <c r="AA887">
        <v>62371</v>
      </c>
      <c r="AB887">
        <v>18412837</v>
      </c>
      <c r="AC887">
        <v>1</v>
      </c>
      <c r="AD887" s="8"/>
    </row>
    <row r="888" spans="1:30" x14ac:dyDescent="0.3">
      <c r="A888" t="s">
        <v>1627</v>
      </c>
      <c r="B888">
        <v>1412136</v>
      </c>
      <c r="D888" t="s">
        <v>7</v>
      </c>
      <c r="E888">
        <v>946373</v>
      </c>
      <c r="F888">
        <v>9015884123</v>
      </c>
      <c r="G888">
        <v>360</v>
      </c>
      <c r="H888" t="s">
        <v>430</v>
      </c>
      <c r="I888">
        <v>0</v>
      </c>
      <c r="J888" t="s">
        <v>431</v>
      </c>
      <c r="K888" t="s">
        <v>8</v>
      </c>
      <c r="L888" t="s">
        <v>15</v>
      </c>
      <c r="M888" t="s">
        <v>9</v>
      </c>
      <c r="N888" t="s">
        <v>14</v>
      </c>
      <c r="O888" s="2">
        <v>0</v>
      </c>
      <c r="P888" s="3">
        <v>8644.7630000000008</v>
      </c>
      <c r="Q888" s="1">
        <v>46033</v>
      </c>
      <c r="R888" s="1">
        <v>45992</v>
      </c>
      <c r="S888" s="1">
        <v>46022</v>
      </c>
      <c r="V888" s="8">
        <v>1</v>
      </c>
      <c r="W888" t="s">
        <v>24</v>
      </c>
      <c r="X888" t="s">
        <v>432</v>
      </c>
      <c r="Y888" t="s">
        <v>10</v>
      </c>
      <c r="Z888" t="s">
        <v>11</v>
      </c>
      <c r="AA888">
        <v>62371</v>
      </c>
      <c r="AB888">
        <v>21396214</v>
      </c>
      <c r="AC888">
        <v>1</v>
      </c>
      <c r="AD888" s="8"/>
    </row>
    <row r="889" spans="1:30" x14ac:dyDescent="0.3">
      <c r="A889" t="s">
        <v>1627</v>
      </c>
      <c r="B889">
        <v>1412139</v>
      </c>
      <c r="D889" t="s">
        <v>7</v>
      </c>
      <c r="E889">
        <v>946382</v>
      </c>
      <c r="F889">
        <v>9015884123</v>
      </c>
      <c r="G889">
        <v>365</v>
      </c>
      <c r="H889" t="s">
        <v>448</v>
      </c>
      <c r="I889">
        <v>0</v>
      </c>
      <c r="J889" t="s">
        <v>449</v>
      </c>
      <c r="K889" t="s">
        <v>8</v>
      </c>
      <c r="L889" t="s">
        <v>15</v>
      </c>
      <c r="M889" t="s">
        <v>9</v>
      </c>
      <c r="N889" t="s">
        <v>14</v>
      </c>
      <c r="O889" s="2">
        <v>0</v>
      </c>
      <c r="P889" s="3">
        <v>5235.6019999999999</v>
      </c>
      <c r="Q889" s="1">
        <v>46033</v>
      </c>
      <c r="R889" s="1">
        <v>45992</v>
      </c>
      <c r="S889" s="1">
        <v>46022</v>
      </c>
      <c r="V889" s="8">
        <v>1</v>
      </c>
      <c r="W889" t="s">
        <v>24</v>
      </c>
      <c r="X889" t="s">
        <v>450</v>
      </c>
      <c r="Y889" t="s">
        <v>10</v>
      </c>
      <c r="Z889" t="s">
        <v>11</v>
      </c>
      <c r="AA889">
        <v>62371</v>
      </c>
      <c r="AB889">
        <v>19394384</v>
      </c>
      <c r="AC889">
        <v>0</v>
      </c>
      <c r="AD889" s="8"/>
    </row>
    <row r="890" spans="1:30" x14ac:dyDescent="0.3">
      <c r="A890" t="s">
        <v>1627</v>
      </c>
      <c r="B890">
        <v>1412144</v>
      </c>
      <c r="D890" t="s">
        <v>7</v>
      </c>
      <c r="E890">
        <v>946396</v>
      </c>
      <c r="F890">
        <v>9015884123</v>
      </c>
      <c r="G890">
        <v>372</v>
      </c>
      <c r="H890" t="s">
        <v>1443</v>
      </c>
      <c r="I890">
        <v>0</v>
      </c>
      <c r="J890" t="s">
        <v>1444</v>
      </c>
      <c r="K890" t="s">
        <v>8</v>
      </c>
      <c r="L890" t="s">
        <v>18</v>
      </c>
      <c r="M890" t="s">
        <v>9</v>
      </c>
      <c r="N890" t="s">
        <v>14</v>
      </c>
      <c r="O890" s="2">
        <v>-4.8600000000000003</v>
      </c>
      <c r="P890" s="3">
        <v>0</v>
      </c>
      <c r="Q890" s="1">
        <v>46033</v>
      </c>
      <c r="R890" s="1">
        <v>45992</v>
      </c>
      <c r="S890" s="1">
        <v>46022</v>
      </c>
      <c r="V890" s="8">
        <v>1</v>
      </c>
      <c r="W890" t="s">
        <v>24</v>
      </c>
      <c r="X890" t="s">
        <v>1445</v>
      </c>
      <c r="Y890" t="s">
        <v>10</v>
      </c>
      <c r="Z890" t="s">
        <v>11</v>
      </c>
      <c r="AA890">
        <v>62371</v>
      </c>
      <c r="AB890">
        <v>21245164</v>
      </c>
      <c r="AC890">
        <v>0</v>
      </c>
      <c r="AD890" s="8"/>
    </row>
    <row r="891" spans="1:30" x14ac:dyDescent="0.3">
      <c r="A891" t="s">
        <v>1627</v>
      </c>
      <c r="B891">
        <v>1412653</v>
      </c>
      <c r="D891" t="s">
        <v>7</v>
      </c>
      <c r="E891">
        <v>946411</v>
      </c>
      <c r="F891">
        <v>9015884123</v>
      </c>
      <c r="G891">
        <v>377</v>
      </c>
      <c r="H891" t="s">
        <v>442</v>
      </c>
      <c r="I891">
        <v>0</v>
      </c>
      <c r="J891" t="s">
        <v>443</v>
      </c>
      <c r="K891" t="s">
        <v>8</v>
      </c>
      <c r="L891" t="s">
        <v>18</v>
      </c>
      <c r="M891" t="s">
        <v>9</v>
      </c>
      <c r="N891" t="s">
        <v>14</v>
      </c>
      <c r="O891" s="2">
        <v>4.5</v>
      </c>
      <c r="P891" s="3">
        <v>0</v>
      </c>
      <c r="Q891" s="1">
        <v>46033</v>
      </c>
      <c r="R891" s="1">
        <v>45992</v>
      </c>
      <c r="S891" s="1">
        <v>46022</v>
      </c>
      <c r="V891" s="8">
        <v>1</v>
      </c>
      <c r="W891" t="s">
        <v>24</v>
      </c>
      <c r="X891" t="s">
        <v>444</v>
      </c>
      <c r="Y891" t="s">
        <v>10</v>
      </c>
      <c r="Z891" t="s">
        <v>11</v>
      </c>
      <c r="AA891">
        <v>62371</v>
      </c>
      <c r="AB891">
        <v>18366704</v>
      </c>
      <c r="AC891">
        <v>1</v>
      </c>
      <c r="AD891" s="8"/>
    </row>
    <row r="892" spans="1:30" x14ac:dyDescent="0.3">
      <c r="A892" t="s">
        <v>1627</v>
      </c>
      <c r="B892">
        <v>1412656</v>
      </c>
      <c r="D892" t="s">
        <v>7</v>
      </c>
      <c r="E892">
        <v>946414</v>
      </c>
      <c r="F892">
        <v>9015884123</v>
      </c>
      <c r="G892">
        <v>378</v>
      </c>
      <c r="H892" t="s">
        <v>1446</v>
      </c>
      <c r="I892">
        <v>0</v>
      </c>
      <c r="J892" t="s">
        <v>1447</v>
      </c>
      <c r="K892" t="s">
        <v>8</v>
      </c>
      <c r="L892" t="s">
        <v>67</v>
      </c>
      <c r="M892" t="s">
        <v>9</v>
      </c>
      <c r="N892" t="s">
        <v>14</v>
      </c>
      <c r="O892" s="2">
        <v>303350.67</v>
      </c>
      <c r="P892" s="3">
        <v>2808.913</v>
      </c>
      <c r="Q892" s="1">
        <v>46033</v>
      </c>
      <c r="R892" s="1">
        <v>45992</v>
      </c>
      <c r="S892" s="1">
        <v>46022</v>
      </c>
      <c r="V892" s="8">
        <v>1</v>
      </c>
      <c r="W892" t="s">
        <v>24</v>
      </c>
      <c r="X892" t="s">
        <v>1448</v>
      </c>
      <c r="Y892" t="s">
        <v>10</v>
      </c>
      <c r="Z892" t="s">
        <v>11</v>
      </c>
      <c r="AA892">
        <v>62371</v>
      </c>
      <c r="AB892">
        <v>18365210</v>
      </c>
      <c r="AC892">
        <v>1</v>
      </c>
      <c r="AD892" s="8"/>
    </row>
    <row r="893" spans="1:30" x14ac:dyDescent="0.3">
      <c r="A893" t="s">
        <v>1627</v>
      </c>
      <c r="B893">
        <v>1412646</v>
      </c>
      <c r="D893" t="s">
        <v>7</v>
      </c>
      <c r="E893">
        <v>946405</v>
      </c>
      <c r="F893">
        <v>9015884123</v>
      </c>
      <c r="G893">
        <v>375</v>
      </c>
      <c r="H893" t="s">
        <v>1449</v>
      </c>
      <c r="I893">
        <v>0</v>
      </c>
      <c r="J893" t="s">
        <v>1450</v>
      </c>
      <c r="K893" t="s">
        <v>8</v>
      </c>
      <c r="L893" t="s">
        <v>18</v>
      </c>
      <c r="M893" t="s">
        <v>9</v>
      </c>
      <c r="N893" t="s">
        <v>14</v>
      </c>
      <c r="O893" s="2">
        <v>3.59</v>
      </c>
      <c r="P893" s="3">
        <v>0</v>
      </c>
      <c r="Q893" s="1">
        <v>46033</v>
      </c>
      <c r="R893" s="1">
        <v>45992</v>
      </c>
      <c r="S893" s="1">
        <v>46022</v>
      </c>
      <c r="V893" s="8">
        <v>1</v>
      </c>
      <c r="W893" t="s">
        <v>24</v>
      </c>
      <c r="X893" t="s">
        <v>1451</v>
      </c>
      <c r="Y893" t="s">
        <v>10</v>
      </c>
      <c r="Z893" t="s">
        <v>11</v>
      </c>
      <c r="AA893">
        <v>62371</v>
      </c>
      <c r="AB893">
        <v>18954063</v>
      </c>
      <c r="AC893">
        <v>1</v>
      </c>
      <c r="AD893" s="8"/>
    </row>
    <row r="894" spans="1:30" x14ac:dyDescent="0.3">
      <c r="A894" t="s">
        <v>1627</v>
      </c>
      <c r="B894">
        <v>1418636</v>
      </c>
      <c r="D894" t="s">
        <v>7</v>
      </c>
      <c r="E894">
        <v>946644</v>
      </c>
      <c r="F894">
        <v>9015884123</v>
      </c>
      <c r="G894">
        <v>450</v>
      </c>
      <c r="H894" t="s">
        <v>475</v>
      </c>
      <c r="I894">
        <v>0</v>
      </c>
      <c r="J894" t="s">
        <v>476</v>
      </c>
      <c r="K894" t="s">
        <v>8</v>
      </c>
      <c r="L894" t="s">
        <v>67</v>
      </c>
      <c r="M894" t="s">
        <v>9</v>
      </c>
      <c r="N894" t="s">
        <v>14</v>
      </c>
      <c r="O894" s="2">
        <v>129919.43</v>
      </c>
      <c r="P894" s="3">
        <v>912.154</v>
      </c>
      <c r="Q894" s="1">
        <v>46033</v>
      </c>
      <c r="R894" s="1">
        <v>45992</v>
      </c>
      <c r="S894" s="1">
        <v>46022</v>
      </c>
      <c r="V894" s="8">
        <v>1</v>
      </c>
      <c r="W894" t="s">
        <v>24</v>
      </c>
      <c r="X894" t="s">
        <v>477</v>
      </c>
      <c r="Y894" t="s">
        <v>353</v>
      </c>
      <c r="Z894" t="s">
        <v>11</v>
      </c>
      <c r="AA894">
        <v>62371</v>
      </c>
      <c r="AB894">
        <v>19419645</v>
      </c>
      <c r="AC894">
        <v>0</v>
      </c>
      <c r="AD894" s="8"/>
    </row>
    <row r="895" spans="1:30" x14ac:dyDescent="0.3">
      <c r="A895" t="s">
        <v>1627</v>
      </c>
      <c r="B895">
        <v>1415542</v>
      </c>
      <c r="D895" t="s">
        <v>7</v>
      </c>
      <c r="E895">
        <v>946560</v>
      </c>
      <c r="F895">
        <v>9015884123</v>
      </c>
      <c r="G895">
        <v>423</v>
      </c>
      <c r="H895" t="s">
        <v>454</v>
      </c>
      <c r="I895">
        <v>0</v>
      </c>
      <c r="J895" t="s">
        <v>455</v>
      </c>
      <c r="K895" t="s">
        <v>8</v>
      </c>
      <c r="L895" t="s">
        <v>19</v>
      </c>
      <c r="M895" t="s">
        <v>9</v>
      </c>
      <c r="N895" t="s">
        <v>14</v>
      </c>
      <c r="O895" s="2">
        <v>7792.33</v>
      </c>
      <c r="P895" s="3">
        <v>47.76</v>
      </c>
      <c r="Q895" s="1">
        <v>46033</v>
      </c>
      <c r="R895" s="1">
        <v>45992</v>
      </c>
      <c r="S895" s="1">
        <v>46022</v>
      </c>
      <c r="V895" s="8">
        <v>1</v>
      </c>
      <c r="W895" t="s">
        <v>24</v>
      </c>
      <c r="X895" t="s">
        <v>456</v>
      </c>
      <c r="Y895" t="s">
        <v>10</v>
      </c>
      <c r="Z895" t="s">
        <v>11</v>
      </c>
      <c r="AA895">
        <v>62371</v>
      </c>
      <c r="AB895">
        <v>18539603</v>
      </c>
      <c r="AC895">
        <v>1</v>
      </c>
      <c r="AD895" s="8"/>
    </row>
    <row r="896" spans="1:30" x14ac:dyDescent="0.3">
      <c r="A896" t="s">
        <v>1627</v>
      </c>
      <c r="B896">
        <v>1426324</v>
      </c>
      <c r="D896" t="s">
        <v>7</v>
      </c>
      <c r="E896">
        <v>946715</v>
      </c>
      <c r="F896">
        <v>9015884123</v>
      </c>
      <c r="G896">
        <v>472</v>
      </c>
      <c r="H896" t="s">
        <v>1452</v>
      </c>
      <c r="I896">
        <v>0</v>
      </c>
      <c r="J896" t="s">
        <v>1453</v>
      </c>
      <c r="K896" t="s">
        <v>8</v>
      </c>
      <c r="L896" t="s">
        <v>18</v>
      </c>
      <c r="M896" t="s">
        <v>9</v>
      </c>
      <c r="N896" t="s">
        <v>14</v>
      </c>
      <c r="O896" s="2">
        <v>-4.3600000000000003</v>
      </c>
      <c r="P896" s="3">
        <v>0</v>
      </c>
      <c r="Q896" s="1">
        <v>46033</v>
      </c>
      <c r="R896" s="1">
        <v>45992</v>
      </c>
      <c r="S896" s="1">
        <v>46022</v>
      </c>
      <c r="V896" s="8">
        <v>1</v>
      </c>
      <c r="W896" t="s">
        <v>24</v>
      </c>
      <c r="X896" t="s">
        <v>1454</v>
      </c>
      <c r="Y896" t="s">
        <v>10</v>
      </c>
      <c r="Z896" t="s">
        <v>11</v>
      </c>
      <c r="AA896">
        <v>62371</v>
      </c>
      <c r="AB896">
        <v>17187451</v>
      </c>
      <c r="AC896">
        <v>0</v>
      </c>
      <c r="AD896" s="8"/>
    </row>
    <row r="897" spans="1:30" x14ac:dyDescent="0.3">
      <c r="A897" t="s">
        <v>1627</v>
      </c>
      <c r="B897">
        <v>1428403</v>
      </c>
      <c r="D897" t="s">
        <v>7</v>
      </c>
      <c r="E897">
        <v>946725</v>
      </c>
      <c r="F897">
        <v>9015884123</v>
      </c>
      <c r="G897">
        <v>476</v>
      </c>
      <c r="H897" t="s">
        <v>496</v>
      </c>
      <c r="I897">
        <v>0</v>
      </c>
      <c r="J897" t="s">
        <v>497</v>
      </c>
      <c r="K897" t="s">
        <v>8</v>
      </c>
      <c r="L897" t="s">
        <v>18</v>
      </c>
      <c r="M897" t="s">
        <v>9</v>
      </c>
      <c r="N897" t="s">
        <v>14</v>
      </c>
      <c r="O897" s="2">
        <v>-3.45</v>
      </c>
      <c r="P897" s="3">
        <v>0</v>
      </c>
      <c r="Q897" s="1">
        <v>46033</v>
      </c>
      <c r="R897" s="1">
        <v>45992</v>
      </c>
      <c r="S897" s="1">
        <v>46022</v>
      </c>
      <c r="V897" s="8">
        <v>1</v>
      </c>
      <c r="W897" t="s">
        <v>24</v>
      </c>
      <c r="X897" t="s">
        <v>498</v>
      </c>
      <c r="Y897" t="s">
        <v>10</v>
      </c>
      <c r="Z897" t="s">
        <v>11</v>
      </c>
      <c r="AA897">
        <v>62371</v>
      </c>
      <c r="AB897">
        <v>21376435</v>
      </c>
      <c r="AC897">
        <v>1</v>
      </c>
      <c r="AD897" s="8"/>
    </row>
    <row r="898" spans="1:30" x14ac:dyDescent="0.3">
      <c r="A898" t="s">
        <v>1627</v>
      </c>
      <c r="B898">
        <v>1428415</v>
      </c>
      <c r="D898" t="s">
        <v>7</v>
      </c>
      <c r="E898">
        <v>946762</v>
      </c>
      <c r="F898">
        <v>9015884123</v>
      </c>
      <c r="G898">
        <v>488</v>
      </c>
      <c r="H898" t="s">
        <v>499</v>
      </c>
      <c r="I898">
        <v>0</v>
      </c>
      <c r="J898" t="s">
        <v>500</v>
      </c>
      <c r="K898" t="s">
        <v>8</v>
      </c>
      <c r="L898" t="s">
        <v>67</v>
      </c>
      <c r="M898" t="s">
        <v>9</v>
      </c>
      <c r="N898" t="s">
        <v>14</v>
      </c>
      <c r="O898" s="2">
        <v>264471.87</v>
      </c>
      <c r="P898" s="3">
        <v>2448.91</v>
      </c>
      <c r="Q898" s="1">
        <v>46033</v>
      </c>
      <c r="R898" s="1">
        <v>45992</v>
      </c>
      <c r="S898" s="1">
        <v>46022</v>
      </c>
      <c r="V898" s="8">
        <v>1</v>
      </c>
      <c r="W898" t="s">
        <v>24</v>
      </c>
      <c r="X898" t="s">
        <v>501</v>
      </c>
      <c r="Y898" t="s">
        <v>10</v>
      </c>
      <c r="Z898" t="s">
        <v>11</v>
      </c>
      <c r="AA898">
        <v>62371</v>
      </c>
      <c r="AB898">
        <v>21376432</v>
      </c>
      <c r="AC898">
        <v>1</v>
      </c>
      <c r="AD898" s="8"/>
    </row>
    <row r="899" spans="1:30" x14ac:dyDescent="0.3">
      <c r="A899" t="s">
        <v>1627</v>
      </c>
      <c r="B899">
        <v>1428419</v>
      </c>
      <c r="D899" t="s">
        <v>7</v>
      </c>
      <c r="E899">
        <v>946766</v>
      </c>
      <c r="F899">
        <v>9015884123</v>
      </c>
      <c r="G899">
        <v>489</v>
      </c>
      <c r="H899" t="s">
        <v>481</v>
      </c>
      <c r="I899">
        <v>0</v>
      </c>
      <c r="J899" t="s">
        <v>482</v>
      </c>
      <c r="K899" t="s">
        <v>8</v>
      </c>
      <c r="L899" t="s">
        <v>15</v>
      </c>
      <c r="M899" t="s">
        <v>9</v>
      </c>
      <c r="N899" t="s">
        <v>14</v>
      </c>
      <c r="O899" s="2">
        <v>0</v>
      </c>
      <c r="P899" s="3">
        <v>1751.5740000000001</v>
      </c>
      <c r="Q899" s="1">
        <v>46033</v>
      </c>
      <c r="R899" s="1">
        <v>45992</v>
      </c>
      <c r="S899" s="1">
        <v>46022</v>
      </c>
      <c r="V899" s="8">
        <v>1</v>
      </c>
      <c r="W899" t="s">
        <v>24</v>
      </c>
      <c r="X899" t="s">
        <v>483</v>
      </c>
      <c r="Y899" t="s">
        <v>10</v>
      </c>
      <c r="Z899" t="s">
        <v>11</v>
      </c>
      <c r="AA899">
        <v>62371</v>
      </c>
      <c r="AB899">
        <v>21376476</v>
      </c>
      <c r="AC899">
        <v>1</v>
      </c>
      <c r="AD899" s="8"/>
    </row>
    <row r="900" spans="1:30" x14ac:dyDescent="0.3">
      <c r="A900" t="s">
        <v>1627</v>
      </c>
      <c r="B900">
        <v>1428425</v>
      </c>
      <c r="D900" t="s">
        <v>7</v>
      </c>
      <c r="E900">
        <v>946778</v>
      </c>
      <c r="F900">
        <v>9015884123</v>
      </c>
      <c r="G900">
        <v>494</v>
      </c>
      <c r="H900" t="s">
        <v>964</v>
      </c>
      <c r="I900">
        <v>0</v>
      </c>
      <c r="J900" t="s">
        <v>965</v>
      </c>
      <c r="K900" t="s">
        <v>8</v>
      </c>
      <c r="L900" t="s">
        <v>15</v>
      </c>
      <c r="M900" t="s">
        <v>9</v>
      </c>
      <c r="N900" t="s">
        <v>14</v>
      </c>
      <c r="O900" s="2">
        <v>0</v>
      </c>
      <c r="P900" s="3">
        <v>5028.0569999999998</v>
      </c>
      <c r="Q900" s="1">
        <v>46033</v>
      </c>
      <c r="R900" s="1">
        <v>45992</v>
      </c>
      <c r="S900" s="1">
        <v>46022</v>
      </c>
      <c r="V900" s="8">
        <v>1</v>
      </c>
      <c r="W900" t="s">
        <v>24</v>
      </c>
      <c r="X900" t="s">
        <v>966</v>
      </c>
      <c r="Y900" t="s">
        <v>10</v>
      </c>
      <c r="Z900" t="s">
        <v>11</v>
      </c>
      <c r="AA900">
        <v>62371</v>
      </c>
      <c r="AB900">
        <v>21512919</v>
      </c>
      <c r="AC900">
        <v>0</v>
      </c>
      <c r="AD900" s="8"/>
    </row>
    <row r="901" spans="1:30" x14ac:dyDescent="0.3">
      <c r="A901" t="s">
        <v>1627</v>
      </c>
      <c r="B901">
        <v>1428408</v>
      </c>
      <c r="D901" t="s">
        <v>7</v>
      </c>
      <c r="E901">
        <v>946753</v>
      </c>
      <c r="F901">
        <v>9015884123</v>
      </c>
      <c r="G901">
        <v>485</v>
      </c>
      <c r="H901" t="s">
        <v>970</v>
      </c>
      <c r="I901">
        <v>0</v>
      </c>
      <c r="J901" t="s">
        <v>971</v>
      </c>
      <c r="K901" t="s">
        <v>8</v>
      </c>
      <c r="L901" t="s">
        <v>18</v>
      </c>
      <c r="M901" t="s">
        <v>9</v>
      </c>
      <c r="N901" t="s">
        <v>14</v>
      </c>
      <c r="O901" s="2">
        <v>4.58</v>
      </c>
      <c r="P901" s="3">
        <v>0</v>
      </c>
      <c r="Q901" s="1">
        <v>46033</v>
      </c>
      <c r="R901" s="1">
        <v>45992</v>
      </c>
      <c r="S901" s="1">
        <v>46022</v>
      </c>
      <c r="V901" s="8">
        <v>1</v>
      </c>
      <c r="W901" t="s">
        <v>24</v>
      </c>
      <c r="X901" t="s">
        <v>972</v>
      </c>
      <c r="Y901" t="s">
        <v>10</v>
      </c>
      <c r="Z901" t="s">
        <v>11</v>
      </c>
      <c r="AA901">
        <v>62371</v>
      </c>
      <c r="AB901">
        <v>21376442</v>
      </c>
      <c r="AC901">
        <v>1</v>
      </c>
      <c r="AD901" s="8"/>
    </row>
    <row r="902" spans="1:30" x14ac:dyDescent="0.3">
      <c r="A902" t="s">
        <v>1627</v>
      </c>
      <c r="B902">
        <v>1428409</v>
      </c>
      <c r="D902" t="s">
        <v>7</v>
      </c>
      <c r="E902">
        <v>946759</v>
      </c>
      <c r="F902">
        <v>9015884123</v>
      </c>
      <c r="G902">
        <v>487</v>
      </c>
      <c r="H902" t="s">
        <v>511</v>
      </c>
      <c r="I902">
        <v>0</v>
      </c>
      <c r="J902" t="s">
        <v>512</v>
      </c>
      <c r="K902" t="s">
        <v>8</v>
      </c>
      <c r="L902" t="s">
        <v>15</v>
      </c>
      <c r="M902" t="s">
        <v>9</v>
      </c>
      <c r="N902" t="s">
        <v>14</v>
      </c>
      <c r="O902" s="2">
        <v>0</v>
      </c>
      <c r="P902" s="3">
        <v>2554.424</v>
      </c>
      <c r="Q902" s="1">
        <v>46033</v>
      </c>
      <c r="R902" s="1">
        <v>45992</v>
      </c>
      <c r="S902" s="1">
        <v>46022</v>
      </c>
      <c r="V902" s="8">
        <v>1</v>
      </c>
      <c r="W902" t="s">
        <v>24</v>
      </c>
      <c r="X902" t="s">
        <v>513</v>
      </c>
      <c r="Y902" t="s">
        <v>10</v>
      </c>
      <c r="Z902" t="s">
        <v>11</v>
      </c>
      <c r="AA902">
        <v>62371</v>
      </c>
      <c r="AB902">
        <v>21376443</v>
      </c>
      <c r="AC902">
        <v>1</v>
      </c>
      <c r="AD902" s="8"/>
    </row>
    <row r="903" spans="1:30" x14ac:dyDescent="0.3">
      <c r="A903" t="s">
        <v>1627</v>
      </c>
      <c r="B903">
        <v>1428437</v>
      </c>
      <c r="D903" t="s">
        <v>7</v>
      </c>
      <c r="E903">
        <v>946794</v>
      </c>
      <c r="F903">
        <v>9015884123</v>
      </c>
      <c r="G903">
        <v>499</v>
      </c>
      <c r="H903" t="s">
        <v>517</v>
      </c>
      <c r="I903">
        <v>0</v>
      </c>
      <c r="J903" t="s">
        <v>518</v>
      </c>
      <c r="K903" t="s">
        <v>8</v>
      </c>
      <c r="L903" t="s">
        <v>15</v>
      </c>
      <c r="M903" t="s">
        <v>9</v>
      </c>
      <c r="N903" t="s">
        <v>14</v>
      </c>
      <c r="O903" s="2">
        <v>0</v>
      </c>
      <c r="P903" s="3">
        <v>2378.5889999999999</v>
      </c>
      <c r="Q903" s="1">
        <v>46033</v>
      </c>
      <c r="R903" s="1">
        <v>45992</v>
      </c>
      <c r="S903" s="1">
        <v>46022</v>
      </c>
      <c r="V903" s="8">
        <v>1</v>
      </c>
      <c r="W903" t="s">
        <v>24</v>
      </c>
      <c r="X903" t="s">
        <v>519</v>
      </c>
      <c r="Y903" t="s">
        <v>10</v>
      </c>
      <c r="Z903" t="s">
        <v>11</v>
      </c>
      <c r="AA903">
        <v>62371</v>
      </c>
      <c r="AB903">
        <v>21491290</v>
      </c>
      <c r="AC903">
        <v>1</v>
      </c>
      <c r="AD903" s="8"/>
    </row>
    <row r="904" spans="1:30" x14ac:dyDescent="0.3">
      <c r="A904" t="s">
        <v>1627</v>
      </c>
      <c r="B904">
        <v>1438071</v>
      </c>
      <c r="D904" t="s">
        <v>7</v>
      </c>
      <c r="E904">
        <v>946832</v>
      </c>
      <c r="F904">
        <v>9015884123</v>
      </c>
      <c r="G904">
        <v>511</v>
      </c>
      <c r="H904" t="s">
        <v>1455</v>
      </c>
      <c r="I904">
        <v>0</v>
      </c>
      <c r="J904" t="s">
        <v>1456</v>
      </c>
      <c r="K904" t="s">
        <v>8</v>
      </c>
      <c r="L904" t="s">
        <v>15</v>
      </c>
      <c r="M904" t="s">
        <v>9</v>
      </c>
      <c r="N904" t="s">
        <v>14</v>
      </c>
      <c r="O904" s="2">
        <v>0</v>
      </c>
      <c r="P904" s="3">
        <v>15421.393</v>
      </c>
      <c r="Q904" s="1">
        <v>46033</v>
      </c>
      <c r="R904" s="1">
        <v>45992</v>
      </c>
      <c r="S904" s="1">
        <v>46022</v>
      </c>
      <c r="V904" s="8">
        <v>1</v>
      </c>
      <c r="W904" t="s">
        <v>24</v>
      </c>
      <c r="X904" t="s">
        <v>1457</v>
      </c>
      <c r="Y904" t="s">
        <v>10</v>
      </c>
      <c r="Z904" t="s">
        <v>11</v>
      </c>
      <c r="AA904">
        <v>62371</v>
      </c>
      <c r="AB904">
        <v>21376595</v>
      </c>
      <c r="AC904">
        <v>1</v>
      </c>
      <c r="AD904" s="8"/>
    </row>
    <row r="905" spans="1:30" x14ac:dyDescent="0.3">
      <c r="A905" t="s">
        <v>1627</v>
      </c>
      <c r="B905">
        <v>1417112</v>
      </c>
      <c r="D905" t="s">
        <v>7</v>
      </c>
      <c r="E905">
        <v>946602</v>
      </c>
      <c r="F905">
        <v>9015884123</v>
      </c>
      <c r="G905">
        <v>436</v>
      </c>
      <c r="H905" t="s">
        <v>940</v>
      </c>
      <c r="I905">
        <v>0</v>
      </c>
      <c r="J905" t="s">
        <v>941</v>
      </c>
      <c r="K905" t="s">
        <v>8</v>
      </c>
      <c r="L905" t="s">
        <v>19</v>
      </c>
      <c r="M905" t="s">
        <v>9</v>
      </c>
      <c r="N905" t="s">
        <v>14</v>
      </c>
      <c r="O905" s="2">
        <v>67193.64</v>
      </c>
      <c r="P905" s="3">
        <v>340.06299999999999</v>
      </c>
      <c r="Q905" s="1">
        <v>46033</v>
      </c>
      <c r="R905" s="1">
        <v>45992</v>
      </c>
      <c r="S905" s="1">
        <v>46022</v>
      </c>
      <c r="V905" s="8">
        <v>1</v>
      </c>
      <c r="W905" t="s">
        <v>24</v>
      </c>
      <c r="X905" t="s">
        <v>942</v>
      </c>
      <c r="Y905" t="s">
        <v>10</v>
      </c>
      <c r="Z905" t="s">
        <v>11</v>
      </c>
      <c r="AA905">
        <v>62371</v>
      </c>
      <c r="AB905">
        <v>18631653</v>
      </c>
      <c r="AC905">
        <v>0</v>
      </c>
      <c r="AD905" s="8"/>
    </row>
    <row r="906" spans="1:30" x14ac:dyDescent="0.3">
      <c r="A906" t="s">
        <v>1627</v>
      </c>
      <c r="B906">
        <v>1428427</v>
      </c>
      <c r="D906" t="s">
        <v>7</v>
      </c>
      <c r="E906">
        <v>946738</v>
      </c>
      <c r="F906">
        <v>9015884123</v>
      </c>
      <c r="G906">
        <v>480</v>
      </c>
      <c r="H906" t="s">
        <v>958</v>
      </c>
      <c r="I906">
        <v>0</v>
      </c>
      <c r="J906" t="s">
        <v>959</v>
      </c>
      <c r="K906" t="s">
        <v>8</v>
      </c>
      <c r="L906" t="s">
        <v>18</v>
      </c>
      <c r="M906" t="s">
        <v>9</v>
      </c>
      <c r="N906" t="s">
        <v>14</v>
      </c>
      <c r="O906" s="2">
        <v>2.2999999999999998</v>
      </c>
      <c r="P906" s="3">
        <v>0</v>
      </c>
      <c r="Q906" s="1">
        <v>46033</v>
      </c>
      <c r="R906" s="1">
        <v>45992</v>
      </c>
      <c r="S906" s="1">
        <v>46022</v>
      </c>
      <c r="V906" s="8">
        <v>1</v>
      </c>
      <c r="W906" t="s">
        <v>24</v>
      </c>
      <c r="X906" t="s">
        <v>960</v>
      </c>
      <c r="Y906" t="s">
        <v>10</v>
      </c>
      <c r="Z906" t="s">
        <v>11</v>
      </c>
      <c r="AA906">
        <v>62371</v>
      </c>
      <c r="AB906">
        <v>21491306</v>
      </c>
      <c r="AC906">
        <v>1</v>
      </c>
      <c r="AD906" s="8"/>
    </row>
    <row r="907" spans="1:30" x14ac:dyDescent="0.3">
      <c r="A907" t="s">
        <v>1627</v>
      </c>
      <c r="B907">
        <v>1428420</v>
      </c>
      <c r="D907" t="s">
        <v>7</v>
      </c>
      <c r="E907">
        <v>946772</v>
      </c>
      <c r="F907">
        <v>9015884123</v>
      </c>
      <c r="G907">
        <v>491</v>
      </c>
      <c r="H907" t="s">
        <v>1458</v>
      </c>
      <c r="I907">
        <v>0</v>
      </c>
      <c r="J907" t="s">
        <v>1459</v>
      </c>
      <c r="K907" t="s">
        <v>8</v>
      </c>
      <c r="L907" t="s">
        <v>67</v>
      </c>
      <c r="M907" t="s">
        <v>9</v>
      </c>
      <c r="N907" t="s">
        <v>14</v>
      </c>
      <c r="O907" s="2">
        <v>101226.68</v>
      </c>
      <c r="P907" s="3">
        <v>937.32100000000003</v>
      </c>
      <c r="Q907" s="1">
        <v>46033</v>
      </c>
      <c r="R907" s="1">
        <v>45992</v>
      </c>
      <c r="S907" s="1">
        <v>46022</v>
      </c>
      <c r="V907" s="8">
        <v>1</v>
      </c>
      <c r="W907" t="s">
        <v>24</v>
      </c>
      <c r="X907" t="s">
        <v>1460</v>
      </c>
      <c r="Y907" t="s">
        <v>10</v>
      </c>
      <c r="Z907" t="s">
        <v>11</v>
      </c>
      <c r="AA907">
        <v>62371</v>
      </c>
      <c r="AB907">
        <v>21376437</v>
      </c>
      <c r="AC907">
        <v>1</v>
      </c>
      <c r="AD907" s="8"/>
    </row>
    <row r="908" spans="1:30" x14ac:dyDescent="0.3">
      <c r="A908" t="s">
        <v>1627</v>
      </c>
      <c r="B908">
        <v>1428401</v>
      </c>
      <c r="D908" t="s">
        <v>7</v>
      </c>
      <c r="E908">
        <v>946718</v>
      </c>
      <c r="F908">
        <v>9015884123</v>
      </c>
      <c r="G908">
        <v>474</v>
      </c>
      <c r="H908" t="s">
        <v>967</v>
      </c>
      <c r="I908">
        <v>0</v>
      </c>
      <c r="J908" t="s">
        <v>968</v>
      </c>
      <c r="K908" t="s">
        <v>8</v>
      </c>
      <c r="L908" t="s">
        <v>15</v>
      </c>
      <c r="M908" t="s">
        <v>9</v>
      </c>
      <c r="N908" t="s">
        <v>14</v>
      </c>
      <c r="O908" s="2">
        <v>0</v>
      </c>
      <c r="P908" s="3">
        <v>2520.192</v>
      </c>
      <c r="Q908" s="1">
        <v>46033</v>
      </c>
      <c r="R908" s="1">
        <v>45992</v>
      </c>
      <c r="S908" s="1">
        <v>46022</v>
      </c>
      <c r="V908" s="8">
        <v>1</v>
      </c>
      <c r="W908" t="s">
        <v>24</v>
      </c>
      <c r="X908" t="s">
        <v>969</v>
      </c>
      <c r="Y908" t="s">
        <v>10</v>
      </c>
      <c r="Z908" t="s">
        <v>11</v>
      </c>
      <c r="AA908">
        <v>62371</v>
      </c>
      <c r="AB908">
        <v>21376398</v>
      </c>
      <c r="AC908">
        <v>1</v>
      </c>
      <c r="AD908" s="8"/>
    </row>
    <row r="909" spans="1:30" x14ac:dyDescent="0.3">
      <c r="A909" t="s">
        <v>1627</v>
      </c>
      <c r="B909">
        <v>1428436</v>
      </c>
      <c r="D909" t="s">
        <v>7</v>
      </c>
      <c r="E909">
        <v>946787</v>
      </c>
      <c r="F909">
        <v>9015884123</v>
      </c>
      <c r="G909">
        <v>497</v>
      </c>
      <c r="H909" t="s">
        <v>1461</v>
      </c>
      <c r="I909">
        <v>0</v>
      </c>
      <c r="J909" t="s">
        <v>1462</v>
      </c>
      <c r="K909" t="s">
        <v>8</v>
      </c>
      <c r="L909" t="s">
        <v>19</v>
      </c>
      <c r="M909" t="s">
        <v>9</v>
      </c>
      <c r="N909" t="s">
        <v>14</v>
      </c>
      <c r="O909" s="2">
        <v>2465.94</v>
      </c>
      <c r="P909" s="3">
        <v>15.114000000000001</v>
      </c>
      <c r="Q909" s="1">
        <v>46033</v>
      </c>
      <c r="R909" s="1">
        <v>45992</v>
      </c>
      <c r="S909" s="1">
        <v>46022</v>
      </c>
      <c r="V909" s="8">
        <v>1</v>
      </c>
      <c r="W909" t="s">
        <v>24</v>
      </c>
      <c r="X909" t="s">
        <v>1463</v>
      </c>
      <c r="Y909" t="s">
        <v>10</v>
      </c>
      <c r="Z909" t="s">
        <v>11</v>
      </c>
      <c r="AA909">
        <v>62371</v>
      </c>
      <c r="AB909">
        <v>21491307</v>
      </c>
      <c r="AC909">
        <v>1</v>
      </c>
      <c r="AD909" s="8"/>
    </row>
    <row r="910" spans="1:30" x14ac:dyDescent="0.3">
      <c r="A910" t="s">
        <v>1627</v>
      </c>
      <c r="B910">
        <v>1428436</v>
      </c>
      <c r="D910" t="s">
        <v>7</v>
      </c>
      <c r="E910">
        <v>946787</v>
      </c>
      <c r="F910">
        <v>9015884123</v>
      </c>
      <c r="G910">
        <v>497</v>
      </c>
      <c r="H910" t="s">
        <v>1461</v>
      </c>
      <c r="I910">
        <v>0</v>
      </c>
      <c r="J910" t="s">
        <v>1462</v>
      </c>
      <c r="K910" t="s">
        <v>8</v>
      </c>
      <c r="L910" t="s">
        <v>18</v>
      </c>
      <c r="M910" t="s">
        <v>9</v>
      </c>
      <c r="N910" t="s">
        <v>14</v>
      </c>
      <c r="O910" s="2">
        <v>-0.85</v>
      </c>
      <c r="P910" s="3">
        <v>0</v>
      </c>
      <c r="Q910" s="1">
        <v>46033</v>
      </c>
      <c r="R910" s="1">
        <v>45992</v>
      </c>
      <c r="S910" s="1">
        <v>46022</v>
      </c>
      <c r="V910" s="8">
        <v>1</v>
      </c>
      <c r="W910" t="s">
        <v>24</v>
      </c>
      <c r="X910" t="s">
        <v>1463</v>
      </c>
      <c r="Y910" t="s">
        <v>10</v>
      </c>
      <c r="Z910" t="s">
        <v>11</v>
      </c>
      <c r="AA910">
        <v>62371</v>
      </c>
      <c r="AB910">
        <v>21491307</v>
      </c>
      <c r="AC910">
        <v>1</v>
      </c>
      <c r="AD910" s="8"/>
    </row>
    <row r="911" spans="1:30" x14ac:dyDescent="0.3">
      <c r="A911" t="s">
        <v>1627</v>
      </c>
      <c r="B911">
        <v>1408277</v>
      </c>
      <c r="D911" t="s">
        <v>7</v>
      </c>
      <c r="E911">
        <v>946812</v>
      </c>
      <c r="F911">
        <v>9015884123</v>
      </c>
      <c r="G911">
        <v>505</v>
      </c>
      <c r="H911" t="s">
        <v>502</v>
      </c>
      <c r="I911">
        <v>0</v>
      </c>
      <c r="J911" t="s">
        <v>503</v>
      </c>
      <c r="K911" t="s">
        <v>8</v>
      </c>
      <c r="L911" t="s">
        <v>18</v>
      </c>
      <c r="M911" t="s">
        <v>9</v>
      </c>
      <c r="N911" t="s">
        <v>14</v>
      </c>
      <c r="O911" s="2">
        <v>0.55000000000000004</v>
      </c>
      <c r="P911" s="3">
        <v>0</v>
      </c>
      <c r="Q911" s="1">
        <v>46033</v>
      </c>
      <c r="R911" s="1">
        <v>45992</v>
      </c>
      <c r="S911" s="1">
        <v>46022</v>
      </c>
      <c r="V911" s="8">
        <v>1</v>
      </c>
      <c r="W911" t="s">
        <v>24</v>
      </c>
      <c r="X911" t="s">
        <v>504</v>
      </c>
      <c r="Y911" t="s">
        <v>10</v>
      </c>
      <c r="Z911" t="s">
        <v>11</v>
      </c>
      <c r="AA911">
        <v>62371</v>
      </c>
      <c r="AB911">
        <v>21318496</v>
      </c>
      <c r="AC911">
        <v>1</v>
      </c>
      <c r="AD911" s="8"/>
    </row>
    <row r="912" spans="1:30" x14ac:dyDescent="0.3">
      <c r="A912" t="s">
        <v>1627</v>
      </c>
      <c r="B912">
        <v>1438083</v>
      </c>
      <c r="D912" t="s">
        <v>7</v>
      </c>
      <c r="E912">
        <v>946818</v>
      </c>
      <c r="F912">
        <v>9015884123</v>
      </c>
      <c r="G912">
        <v>507</v>
      </c>
      <c r="H912" t="s">
        <v>952</v>
      </c>
      <c r="I912">
        <v>0</v>
      </c>
      <c r="J912" t="s">
        <v>953</v>
      </c>
      <c r="K912" t="s">
        <v>8</v>
      </c>
      <c r="L912" t="s">
        <v>67</v>
      </c>
      <c r="M912" t="s">
        <v>9</v>
      </c>
      <c r="N912" t="s">
        <v>14</v>
      </c>
      <c r="O912" s="2">
        <v>1896869.99</v>
      </c>
      <c r="P912" s="3">
        <v>13317.773999999999</v>
      </c>
      <c r="Q912" s="1">
        <v>46033</v>
      </c>
      <c r="R912" s="1">
        <v>45992</v>
      </c>
      <c r="S912" s="1">
        <v>46022</v>
      </c>
      <c r="V912" s="8">
        <v>1</v>
      </c>
      <c r="W912" t="s">
        <v>24</v>
      </c>
      <c r="X912" t="s">
        <v>954</v>
      </c>
      <c r="Y912" t="s">
        <v>10</v>
      </c>
      <c r="Z912" t="s">
        <v>11</v>
      </c>
      <c r="AA912">
        <v>62371</v>
      </c>
      <c r="AB912">
        <v>19383199</v>
      </c>
      <c r="AC912">
        <v>0</v>
      </c>
      <c r="AD912" s="8"/>
    </row>
    <row r="913" spans="1:30" x14ac:dyDescent="0.3">
      <c r="A913" t="s">
        <v>1627</v>
      </c>
      <c r="B913">
        <v>1438068</v>
      </c>
      <c r="D913" t="s">
        <v>7</v>
      </c>
      <c r="E913">
        <v>946822</v>
      </c>
      <c r="F913">
        <v>9015884123</v>
      </c>
      <c r="G913">
        <v>508</v>
      </c>
      <c r="H913" t="s">
        <v>1301</v>
      </c>
      <c r="I913">
        <v>0</v>
      </c>
      <c r="J913" t="s">
        <v>1302</v>
      </c>
      <c r="K913" t="s">
        <v>8</v>
      </c>
      <c r="L913" t="s">
        <v>18</v>
      </c>
      <c r="M913" t="s">
        <v>9</v>
      </c>
      <c r="N913" t="s">
        <v>14</v>
      </c>
      <c r="O913" s="2">
        <v>-4.4400000000000004</v>
      </c>
      <c r="P913" s="3">
        <v>0</v>
      </c>
      <c r="Q913" s="1">
        <v>46033</v>
      </c>
      <c r="R913" s="1">
        <v>45992</v>
      </c>
      <c r="S913" s="1">
        <v>46022</v>
      </c>
      <c r="V913" s="8">
        <v>1</v>
      </c>
      <c r="W913" t="s">
        <v>24</v>
      </c>
      <c r="X913" t="s">
        <v>1303</v>
      </c>
      <c r="Y913" t="s">
        <v>10</v>
      </c>
      <c r="Z913" t="s">
        <v>11</v>
      </c>
      <c r="AA913">
        <v>62371</v>
      </c>
      <c r="AB913">
        <v>21376530</v>
      </c>
      <c r="AC913">
        <v>1</v>
      </c>
      <c r="AD913" s="8"/>
    </row>
    <row r="914" spans="1:30" x14ac:dyDescent="0.3">
      <c r="A914" t="s">
        <v>1627</v>
      </c>
      <c r="B914">
        <v>1428431</v>
      </c>
      <c r="D914" t="s">
        <v>7</v>
      </c>
      <c r="E914">
        <v>946744</v>
      </c>
      <c r="F914">
        <v>9015884123</v>
      </c>
      <c r="G914">
        <v>482</v>
      </c>
      <c r="H914" t="s">
        <v>1464</v>
      </c>
      <c r="I914">
        <v>0</v>
      </c>
      <c r="J914" t="s">
        <v>1465</v>
      </c>
      <c r="K914" t="s">
        <v>8</v>
      </c>
      <c r="L914" t="s">
        <v>19</v>
      </c>
      <c r="M914" t="s">
        <v>9</v>
      </c>
      <c r="N914" t="s">
        <v>14</v>
      </c>
      <c r="O914" s="2">
        <v>2368.0500000000002</v>
      </c>
      <c r="P914" s="3">
        <v>14.513999999999999</v>
      </c>
      <c r="Q914" s="1">
        <v>46033</v>
      </c>
      <c r="R914" s="1">
        <v>45992</v>
      </c>
      <c r="S914" s="1">
        <v>46022</v>
      </c>
      <c r="V914" s="8">
        <v>1</v>
      </c>
      <c r="W914" t="s">
        <v>24</v>
      </c>
      <c r="X914" t="s">
        <v>1466</v>
      </c>
      <c r="Y914" t="s">
        <v>10</v>
      </c>
      <c r="Z914" t="s">
        <v>11</v>
      </c>
      <c r="AA914">
        <v>62371</v>
      </c>
      <c r="AB914">
        <v>21491303</v>
      </c>
      <c r="AC914">
        <v>1</v>
      </c>
      <c r="AD914" s="8"/>
    </row>
    <row r="915" spans="1:30" x14ac:dyDescent="0.3">
      <c r="A915" t="s">
        <v>1627</v>
      </c>
      <c r="B915">
        <v>1438069</v>
      </c>
      <c r="D915" t="s">
        <v>7</v>
      </c>
      <c r="E915">
        <v>946828</v>
      </c>
      <c r="F915">
        <v>9015884123</v>
      </c>
      <c r="G915">
        <v>510</v>
      </c>
      <c r="H915" t="s">
        <v>508</v>
      </c>
      <c r="I915">
        <v>0</v>
      </c>
      <c r="J915" t="s">
        <v>509</v>
      </c>
      <c r="K915" t="s">
        <v>8</v>
      </c>
      <c r="L915" t="s">
        <v>15</v>
      </c>
      <c r="M915" t="s">
        <v>9</v>
      </c>
      <c r="N915" t="s">
        <v>14</v>
      </c>
      <c r="O915" s="2">
        <v>0</v>
      </c>
      <c r="P915" s="3">
        <v>505.21800000000002</v>
      </c>
      <c r="Q915" s="1">
        <v>46033</v>
      </c>
      <c r="R915" s="1">
        <v>45992</v>
      </c>
      <c r="S915" s="1">
        <v>46022</v>
      </c>
      <c r="V915" s="8">
        <v>1</v>
      </c>
      <c r="W915" t="s">
        <v>24</v>
      </c>
      <c r="X915" t="s">
        <v>510</v>
      </c>
      <c r="Y915" t="s">
        <v>10</v>
      </c>
      <c r="Z915" t="s">
        <v>11</v>
      </c>
      <c r="AA915">
        <v>62371</v>
      </c>
      <c r="AB915">
        <v>21376399</v>
      </c>
      <c r="AC915">
        <v>1</v>
      </c>
      <c r="AD915" s="8"/>
    </row>
    <row r="916" spans="1:30" x14ac:dyDescent="0.3">
      <c r="A916" t="s">
        <v>1627</v>
      </c>
      <c r="B916">
        <v>1428421</v>
      </c>
      <c r="D916" t="s">
        <v>7</v>
      </c>
      <c r="E916">
        <v>946775</v>
      </c>
      <c r="F916">
        <v>9015884123</v>
      </c>
      <c r="G916">
        <v>493</v>
      </c>
      <c r="H916" t="s">
        <v>514</v>
      </c>
      <c r="I916">
        <v>0</v>
      </c>
      <c r="J916" t="s">
        <v>515</v>
      </c>
      <c r="K916" t="s">
        <v>8</v>
      </c>
      <c r="L916" t="s">
        <v>67</v>
      </c>
      <c r="M916" t="s">
        <v>9</v>
      </c>
      <c r="N916" t="s">
        <v>14</v>
      </c>
      <c r="O916" s="2">
        <v>71318.77</v>
      </c>
      <c r="P916" s="3">
        <v>660.38499999999999</v>
      </c>
      <c r="Q916" s="1">
        <v>46033</v>
      </c>
      <c r="R916" s="1">
        <v>45992</v>
      </c>
      <c r="S916" s="1">
        <v>46022</v>
      </c>
      <c r="V916" s="8">
        <v>1</v>
      </c>
      <c r="W916" t="s">
        <v>24</v>
      </c>
      <c r="X916" t="s">
        <v>516</v>
      </c>
      <c r="Y916" t="s">
        <v>10</v>
      </c>
      <c r="Z916" t="s">
        <v>11</v>
      </c>
      <c r="AA916">
        <v>62371</v>
      </c>
      <c r="AB916">
        <v>21376482</v>
      </c>
      <c r="AC916">
        <v>1</v>
      </c>
      <c r="AD916" s="8"/>
    </row>
    <row r="917" spans="1:30" x14ac:dyDescent="0.3">
      <c r="A917" t="s">
        <v>1627</v>
      </c>
      <c r="B917">
        <v>1438071</v>
      </c>
      <c r="D917" t="s">
        <v>7</v>
      </c>
      <c r="E917">
        <v>946832</v>
      </c>
      <c r="F917">
        <v>9015884123</v>
      </c>
      <c r="G917">
        <v>511</v>
      </c>
      <c r="H917" t="s">
        <v>1455</v>
      </c>
      <c r="I917">
        <v>0</v>
      </c>
      <c r="J917" t="s">
        <v>1456</v>
      </c>
      <c r="K917" t="s">
        <v>8</v>
      </c>
      <c r="L917" t="s">
        <v>67</v>
      </c>
      <c r="M917" t="s">
        <v>9</v>
      </c>
      <c r="N917" t="s">
        <v>14</v>
      </c>
      <c r="O917" s="2">
        <v>1665444.9</v>
      </c>
      <c r="P917" s="3">
        <v>15421.393</v>
      </c>
      <c r="Q917" s="1">
        <v>46033</v>
      </c>
      <c r="R917" s="1">
        <v>45992</v>
      </c>
      <c r="S917" s="1">
        <v>46022</v>
      </c>
      <c r="V917" s="8">
        <v>1</v>
      </c>
      <c r="W917" t="s">
        <v>24</v>
      </c>
      <c r="X917" t="s">
        <v>1457</v>
      </c>
      <c r="Y917" t="s">
        <v>10</v>
      </c>
      <c r="Z917" t="s">
        <v>11</v>
      </c>
      <c r="AA917">
        <v>62371</v>
      </c>
      <c r="AB917">
        <v>21376595</v>
      </c>
      <c r="AC917">
        <v>1</v>
      </c>
      <c r="AD917" s="8"/>
    </row>
    <row r="918" spans="1:30" x14ac:dyDescent="0.3">
      <c r="A918" t="s">
        <v>1627</v>
      </c>
      <c r="B918">
        <v>1443052</v>
      </c>
      <c r="D918" t="s">
        <v>7</v>
      </c>
      <c r="E918">
        <v>946853</v>
      </c>
      <c r="F918">
        <v>9015884123</v>
      </c>
      <c r="G918">
        <v>518</v>
      </c>
      <c r="H918" t="s">
        <v>976</v>
      </c>
      <c r="I918">
        <v>0</v>
      </c>
      <c r="J918" t="s">
        <v>977</v>
      </c>
      <c r="K918" t="s">
        <v>8</v>
      </c>
      <c r="L918" t="s">
        <v>18</v>
      </c>
      <c r="M918" t="s">
        <v>9</v>
      </c>
      <c r="N918" t="s">
        <v>14</v>
      </c>
      <c r="O918" s="2">
        <v>-2.62</v>
      </c>
      <c r="P918" s="3">
        <v>0</v>
      </c>
      <c r="Q918" s="1">
        <v>46033</v>
      </c>
      <c r="R918" s="1">
        <v>45992</v>
      </c>
      <c r="S918" s="1">
        <v>46022</v>
      </c>
      <c r="V918" s="8">
        <v>1</v>
      </c>
      <c r="W918" t="s">
        <v>24</v>
      </c>
      <c r="X918" t="s">
        <v>978</v>
      </c>
      <c r="Y918" t="s">
        <v>10</v>
      </c>
      <c r="Z918" t="s">
        <v>11</v>
      </c>
      <c r="AA918">
        <v>62371</v>
      </c>
      <c r="AB918">
        <v>19770738</v>
      </c>
      <c r="AC918">
        <v>0</v>
      </c>
      <c r="AD918" s="8"/>
    </row>
    <row r="919" spans="1:30" x14ac:dyDescent="0.3">
      <c r="A919" t="s">
        <v>1627</v>
      </c>
      <c r="B919">
        <v>1441789</v>
      </c>
      <c r="D919" t="s">
        <v>7</v>
      </c>
      <c r="E919">
        <v>946841</v>
      </c>
      <c r="F919">
        <v>9015884123</v>
      </c>
      <c r="G919">
        <v>515</v>
      </c>
      <c r="H919" t="s">
        <v>1467</v>
      </c>
      <c r="I919">
        <v>0</v>
      </c>
      <c r="J919" t="s">
        <v>1468</v>
      </c>
      <c r="K919" t="s">
        <v>8</v>
      </c>
      <c r="L919" t="s">
        <v>67</v>
      </c>
      <c r="M919" t="s">
        <v>9</v>
      </c>
      <c r="N919" t="s">
        <v>14</v>
      </c>
      <c r="O919" s="2">
        <v>66539.100000000006</v>
      </c>
      <c r="P919" s="3">
        <v>616.12699999999995</v>
      </c>
      <c r="Q919" s="1">
        <v>46033</v>
      </c>
      <c r="R919" s="1">
        <v>45992</v>
      </c>
      <c r="S919" s="1">
        <v>46022</v>
      </c>
      <c r="V919" s="8">
        <v>1</v>
      </c>
      <c r="W919" t="s">
        <v>24</v>
      </c>
      <c r="X919" t="s">
        <v>1469</v>
      </c>
      <c r="Y919" t="s">
        <v>10</v>
      </c>
      <c r="Z919" t="s">
        <v>11</v>
      </c>
      <c r="AA919">
        <v>62371</v>
      </c>
      <c r="AB919">
        <v>19890011</v>
      </c>
      <c r="AC919">
        <v>1</v>
      </c>
      <c r="AD919" s="8"/>
    </row>
    <row r="920" spans="1:30" x14ac:dyDescent="0.3">
      <c r="A920" t="s">
        <v>1627</v>
      </c>
      <c r="B920">
        <v>1441790</v>
      </c>
      <c r="D920" t="s">
        <v>7</v>
      </c>
      <c r="E920">
        <v>946845</v>
      </c>
      <c r="F920">
        <v>9015884123</v>
      </c>
      <c r="G920">
        <v>516</v>
      </c>
      <c r="H920" t="s">
        <v>520</v>
      </c>
      <c r="I920">
        <v>0</v>
      </c>
      <c r="J920" t="s">
        <v>521</v>
      </c>
      <c r="K920" t="s">
        <v>8</v>
      </c>
      <c r="L920" t="s">
        <v>15</v>
      </c>
      <c r="M920" t="s">
        <v>9</v>
      </c>
      <c r="N920" t="s">
        <v>14</v>
      </c>
      <c r="O920" s="2">
        <v>0</v>
      </c>
      <c r="P920" s="3">
        <v>36.692</v>
      </c>
      <c r="Q920" s="1">
        <v>46033</v>
      </c>
      <c r="R920" s="1">
        <v>45992</v>
      </c>
      <c r="S920" s="1">
        <v>46022</v>
      </c>
      <c r="V920" s="8">
        <v>1</v>
      </c>
      <c r="W920" t="s">
        <v>24</v>
      </c>
      <c r="X920" t="s">
        <v>522</v>
      </c>
      <c r="Y920" t="s">
        <v>10</v>
      </c>
      <c r="Z920" t="s">
        <v>11</v>
      </c>
      <c r="AA920">
        <v>62371</v>
      </c>
      <c r="AB920">
        <v>19889947</v>
      </c>
      <c r="AC920">
        <v>1</v>
      </c>
      <c r="AD920" s="8"/>
    </row>
    <row r="921" spans="1:30" x14ac:dyDescent="0.3">
      <c r="A921" t="s">
        <v>1627</v>
      </c>
      <c r="B921">
        <v>1441790</v>
      </c>
      <c r="D921" t="s">
        <v>7</v>
      </c>
      <c r="E921">
        <v>946845</v>
      </c>
      <c r="F921">
        <v>9015884123</v>
      </c>
      <c r="G921">
        <v>516</v>
      </c>
      <c r="H921" t="s">
        <v>520</v>
      </c>
      <c r="I921">
        <v>0</v>
      </c>
      <c r="J921" t="s">
        <v>521</v>
      </c>
      <c r="K921" t="s">
        <v>8</v>
      </c>
      <c r="L921" t="s">
        <v>67</v>
      </c>
      <c r="M921" t="s">
        <v>9</v>
      </c>
      <c r="N921" t="s">
        <v>14</v>
      </c>
      <c r="O921" s="2">
        <v>3962.58</v>
      </c>
      <c r="P921" s="3">
        <v>36.692</v>
      </c>
      <c r="Q921" s="1">
        <v>46033</v>
      </c>
      <c r="R921" s="1">
        <v>45992</v>
      </c>
      <c r="S921" s="1">
        <v>46022</v>
      </c>
      <c r="V921" s="8">
        <v>1</v>
      </c>
      <c r="W921" t="s">
        <v>24</v>
      </c>
      <c r="X921" t="s">
        <v>522</v>
      </c>
      <c r="Y921" t="s">
        <v>10</v>
      </c>
      <c r="Z921" t="s">
        <v>11</v>
      </c>
      <c r="AA921">
        <v>62371</v>
      </c>
      <c r="AB921">
        <v>19889947</v>
      </c>
      <c r="AC921">
        <v>1</v>
      </c>
      <c r="AD921" s="8"/>
    </row>
    <row r="922" spans="1:30" x14ac:dyDescent="0.3">
      <c r="A922" t="s">
        <v>1627</v>
      </c>
      <c r="B922">
        <v>1443051</v>
      </c>
      <c r="D922" t="s">
        <v>7</v>
      </c>
      <c r="E922">
        <v>946849</v>
      </c>
      <c r="F922">
        <v>9015884123</v>
      </c>
      <c r="G922">
        <v>517</v>
      </c>
      <c r="H922" t="s">
        <v>1304</v>
      </c>
      <c r="I922">
        <v>0</v>
      </c>
      <c r="J922" t="s">
        <v>1305</v>
      </c>
      <c r="K922" t="s">
        <v>8</v>
      </c>
      <c r="L922" t="s">
        <v>18</v>
      </c>
      <c r="M922" t="s">
        <v>9</v>
      </c>
      <c r="N922" t="s">
        <v>14</v>
      </c>
      <c r="O922" s="2">
        <v>-0.38</v>
      </c>
      <c r="P922" s="3">
        <v>0</v>
      </c>
      <c r="Q922" s="1">
        <v>46033</v>
      </c>
      <c r="R922" s="1">
        <v>45992</v>
      </c>
      <c r="S922" s="1">
        <v>46022</v>
      </c>
      <c r="V922" s="8">
        <v>1</v>
      </c>
      <c r="W922" t="s">
        <v>24</v>
      </c>
      <c r="X922" t="s">
        <v>1306</v>
      </c>
      <c r="Y922" t="s">
        <v>10</v>
      </c>
      <c r="Z922" t="s">
        <v>11</v>
      </c>
      <c r="AA922">
        <v>62371</v>
      </c>
      <c r="AB922">
        <v>17675642</v>
      </c>
      <c r="AC922">
        <v>1</v>
      </c>
      <c r="AD922" s="8"/>
    </row>
    <row r="923" spans="1:30" x14ac:dyDescent="0.3">
      <c r="A923" t="s">
        <v>1627</v>
      </c>
      <c r="B923">
        <v>1446202</v>
      </c>
      <c r="D923" t="s">
        <v>7</v>
      </c>
      <c r="E923">
        <v>946887</v>
      </c>
      <c r="F923">
        <v>9015884123</v>
      </c>
      <c r="G923">
        <v>527</v>
      </c>
      <c r="H923" t="s">
        <v>1470</v>
      </c>
      <c r="I923">
        <v>0</v>
      </c>
      <c r="J923" t="s">
        <v>1471</v>
      </c>
      <c r="K923" t="s">
        <v>8</v>
      </c>
      <c r="L923" t="s">
        <v>67</v>
      </c>
      <c r="M923" t="s">
        <v>9</v>
      </c>
      <c r="N923" t="s">
        <v>14</v>
      </c>
      <c r="O923" s="2">
        <v>191286.93</v>
      </c>
      <c r="P923" s="3">
        <v>1771.2449999999999</v>
      </c>
      <c r="Q923" s="1">
        <v>46033</v>
      </c>
      <c r="R923" s="1">
        <v>45992</v>
      </c>
      <c r="S923" s="1">
        <v>46022</v>
      </c>
      <c r="V923" s="8">
        <v>1</v>
      </c>
      <c r="W923" t="s">
        <v>24</v>
      </c>
      <c r="X923" t="s">
        <v>1472</v>
      </c>
      <c r="Y923" t="s">
        <v>10</v>
      </c>
      <c r="Z923" t="s">
        <v>11</v>
      </c>
      <c r="AA923">
        <v>62371</v>
      </c>
      <c r="AB923">
        <v>18629844</v>
      </c>
      <c r="AC923">
        <v>1</v>
      </c>
      <c r="AD923" s="8"/>
    </row>
    <row r="924" spans="1:30" x14ac:dyDescent="0.3">
      <c r="A924" t="s">
        <v>1627</v>
      </c>
      <c r="B924">
        <v>1282989</v>
      </c>
      <c r="D924" t="s">
        <v>7</v>
      </c>
      <c r="E924">
        <v>945192</v>
      </c>
      <c r="F924">
        <v>9015884123</v>
      </c>
      <c r="G924">
        <v>5</v>
      </c>
      <c r="H924" t="s">
        <v>1307</v>
      </c>
      <c r="I924">
        <v>0</v>
      </c>
      <c r="J924" t="s">
        <v>1308</v>
      </c>
      <c r="K924" t="s">
        <v>8</v>
      </c>
      <c r="L924" t="s">
        <v>67</v>
      </c>
      <c r="M924" t="s">
        <v>9</v>
      </c>
      <c r="N924" t="s">
        <v>14</v>
      </c>
      <c r="O924" s="2">
        <v>18571.919999999998</v>
      </c>
      <c r="P924" s="3">
        <v>171.96899999999999</v>
      </c>
      <c r="Q924" s="1">
        <v>46033</v>
      </c>
      <c r="R924" s="1">
        <v>45992</v>
      </c>
      <c r="S924" s="1">
        <v>46022</v>
      </c>
      <c r="V924" s="8">
        <v>1</v>
      </c>
      <c r="W924" t="s">
        <v>24</v>
      </c>
      <c r="X924" t="s">
        <v>1309</v>
      </c>
      <c r="Y924" t="s">
        <v>10</v>
      </c>
      <c r="Z924" t="s">
        <v>11</v>
      </c>
      <c r="AA924">
        <v>62371</v>
      </c>
      <c r="AB924">
        <v>18320485</v>
      </c>
      <c r="AC924">
        <v>1</v>
      </c>
      <c r="AD924" s="8"/>
    </row>
    <row r="925" spans="1:30" x14ac:dyDescent="0.3">
      <c r="A925" t="s">
        <v>1627</v>
      </c>
      <c r="B925">
        <v>1427128</v>
      </c>
      <c r="D925" t="s">
        <v>7</v>
      </c>
      <c r="E925">
        <v>946909</v>
      </c>
      <c r="F925">
        <v>9015884123</v>
      </c>
      <c r="G925">
        <v>533</v>
      </c>
      <c r="H925" t="s">
        <v>1473</v>
      </c>
      <c r="I925">
        <v>0</v>
      </c>
      <c r="J925" t="s">
        <v>1474</v>
      </c>
      <c r="K925" t="s">
        <v>8</v>
      </c>
      <c r="L925" t="s">
        <v>19</v>
      </c>
      <c r="M925" t="s">
        <v>9</v>
      </c>
      <c r="N925" t="s">
        <v>14</v>
      </c>
      <c r="O925" s="2">
        <v>1326685.9099999999</v>
      </c>
      <c r="P925" s="3">
        <v>10423.523999999999</v>
      </c>
      <c r="Q925" s="1">
        <v>46033</v>
      </c>
      <c r="R925" s="1">
        <v>45992</v>
      </c>
      <c r="S925" s="1">
        <v>46022</v>
      </c>
      <c r="V925" s="8">
        <v>2</v>
      </c>
      <c r="W925" t="s">
        <v>24</v>
      </c>
      <c r="X925" t="s">
        <v>1475</v>
      </c>
      <c r="Y925" t="s">
        <v>10</v>
      </c>
      <c r="Z925" t="s">
        <v>11</v>
      </c>
      <c r="AA925">
        <v>62371</v>
      </c>
      <c r="AB925">
        <v>19382091</v>
      </c>
      <c r="AC925">
        <v>1</v>
      </c>
      <c r="AD925" s="8"/>
    </row>
    <row r="926" spans="1:30" x14ac:dyDescent="0.3">
      <c r="A926" t="s">
        <v>1627</v>
      </c>
      <c r="B926">
        <v>1449296</v>
      </c>
      <c r="D926" t="s">
        <v>7</v>
      </c>
      <c r="E926">
        <v>949192</v>
      </c>
      <c r="F926">
        <v>9015884123</v>
      </c>
      <c r="G926">
        <v>535</v>
      </c>
      <c r="H926" t="s">
        <v>991</v>
      </c>
      <c r="I926">
        <v>0</v>
      </c>
      <c r="J926" t="s">
        <v>992</v>
      </c>
      <c r="K926" t="s">
        <v>8</v>
      </c>
      <c r="L926" t="s">
        <v>18</v>
      </c>
      <c r="M926" t="s">
        <v>9</v>
      </c>
      <c r="N926" t="s">
        <v>14</v>
      </c>
      <c r="O926" s="2">
        <v>-4.3899999999999997</v>
      </c>
      <c r="P926" s="3">
        <v>0</v>
      </c>
      <c r="Q926" s="1">
        <v>46035</v>
      </c>
      <c r="R926" s="1">
        <v>46011</v>
      </c>
      <c r="S926" s="1">
        <v>46022</v>
      </c>
      <c r="V926" s="8">
        <v>1</v>
      </c>
      <c r="W926" t="s">
        <v>24</v>
      </c>
      <c r="X926" t="s">
        <v>993</v>
      </c>
      <c r="Y926" t="s">
        <v>10</v>
      </c>
      <c r="Z926" t="s">
        <v>11</v>
      </c>
      <c r="AA926">
        <v>62371</v>
      </c>
      <c r="AB926">
        <v>21537707</v>
      </c>
      <c r="AC926">
        <v>1</v>
      </c>
      <c r="AD926" s="8"/>
    </row>
    <row r="927" spans="1:30" x14ac:dyDescent="0.3">
      <c r="A927" t="s">
        <v>1627</v>
      </c>
      <c r="B927">
        <v>1303720</v>
      </c>
      <c r="D927" t="s">
        <v>7</v>
      </c>
      <c r="E927">
        <v>945156</v>
      </c>
      <c r="F927">
        <v>9015884123</v>
      </c>
      <c r="G927">
        <v>30</v>
      </c>
      <c r="H927" t="s">
        <v>1476</v>
      </c>
      <c r="I927">
        <v>0</v>
      </c>
      <c r="J927" t="s">
        <v>1477</v>
      </c>
      <c r="K927" t="s">
        <v>8</v>
      </c>
      <c r="L927" t="s">
        <v>18</v>
      </c>
      <c r="M927" t="s">
        <v>9</v>
      </c>
      <c r="N927" t="s">
        <v>14</v>
      </c>
      <c r="O927" s="2">
        <v>0.44</v>
      </c>
      <c r="P927" s="3">
        <v>0</v>
      </c>
      <c r="Q927" s="1">
        <v>46033</v>
      </c>
      <c r="R927" s="1">
        <v>45992</v>
      </c>
      <c r="S927" s="1">
        <v>46022</v>
      </c>
      <c r="V927" s="8">
        <v>1</v>
      </c>
      <c r="W927" t="s">
        <v>24</v>
      </c>
      <c r="X927" t="s">
        <v>1478</v>
      </c>
      <c r="Y927" t="s">
        <v>10</v>
      </c>
      <c r="Z927" t="s">
        <v>11</v>
      </c>
      <c r="AA927">
        <v>62371</v>
      </c>
      <c r="AB927">
        <v>19402714</v>
      </c>
      <c r="AC927">
        <v>0</v>
      </c>
      <c r="AD927" s="8"/>
    </row>
    <row r="928" spans="1:30" x14ac:dyDescent="0.3">
      <c r="A928" t="s">
        <v>1627</v>
      </c>
      <c r="B928">
        <v>1296891</v>
      </c>
      <c r="D928" t="s">
        <v>7</v>
      </c>
      <c r="E928">
        <v>945117</v>
      </c>
      <c r="F928">
        <v>9015884123</v>
      </c>
      <c r="G928">
        <v>11</v>
      </c>
      <c r="H928" t="s">
        <v>997</v>
      </c>
      <c r="I928">
        <v>0</v>
      </c>
      <c r="J928" t="s">
        <v>998</v>
      </c>
      <c r="K928" t="s">
        <v>8</v>
      </c>
      <c r="L928" t="s">
        <v>15</v>
      </c>
      <c r="M928" t="s">
        <v>9</v>
      </c>
      <c r="N928" t="s">
        <v>14</v>
      </c>
      <c r="O928" s="2">
        <v>0</v>
      </c>
      <c r="P928" s="3">
        <v>543.48500000000001</v>
      </c>
      <c r="Q928" s="1">
        <v>46033</v>
      </c>
      <c r="R928" s="1">
        <v>45992</v>
      </c>
      <c r="S928" s="1">
        <v>46022</v>
      </c>
      <c r="V928" s="8">
        <v>1</v>
      </c>
      <c r="W928" t="s">
        <v>24</v>
      </c>
      <c r="X928" t="s">
        <v>999</v>
      </c>
      <c r="Y928" t="s">
        <v>10</v>
      </c>
      <c r="Z928" t="s">
        <v>11</v>
      </c>
      <c r="AA928">
        <v>62371</v>
      </c>
      <c r="AB928">
        <v>21394698</v>
      </c>
      <c r="AC928">
        <v>1</v>
      </c>
      <c r="AD928" s="8"/>
    </row>
    <row r="929" spans="1:30" x14ac:dyDescent="0.3">
      <c r="A929" t="s">
        <v>1627</v>
      </c>
      <c r="B929">
        <v>1296893</v>
      </c>
      <c r="D929" t="s">
        <v>7</v>
      </c>
      <c r="E929">
        <v>945119</v>
      </c>
      <c r="F929">
        <v>9015884123</v>
      </c>
      <c r="G929">
        <v>12</v>
      </c>
      <c r="H929" t="s">
        <v>1479</v>
      </c>
      <c r="I929">
        <v>0</v>
      </c>
      <c r="J929" t="s">
        <v>1480</v>
      </c>
      <c r="K929" t="s">
        <v>8</v>
      </c>
      <c r="L929" t="s">
        <v>15</v>
      </c>
      <c r="M929" t="s">
        <v>9</v>
      </c>
      <c r="N929" t="s">
        <v>14</v>
      </c>
      <c r="O929" s="2">
        <v>0</v>
      </c>
      <c r="P929" s="3">
        <v>103.286</v>
      </c>
      <c r="Q929" s="1">
        <v>46033</v>
      </c>
      <c r="R929" s="1">
        <v>45992</v>
      </c>
      <c r="S929" s="1">
        <v>46022</v>
      </c>
      <c r="V929" s="8">
        <v>1</v>
      </c>
      <c r="W929" t="s">
        <v>24</v>
      </c>
      <c r="X929" t="s">
        <v>1481</v>
      </c>
      <c r="Y929" t="s">
        <v>10</v>
      </c>
      <c r="Z929" t="s">
        <v>11</v>
      </c>
      <c r="AA929">
        <v>62371</v>
      </c>
      <c r="AB929">
        <v>21394695</v>
      </c>
      <c r="AC929">
        <v>1</v>
      </c>
      <c r="AD929" s="8"/>
    </row>
    <row r="930" spans="1:30" x14ac:dyDescent="0.3">
      <c r="A930" t="s">
        <v>1627</v>
      </c>
      <c r="B930">
        <v>1296899</v>
      </c>
      <c r="D930" t="s">
        <v>7</v>
      </c>
      <c r="E930">
        <v>945123</v>
      </c>
      <c r="F930">
        <v>9015884123</v>
      </c>
      <c r="G930">
        <v>14</v>
      </c>
      <c r="H930" t="s">
        <v>988</v>
      </c>
      <c r="I930">
        <v>0</v>
      </c>
      <c r="J930" t="s">
        <v>989</v>
      </c>
      <c r="K930" t="s">
        <v>8</v>
      </c>
      <c r="L930" t="s">
        <v>67</v>
      </c>
      <c r="M930" t="s">
        <v>9</v>
      </c>
      <c r="N930" t="s">
        <v>14</v>
      </c>
      <c r="O930" s="2">
        <v>43230.48</v>
      </c>
      <c r="P930" s="3">
        <v>400.298</v>
      </c>
      <c r="Q930" s="1">
        <v>46033</v>
      </c>
      <c r="R930" s="1">
        <v>45992</v>
      </c>
      <c r="S930" s="1">
        <v>46022</v>
      </c>
      <c r="V930" s="8">
        <v>1</v>
      </c>
      <c r="W930" t="s">
        <v>24</v>
      </c>
      <c r="X930" t="s">
        <v>990</v>
      </c>
      <c r="Y930" t="s">
        <v>10</v>
      </c>
      <c r="Z930" t="s">
        <v>11</v>
      </c>
      <c r="AA930">
        <v>62371</v>
      </c>
      <c r="AB930">
        <v>21394691</v>
      </c>
      <c r="AC930">
        <v>1</v>
      </c>
      <c r="AD930" s="8"/>
    </row>
    <row r="931" spans="1:30" x14ac:dyDescent="0.3">
      <c r="A931" t="s">
        <v>1627</v>
      </c>
      <c r="B931">
        <v>1297930</v>
      </c>
      <c r="D931" t="s">
        <v>7</v>
      </c>
      <c r="E931">
        <v>945138</v>
      </c>
      <c r="F931">
        <v>9015884123</v>
      </c>
      <c r="G931">
        <v>20</v>
      </c>
      <c r="H931" t="s">
        <v>1006</v>
      </c>
      <c r="I931">
        <v>0</v>
      </c>
      <c r="J931" t="s">
        <v>1007</v>
      </c>
      <c r="K931" t="s">
        <v>8</v>
      </c>
      <c r="L931" t="s">
        <v>67</v>
      </c>
      <c r="M931" t="s">
        <v>9</v>
      </c>
      <c r="N931" t="s">
        <v>14</v>
      </c>
      <c r="O931" s="2">
        <v>189392.15</v>
      </c>
      <c r="P931" s="3">
        <v>1753.7</v>
      </c>
      <c r="Q931" s="1">
        <v>46033</v>
      </c>
      <c r="R931" s="1">
        <v>45992</v>
      </c>
      <c r="S931" s="1">
        <v>46022</v>
      </c>
      <c r="V931" s="8">
        <v>1</v>
      </c>
      <c r="W931" t="s">
        <v>24</v>
      </c>
      <c r="X931" t="s">
        <v>1008</v>
      </c>
      <c r="Y931" t="s">
        <v>10</v>
      </c>
      <c r="Z931" t="s">
        <v>11</v>
      </c>
      <c r="AA931">
        <v>62371</v>
      </c>
      <c r="AB931">
        <v>21394684</v>
      </c>
      <c r="AC931">
        <v>1</v>
      </c>
      <c r="AD931" s="8"/>
    </row>
    <row r="932" spans="1:30" x14ac:dyDescent="0.3">
      <c r="A932" t="s">
        <v>1627</v>
      </c>
      <c r="B932">
        <v>1340678</v>
      </c>
      <c r="D932" t="s">
        <v>7</v>
      </c>
      <c r="E932">
        <v>945244</v>
      </c>
      <c r="F932">
        <v>9015884123</v>
      </c>
      <c r="G932">
        <v>65</v>
      </c>
      <c r="H932" t="s">
        <v>577</v>
      </c>
      <c r="I932">
        <v>0</v>
      </c>
      <c r="J932" t="s">
        <v>578</v>
      </c>
      <c r="K932" t="s">
        <v>8</v>
      </c>
      <c r="L932" t="s">
        <v>18</v>
      </c>
      <c r="M932" t="s">
        <v>9</v>
      </c>
      <c r="N932" t="s">
        <v>14</v>
      </c>
      <c r="O932" s="2">
        <v>0.24</v>
      </c>
      <c r="P932" s="3">
        <v>0</v>
      </c>
      <c r="Q932" s="1">
        <v>46033</v>
      </c>
      <c r="R932" s="1">
        <v>45992</v>
      </c>
      <c r="S932" s="1">
        <v>46022</v>
      </c>
      <c r="V932" s="8">
        <v>1</v>
      </c>
      <c r="W932" t="s">
        <v>24</v>
      </c>
      <c r="X932" t="s">
        <v>579</v>
      </c>
      <c r="Y932" t="s">
        <v>10</v>
      </c>
      <c r="Z932" t="s">
        <v>11</v>
      </c>
      <c r="AA932">
        <v>62371</v>
      </c>
      <c r="AB932">
        <v>17032641</v>
      </c>
      <c r="AC932">
        <v>1</v>
      </c>
      <c r="AD932" s="8"/>
    </row>
    <row r="933" spans="1:30" x14ac:dyDescent="0.3">
      <c r="A933" t="s">
        <v>1627</v>
      </c>
      <c r="B933">
        <v>1335625</v>
      </c>
      <c r="D933" t="s">
        <v>7</v>
      </c>
      <c r="E933">
        <v>945194</v>
      </c>
      <c r="F933">
        <v>9015884123</v>
      </c>
      <c r="G933">
        <v>50</v>
      </c>
      <c r="H933" t="s">
        <v>1482</v>
      </c>
      <c r="I933">
        <v>0</v>
      </c>
      <c r="J933" t="s">
        <v>1483</v>
      </c>
      <c r="K933" t="s">
        <v>8</v>
      </c>
      <c r="L933" t="s">
        <v>15</v>
      </c>
      <c r="M933" t="s">
        <v>9</v>
      </c>
      <c r="N933" t="s">
        <v>14</v>
      </c>
      <c r="O933" s="2">
        <v>0</v>
      </c>
      <c r="P933" s="3">
        <v>15832.103999999999</v>
      </c>
      <c r="Q933" s="1">
        <v>46033</v>
      </c>
      <c r="R933" s="1">
        <v>45992</v>
      </c>
      <c r="S933" s="1">
        <v>46022</v>
      </c>
      <c r="V933" s="8">
        <v>1</v>
      </c>
      <c r="W933" t="s">
        <v>24</v>
      </c>
      <c r="X933" t="s">
        <v>1484</v>
      </c>
      <c r="Y933" t="s">
        <v>10</v>
      </c>
      <c r="Z933" t="s">
        <v>11</v>
      </c>
      <c r="AA933">
        <v>62371</v>
      </c>
      <c r="AB933">
        <v>17513208</v>
      </c>
      <c r="AC933">
        <v>1</v>
      </c>
      <c r="AD933" s="8"/>
    </row>
    <row r="934" spans="1:30" x14ac:dyDescent="0.3">
      <c r="A934" t="s">
        <v>1627</v>
      </c>
      <c r="B934">
        <v>1340625</v>
      </c>
      <c r="D934" t="s">
        <v>7</v>
      </c>
      <c r="E934">
        <v>945221</v>
      </c>
      <c r="F934">
        <v>9015884123</v>
      </c>
      <c r="G934">
        <v>59</v>
      </c>
      <c r="H934" t="s">
        <v>1485</v>
      </c>
      <c r="I934">
        <v>0</v>
      </c>
      <c r="J934" t="s">
        <v>1486</v>
      </c>
      <c r="K934" t="s">
        <v>8</v>
      </c>
      <c r="L934" t="s">
        <v>19</v>
      </c>
      <c r="M934" t="s">
        <v>9</v>
      </c>
      <c r="N934" t="s">
        <v>14</v>
      </c>
      <c r="O934" s="2">
        <v>19876.32</v>
      </c>
      <c r="P934" s="3">
        <v>121.824</v>
      </c>
      <c r="Q934" s="1">
        <v>46033</v>
      </c>
      <c r="R934" s="1">
        <v>45992</v>
      </c>
      <c r="S934" s="1">
        <v>46022</v>
      </c>
      <c r="V934" s="8">
        <v>1</v>
      </c>
      <c r="W934" t="s">
        <v>24</v>
      </c>
      <c r="X934" t="s">
        <v>1487</v>
      </c>
      <c r="Y934" t="s">
        <v>10</v>
      </c>
      <c r="Z934" t="s">
        <v>11</v>
      </c>
      <c r="AA934">
        <v>62371</v>
      </c>
      <c r="AB934">
        <v>18158551</v>
      </c>
      <c r="AC934">
        <v>1</v>
      </c>
      <c r="AD934" s="8"/>
    </row>
    <row r="935" spans="1:30" x14ac:dyDescent="0.3">
      <c r="A935" t="s">
        <v>1627</v>
      </c>
      <c r="B935">
        <v>1441789</v>
      </c>
      <c r="D935" t="s">
        <v>7</v>
      </c>
      <c r="E935">
        <v>946841</v>
      </c>
      <c r="F935">
        <v>9015884123</v>
      </c>
      <c r="G935">
        <v>515</v>
      </c>
      <c r="H935" t="s">
        <v>1467</v>
      </c>
      <c r="I935">
        <v>0</v>
      </c>
      <c r="J935" t="s">
        <v>1468</v>
      </c>
      <c r="K935" t="s">
        <v>8</v>
      </c>
      <c r="L935" t="s">
        <v>19</v>
      </c>
      <c r="M935" t="s">
        <v>9</v>
      </c>
      <c r="N935" t="s">
        <v>14</v>
      </c>
      <c r="O935" s="2">
        <v>3373.25</v>
      </c>
      <c r="P935" s="3">
        <v>20.675000000000001</v>
      </c>
      <c r="Q935" s="1">
        <v>46033</v>
      </c>
      <c r="R935" s="1">
        <v>45992</v>
      </c>
      <c r="S935" s="1">
        <v>46022</v>
      </c>
      <c r="V935" s="8">
        <v>1</v>
      </c>
      <c r="W935" t="s">
        <v>24</v>
      </c>
      <c r="X935" t="s">
        <v>1469</v>
      </c>
      <c r="Y935" t="s">
        <v>10</v>
      </c>
      <c r="Z935" t="s">
        <v>11</v>
      </c>
      <c r="AA935">
        <v>62371</v>
      </c>
      <c r="AB935">
        <v>19890011</v>
      </c>
      <c r="AC935">
        <v>1</v>
      </c>
      <c r="AD935" s="8"/>
    </row>
    <row r="936" spans="1:30" x14ac:dyDescent="0.3">
      <c r="A936" t="s">
        <v>1627</v>
      </c>
      <c r="B936">
        <v>1441790</v>
      </c>
      <c r="D936" t="s">
        <v>7</v>
      </c>
      <c r="E936">
        <v>946845</v>
      </c>
      <c r="F936">
        <v>9015884123</v>
      </c>
      <c r="G936">
        <v>516</v>
      </c>
      <c r="H936" t="s">
        <v>520</v>
      </c>
      <c r="I936">
        <v>0</v>
      </c>
      <c r="J936" t="s">
        <v>521</v>
      </c>
      <c r="K936" t="s">
        <v>8</v>
      </c>
      <c r="L936" t="s">
        <v>18</v>
      </c>
      <c r="M936" t="s">
        <v>9</v>
      </c>
      <c r="N936" t="s">
        <v>14</v>
      </c>
      <c r="O936" s="2">
        <v>0.4</v>
      </c>
      <c r="P936" s="3">
        <v>0</v>
      </c>
      <c r="Q936" s="1">
        <v>46033</v>
      </c>
      <c r="R936" s="1">
        <v>45992</v>
      </c>
      <c r="S936" s="1">
        <v>46022</v>
      </c>
      <c r="V936" s="8">
        <v>1</v>
      </c>
      <c r="W936" t="s">
        <v>24</v>
      </c>
      <c r="X936" t="s">
        <v>522</v>
      </c>
      <c r="Y936" t="s">
        <v>10</v>
      </c>
      <c r="Z936" t="s">
        <v>11</v>
      </c>
      <c r="AA936">
        <v>62371</v>
      </c>
      <c r="AB936">
        <v>19889947</v>
      </c>
      <c r="AC936">
        <v>1</v>
      </c>
      <c r="AD936" s="8"/>
    </row>
    <row r="937" spans="1:30" x14ac:dyDescent="0.3">
      <c r="A937" t="s">
        <v>1627</v>
      </c>
      <c r="B937">
        <v>1354511</v>
      </c>
      <c r="D937" t="s">
        <v>7</v>
      </c>
      <c r="E937">
        <v>945353</v>
      </c>
      <c r="F937">
        <v>9015884123</v>
      </c>
      <c r="G937">
        <v>97</v>
      </c>
      <c r="H937" t="s">
        <v>1349</v>
      </c>
      <c r="I937">
        <v>0</v>
      </c>
      <c r="J937" t="s">
        <v>1350</v>
      </c>
      <c r="K937" t="s">
        <v>8</v>
      </c>
      <c r="L937" t="s">
        <v>18</v>
      </c>
      <c r="M937" t="s">
        <v>9</v>
      </c>
      <c r="N937" t="s">
        <v>14</v>
      </c>
      <c r="O937" s="2">
        <v>-0.56999999999999995</v>
      </c>
      <c r="P937" s="3">
        <v>0</v>
      </c>
      <c r="Q937" s="1">
        <v>46033</v>
      </c>
      <c r="R937" s="1">
        <v>45992</v>
      </c>
      <c r="S937" s="1">
        <v>46022</v>
      </c>
      <c r="V937" s="8">
        <v>1</v>
      </c>
      <c r="W937" t="s">
        <v>24</v>
      </c>
      <c r="X937" t="s">
        <v>1351</v>
      </c>
      <c r="Y937" t="s">
        <v>32</v>
      </c>
      <c r="Z937" t="s">
        <v>11</v>
      </c>
      <c r="AA937">
        <v>62371</v>
      </c>
      <c r="AB937">
        <v>17704685</v>
      </c>
      <c r="AC937">
        <v>0</v>
      </c>
      <c r="AD937" s="8"/>
    </row>
    <row r="938" spans="1:30" x14ac:dyDescent="0.3">
      <c r="A938" t="s">
        <v>1627</v>
      </c>
      <c r="B938">
        <v>1415104</v>
      </c>
      <c r="D938" t="s">
        <v>7</v>
      </c>
      <c r="E938">
        <v>946567</v>
      </c>
      <c r="F938">
        <v>9015884123</v>
      </c>
      <c r="G938">
        <v>425</v>
      </c>
      <c r="H938" t="s">
        <v>591</v>
      </c>
      <c r="I938">
        <v>0</v>
      </c>
      <c r="J938" t="s">
        <v>592</v>
      </c>
      <c r="K938" t="s">
        <v>8</v>
      </c>
      <c r="L938" t="s">
        <v>19</v>
      </c>
      <c r="M938" t="s">
        <v>9</v>
      </c>
      <c r="N938" t="s">
        <v>14</v>
      </c>
      <c r="O938" s="2">
        <v>8438.5499999999993</v>
      </c>
      <c r="P938" s="3">
        <v>42.707000000000001</v>
      </c>
      <c r="Q938" s="1">
        <v>46033</v>
      </c>
      <c r="R938" s="1">
        <v>45992</v>
      </c>
      <c r="S938" s="1">
        <v>46022</v>
      </c>
      <c r="V938" s="8">
        <v>1</v>
      </c>
      <c r="W938" t="s">
        <v>24</v>
      </c>
      <c r="X938" t="s">
        <v>593</v>
      </c>
      <c r="Y938" t="s">
        <v>35</v>
      </c>
      <c r="Z938" t="s">
        <v>11</v>
      </c>
      <c r="AA938">
        <v>62371</v>
      </c>
      <c r="AB938">
        <v>21401641</v>
      </c>
      <c r="AC938">
        <v>0</v>
      </c>
      <c r="AD938" s="8"/>
    </row>
    <row r="939" spans="1:30" x14ac:dyDescent="0.3">
      <c r="A939" t="s">
        <v>1627</v>
      </c>
      <c r="B939">
        <v>1415110</v>
      </c>
      <c r="D939" t="s">
        <v>7</v>
      </c>
      <c r="E939">
        <v>946483</v>
      </c>
      <c r="F939">
        <v>9015884123</v>
      </c>
      <c r="G939">
        <v>399</v>
      </c>
      <c r="H939" t="s">
        <v>1488</v>
      </c>
      <c r="I939">
        <v>0</v>
      </c>
      <c r="J939" t="s">
        <v>1489</v>
      </c>
      <c r="K939" t="s">
        <v>8</v>
      </c>
      <c r="L939" t="s">
        <v>19</v>
      </c>
      <c r="M939" t="s">
        <v>9</v>
      </c>
      <c r="N939" t="s">
        <v>14</v>
      </c>
      <c r="O939" s="2">
        <v>6278.48</v>
      </c>
      <c r="P939" s="3">
        <v>31.774999999999999</v>
      </c>
      <c r="Q939" s="1">
        <v>46033</v>
      </c>
      <c r="R939" s="1">
        <v>45992</v>
      </c>
      <c r="S939" s="1">
        <v>46022</v>
      </c>
      <c r="V939" s="8">
        <v>1</v>
      </c>
      <c r="W939" t="s">
        <v>24</v>
      </c>
      <c r="X939" t="s">
        <v>1490</v>
      </c>
      <c r="Y939" t="s">
        <v>38</v>
      </c>
      <c r="Z939" t="s">
        <v>11</v>
      </c>
      <c r="AA939">
        <v>62371</v>
      </c>
      <c r="AB939">
        <v>19536914</v>
      </c>
      <c r="AC939">
        <v>0</v>
      </c>
      <c r="AD939" s="8"/>
    </row>
    <row r="940" spans="1:30" x14ac:dyDescent="0.3">
      <c r="A940" t="s">
        <v>1627</v>
      </c>
      <c r="B940">
        <v>1353834</v>
      </c>
      <c r="D940" t="s">
        <v>7</v>
      </c>
      <c r="E940">
        <v>945359</v>
      </c>
      <c r="F940">
        <v>9015884123</v>
      </c>
      <c r="G940">
        <v>99</v>
      </c>
      <c r="H940" t="s">
        <v>1491</v>
      </c>
      <c r="I940">
        <v>0</v>
      </c>
      <c r="J940" t="s">
        <v>1492</v>
      </c>
      <c r="K940" t="s">
        <v>8</v>
      </c>
      <c r="L940" t="s">
        <v>19</v>
      </c>
      <c r="M940" t="s">
        <v>9</v>
      </c>
      <c r="N940" t="s">
        <v>14</v>
      </c>
      <c r="O940" s="2">
        <v>21483.56</v>
      </c>
      <c r="P940" s="3">
        <v>108.727</v>
      </c>
      <c r="Q940" s="1">
        <v>46033</v>
      </c>
      <c r="R940" s="1">
        <v>45992</v>
      </c>
      <c r="S940" s="1">
        <v>46022</v>
      </c>
      <c r="V940" s="8">
        <v>1</v>
      </c>
      <c r="W940" t="s">
        <v>24</v>
      </c>
      <c r="X940" t="s">
        <v>1493</v>
      </c>
      <c r="Y940" t="s">
        <v>38</v>
      </c>
      <c r="Z940" t="s">
        <v>11</v>
      </c>
      <c r="AA940">
        <v>62371</v>
      </c>
      <c r="AB940">
        <v>18345359</v>
      </c>
      <c r="AC940">
        <v>0</v>
      </c>
      <c r="AD940" s="8"/>
    </row>
    <row r="941" spans="1:30" x14ac:dyDescent="0.3">
      <c r="A941" t="s">
        <v>1627</v>
      </c>
      <c r="B941">
        <v>1340971</v>
      </c>
      <c r="D941" t="s">
        <v>7</v>
      </c>
      <c r="E941">
        <v>945250</v>
      </c>
      <c r="F941">
        <v>9015884123</v>
      </c>
      <c r="G941">
        <v>67</v>
      </c>
      <c r="H941" t="s">
        <v>1494</v>
      </c>
      <c r="I941">
        <v>0</v>
      </c>
      <c r="J941" t="s">
        <v>1495</v>
      </c>
      <c r="K941" t="s">
        <v>8</v>
      </c>
      <c r="L941" t="s">
        <v>15</v>
      </c>
      <c r="M941" t="s">
        <v>9</v>
      </c>
      <c r="N941" t="s">
        <v>14</v>
      </c>
      <c r="O941" s="2">
        <v>0</v>
      </c>
      <c r="P941" s="3">
        <v>2890.4079999999999</v>
      </c>
      <c r="Q941" s="1">
        <v>46033</v>
      </c>
      <c r="R941" s="1">
        <v>45992</v>
      </c>
      <c r="S941" s="1">
        <v>46022</v>
      </c>
      <c r="V941" s="8">
        <v>1</v>
      </c>
      <c r="W941" t="s">
        <v>24</v>
      </c>
      <c r="X941" t="s">
        <v>1496</v>
      </c>
      <c r="Y941" t="s">
        <v>40</v>
      </c>
      <c r="Z941" t="s">
        <v>11</v>
      </c>
      <c r="AA941">
        <v>62371</v>
      </c>
      <c r="AB941">
        <v>18009688</v>
      </c>
      <c r="AC941">
        <v>0</v>
      </c>
      <c r="AD941" s="8"/>
    </row>
    <row r="942" spans="1:30" x14ac:dyDescent="0.3">
      <c r="A942" t="s">
        <v>1627</v>
      </c>
      <c r="B942">
        <v>1353830</v>
      </c>
      <c r="D942" t="s">
        <v>7</v>
      </c>
      <c r="E942">
        <v>945350</v>
      </c>
      <c r="F942">
        <v>9015884123</v>
      </c>
      <c r="G942">
        <v>96</v>
      </c>
      <c r="H942" t="s">
        <v>633</v>
      </c>
      <c r="I942">
        <v>0</v>
      </c>
      <c r="J942" t="s">
        <v>634</v>
      </c>
      <c r="K942" t="s">
        <v>8</v>
      </c>
      <c r="L942" t="s">
        <v>15</v>
      </c>
      <c r="M942" t="s">
        <v>9</v>
      </c>
      <c r="N942" t="s">
        <v>14</v>
      </c>
      <c r="O942" s="2">
        <v>0</v>
      </c>
      <c r="P942" s="3">
        <v>2854.337</v>
      </c>
      <c r="Q942" s="1">
        <v>46033</v>
      </c>
      <c r="R942" s="1">
        <v>45992</v>
      </c>
      <c r="S942" s="1">
        <v>46022</v>
      </c>
      <c r="V942" s="8">
        <v>1</v>
      </c>
      <c r="W942" t="s">
        <v>24</v>
      </c>
      <c r="X942" t="s">
        <v>635</v>
      </c>
      <c r="Y942" t="s">
        <v>40</v>
      </c>
      <c r="Z942" t="s">
        <v>11</v>
      </c>
      <c r="AA942">
        <v>62371</v>
      </c>
      <c r="AB942">
        <v>19816310</v>
      </c>
      <c r="AC942">
        <v>0</v>
      </c>
      <c r="AD942" s="8"/>
    </row>
    <row r="943" spans="1:30" x14ac:dyDescent="0.3">
      <c r="A943" t="s">
        <v>1627</v>
      </c>
      <c r="B943">
        <v>1281726</v>
      </c>
      <c r="D943" t="s">
        <v>7</v>
      </c>
      <c r="E943">
        <v>945136</v>
      </c>
      <c r="F943">
        <v>9015884123</v>
      </c>
      <c r="G943">
        <v>2</v>
      </c>
      <c r="H943" t="s">
        <v>985</v>
      </c>
      <c r="I943">
        <v>0</v>
      </c>
      <c r="J943" t="s">
        <v>986</v>
      </c>
      <c r="K943" t="s">
        <v>8</v>
      </c>
      <c r="L943" t="s">
        <v>15</v>
      </c>
      <c r="M943" t="s">
        <v>9</v>
      </c>
      <c r="N943" t="s">
        <v>14</v>
      </c>
      <c r="O943" s="2">
        <v>0</v>
      </c>
      <c r="P943" s="3">
        <v>144.51499999999999</v>
      </c>
      <c r="Q943" s="1">
        <v>46033</v>
      </c>
      <c r="R943" s="1">
        <v>45992</v>
      </c>
      <c r="S943" s="1">
        <v>46022</v>
      </c>
      <c r="V943" s="8">
        <v>1</v>
      </c>
      <c r="W943" t="s">
        <v>24</v>
      </c>
      <c r="X943" t="s">
        <v>987</v>
      </c>
      <c r="Y943" t="s">
        <v>10</v>
      </c>
      <c r="Z943" t="s">
        <v>11</v>
      </c>
      <c r="AA943">
        <v>62371</v>
      </c>
      <c r="AB943">
        <v>19385918</v>
      </c>
      <c r="AC943">
        <v>0</v>
      </c>
      <c r="AD943" s="8"/>
    </row>
    <row r="944" spans="1:30" x14ac:dyDescent="0.3">
      <c r="A944" t="s">
        <v>1627</v>
      </c>
      <c r="B944">
        <v>1444836</v>
      </c>
      <c r="D944" t="s">
        <v>7</v>
      </c>
      <c r="E944">
        <v>946867</v>
      </c>
      <c r="F944">
        <v>9015884123</v>
      </c>
      <c r="G944">
        <v>522</v>
      </c>
      <c r="H944" t="s">
        <v>532</v>
      </c>
      <c r="I944">
        <v>0</v>
      </c>
      <c r="J944" t="s">
        <v>533</v>
      </c>
      <c r="K944" t="s">
        <v>8</v>
      </c>
      <c r="L944" t="s">
        <v>19</v>
      </c>
      <c r="M944" t="s">
        <v>9</v>
      </c>
      <c r="N944" t="s">
        <v>14</v>
      </c>
      <c r="O944" s="2">
        <v>262361.93</v>
      </c>
      <c r="P944" s="3">
        <v>1327.798</v>
      </c>
      <c r="Q944" s="1">
        <v>46033</v>
      </c>
      <c r="R944" s="1">
        <v>45992</v>
      </c>
      <c r="S944" s="1">
        <v>46022</v>
      </c>
      <c r="V944" s="8">
        <v>1</v>
      </c>
      <c r="W944" t="s">
        <v>24</v>
      </c>
      <c r="X944" t="s">
        <v>534</v>
      </c>
      <c r="Y944" t="s">
        <v>10</v>
      </c>
      <c r="Z944" t="s">
        <v>11</v>
      </c>
      <c r="AA944">
        <v>62371</v>
      </c>
      <c r="AB944">
        <v>18615897</v>
      </c>
      <c r="AC944">
        <v>0</v>
      </c>
      <c r="AD944" s="8"/>
    </row>
    <row r="945" spans="1:30" x14ac:dyDescent="0.3">
      <c r="A945" t="s">
        <v>1627</v>
      </c>
      <c r="B945">
        <v>1353820</v>
      </c>
      <c r="D945" t="s">
        <v>7</v>
      </c>
      <c r="E945">
        <v>945295</v>
      </c>
      <c r="F945">
        <v>9015884123</v>
      </c>
      <c r="G945">
        <v>80</v>
      </c>
      <c r="H945" t="s">
        <v>596</v>
      </c>
      <c r="I945">
        <v>0</v>
      </c>
      <c r="J945" t="s">
        <v>597</v>
      </c>
      <c r="K945" t="s">
        <v>8</v>
      </c>
      <c r="L945" t="s">
        <v>19</v>
      </c>
      <c r="M945" t="s">
        <v>9</v>
      </c>
      <c r="N945" t="s">
        <v>14</v>
      </c>
      <c r="O945" s="2">
        <v>30.02</v>
      </c>
      <c r="P945" s="3">
        <v>0.184</v>
      </c>
      <c r="Q945" s="1">
        <v>46033</v>
      </c>
      <c r="R945" s="1">
        <v>45992</v>
      </c>
      <c r="S945" s="1">
        <v>46022</v>
      </c>
      <c r="V945" s="8">
        <v>1</v>
      </c>
      <c r="W945" t="s">
        <v>24</v>
      </c>
      <c r="X945" t="s">
        <v>598</v>
      </c>
      <c r="Y945" t="s">
        <v>40</v>
      </c>
      <c r="Z945" t="s">
        <v>11</v>
      </c>
      <c r="AA945">
        <v>62371</v>
      </c>
      <c r="AB945">
        <v>17941348</v>
      </c>
      <c r="AC945">
        <v>1</v>
      </c>
      <c r="AD945" s="8"/>
    </row>
    <row r="946" spans="1:30" x14ac:dyDescent="0.3">
      <c r="A946" t="s">
        <v>1627</v>
      </c>
      <c r="B946">
        <v>1353820</v>
      </c>
      <c r="D946" t="s">
        <v>7</v>
      </c>
      <c r="E946">
        <v>945295</v>
      </c>
      <c r="F946">
        <v>9015884123</v>
      </c>
      <c r="G946">
        <v>80</v>
      </c>
      <c r="H946" t="s">
        <v>596</v>
      </c>
      <c r="I946">
        <v>0</v>
      </c>
      <c r="J946" t="s">
        <v>597</v>
      </c>
      <c r="K946" t="s">
        <v>8</v>
      </c>
      <c r="L946" t="s">
        <v>18</v>
      </c>
      <c r="M946" t="s">
        <v>9</v>
      </c>
      <c r="N946" t="s">
        <v>14</v>
      </c>
      <c r="O946" s="2">
        <v>-0.83</v>
      </c>
      <c r="P946" s="3">
        <v>0</v>
      </c>
      <c r="Q946" s="1">
        <v>46033</v>
      </c>
      <c r="R946" s="1">
        <v>45992</v>
      </c>
      <c r="S946" s="1">
        <v>46022</v>
      </c>
      <c r="V946" s="8">
        <v>1</v>
      </c>
      <c r="W946" t="s">
        <v>24</v>
      </c>
      <c r="X946" t="s">
        <v>598</v>
      </c>
      <c r="Y946" t="s">
        <v>40</v>
      </c>
      <c r="Z946" t="s">
        <v>11</v>
      </c>
      <c r="AA946">
        <v>62371</v>
      </c>
      <c r="AB946">
        <v>17941348</v>
      </c>
      <c r="AC946">
        <v>1</v>
      </c>
      <c r="AD946" s="8"/>
    </row>
    <row r="947" spans="1:30" x14ac:dyDescent="0.3">
      <c r="A947" t="s">
        <v>1627</v>
      </c>
      <c r="B947">
        <v>1358831</v>
      </c>
      <c r="D947" t="s">
        <v>7</v>
      </c>
      <c r="E947">
        <v>945901</v>
      </c>
      <c r="F947">
        <v>9015884123</v>
      </c>
      <c r="G947">
        <v>150</v>
      </c>
      <c r="H947" t="s">
        <v>1497</v>
      </c>
      <c r="I947">
        <v>0</v>
      </c>
      <c r="J947" t="s">
        <v>1498</v>
      </c>
      <c r="K947" t="s">
        <v>8</v>
      </c>
      <c r="L947" t="s">
        <v>67</v>
      </c>
      <c r="M947" t="s">
        <v>9</v>
      </c>
      <c r="N947" t="s">
        <v>14</v>
      </c>
      <c r="O947" s="2">
        <v>329670.84999999998</v>
      </c>
      <c r="P947" s="3">
        <v>3052.6280000000002</v>
      </c>
      <c r="Q947" s="1">
        <v>46033</v>
      </c>
      <c r="R947" s="1">
        <v>45992</v>
      </c>
      <c r="S947" s="1">
        <v>46022</v>
      </c>
      <c r="V947" s="8">
        <v>1</v>
      </c>
      <c r="W947" t="s">
        <v>24</v>
      </c>
      <c r="X947" t="s">
        <v>1499</v>
      </c>
      <c r="Y947" t="s">
        <v>40</v>
      </c>
      <c r="Z947" t="s">
        <v>11</v>
      </c>
      <c r="AA947">
        <v>62371</v>
      </c>
      <c r="AB947">
        <v>21106482</v>
      </c>
      <c r="AC947">
        <v>1</v>
      </c>
      <c r="AD947" s="8"/>
    </row>
    <row r="948" spans="1:30" x14ac:dyDescent="0.3">
      <c r="A948" t="s">
        <v>1627</v>
      </c>
      <c r="B948">
        <v>1363370</v>
      </c>
      <c r="D948" t="s">
        <v>7</v>
      </c>
      <c r="E948">
        <v>945909</v>
      </c>
      <c r="F948">
        <v>9015884123</v>
      </c>
      <c r="G948">
        <v>158</v>
      </c>
      <c r="H948" t="s">
        <v>652</v>
      </c>
      <c r="I948">
        <v>0</v>
      </c>
      <c r="J948" t="s">
        <v>653</v>
      </c>
      <c r="K948" t="s">
        <v>8</v>
      </c>
      <c r="L948" t="s">
        <v>19</v>
      </c>
      <c r="M948" t="s">
        <v>9</v>
      </c>
      <c r="N948" t="s">
        <v>14</v>
      </c>
      <c r="O948" s="2">
        <v>920.69</v>
      </c>
      <c r="P948" s="3">
        <v>5.6429999999999998</v>
      </c>
      <c r="Q948" s="1">
        <v>46033</v>
      </c>
      <c r="R948" s="1">
        <v>45992</v>
      </c>
      <c r="S948" s="1">
        <v>46022</v>
      </c>
      <c r="V948" s="8">
        <v>1</v>
      </c>
      <c r="W948" t="s">
        <v>24</v>
      </c>
      <c r="X948" t="s">
        <v>654</v>
      </c>
      <c r="Y948" t="s">
        <v>40</v>
      </c>
      <c r="Z948" t="s">
        <v>11</v>
      </c>
      <c r="AA948">
        <v>62371</v>
      </c>
      <c r="AB948">
        <v>21106485</v>
      </c>
      <c r="AC948">
        <v>1</v>
      </c>
      <c r="AD948" s="8"/>
    </row>
    <row r="949" spans="1:30" x14ac:dyDescent="0.3">
      <c r="A949" t="s">
        <v>1627</v>
      </c>
      <c r="B949">
        <v>1363421</v>
      </c>
      <c r="D949" t="s">
        <v>7</v>
      </c>
      <c r="E949">
        <v>945919</v>
      </c>
      <c r="F949">
        <v>9015884123</v>
      </c>
      <c r="G949">
        <v>170</v>
      </c>
      <c r="H949" t="s">
        <v>1340</v>
      </c>
      <c r="I949">
        <v>0</v>
      </c>
      <c r="J949" t="s">
        <v>1341</v>
      </c>
      <c r="K949" t="s">
        <v>8</v>
      </c>
      <c r="L949" t="s">
        <v>19</v>
      </c>
      <c r="M949" t="s">
        <v>9</v>
      </c>
      <c r="N949" t="s">
        <v>14</v>
      </c>
      <c r="O949" s="2">
        <v>7254.98</v>
      </c>
      <c r="P949" s="3">
        <v>36.716999999999999</v>
      </c>
      <c r="Q949" s="1">
        <v>46033</v>
      </c>
      <c r="R949" s="1">
        <v>45992</v>
      </c>
      <c r="S949" s="1">
        <v>46022</v>
      </c>
      <c r="V949" s="8">
        <v>1</v>
      </c>
      <c r="W949" t="s">
        <v>24</v>
      </c>
      <c r="X949" t="s">
        <v>1342</v>
      </c>
      <c r="Y949" t="s">
        <v>40</v>
      </c>
      <c r="Z949" t="s">
        <v>11</v>
      </c>
      <c r="AA949">
        <v>62371</v>
      </c>
      <c r="AB949">
        <v>17955186</v>
      </c>
      <c r="AC949">
        <v>0</v>
      </c>
      <c r="AD949" s="8"/>
    </row>
    <row r="950" spans="1:30" x14ac:dyDescent="0.3">
      <c r="A950" t="s">
        <v>1627</v>
      </c>
      <c r="B950">
        <v>1363439</v>
      </c>
      <c r="D950" t="s">
        <v>7</v>
      </c>
      <c r="E950">
        <v>945927</v>
      </c>
      <c r="F950">
        <v>9015884123</v>
      </c>
      <c r="G950">
        <v>178</v>
      </c>
      <c r="H950" t="s">
        <v>1060</v>
      </c>
      <c r="I950">
        <v>0</v>
      </c>
      <c r="J950" t="s">
        <v>1061</v>
      </c>
      <c r="K950" t="s">
        <v>8</v>
      </c>
      <c r="L950" t="s">
        <v>18</v>
      </c>
      <c r="M950" t="s">
        <v>9</v>
      </c>
      <c r="N950" t="s">
        <v>14</v>
      </c>
      <c r="O950" s="2">
        <v>2.89</v>
      </c>
      <c r="P950" s="3">
        <v>0</v>
      </c>
      <c r="Q950" s="1">
        <v>46033</v>
      </c>
      <c r="R950" s="1">
        <v>45992</v>
      </c>
      <c r="S950" s="1">
        <v>46022</v>
      </c>
      <c r="V950" s="8">
        <v>1</v>
      </c>
      <c r="W950" t="s">
        <v>24</v>
      </c>
      <c r="X950" t="s">
        <v>1062</v>
      </c>
      <c r="Y950" t="s">
        <v>40</v>
      </c>
      <c r="Z950" t="s">
        <v>11</v>
      </c>
      <c r="AA950">
        <v>62371</v>
      </c>
      <c r="AB950">
        <v>18017986</v>
      </c>
      <c r="AC950">
        <v>0</v>
      </c>
      <c r="AD950" s="8"/>
    </row>
    <row r="951" spans="1:30" x14ac:dyDescent="0.3">
      <c r="A951" t="s">
        <v>1627</v>
      </c>
      <c r="B951">
        <v>1427128</v>
      </c>
      <c r="D951" t="s">
        <v>7</v>
      </c>
      <c r="E951">
        <v>946909</v>
      </c>
      <c r="F951">
        <v>9015884123</v>
      </c>
      <c r="G951">
        <v>533</v>
      </c>
      <c r="H951" t="s">
        <v>1473</v>
      </c>
      <c r="I951">
        <v>0</v>
      </c>
      <c r="J951" t="s">
        <v>1474</v>
      </c>
      <c r="K951" t="s">
        <v>8</v>
      </c>
      <c r="L951" t="s">
        <v>15</v>
      </c>
      <c r="M951" t="s">
        <v>9</v>
      </c>
      <c r="N951" t="s">
        <v>14</v>
      </c>
      <c r="O951" s="2">
        <v>0</v>
      </c>
      <c r="P951" s="3">
        <v>24293.755000000001</v>
      </c>
      <c r="Q951" s="1">
        <v>46033</v>
      </c>
      <c r="R951" s="1">
        <v>45992</v>
      </c>
      <c r="S951" s="1">
        <v>46022</v>
      </c>
      <c r="V951" s="8">
        <v>2</v>
      </c>
      <c r="W951" t="s">
        <v>24</v>
      </c>
      <c r="X951" t="s">
        <v>1475</v>
      </c>
      <c r="Y951" t="s">
        <v>10</v>
      </c>
      <c r="Z951" t="s">
        <v>11</v>
      </c>
      <c r="AA951">
        <v>62371</v>
      </c>
      <c r="AB951">
        <v>19382091</v>
      </c>
      <c r="AC951">
        <v>1</v>
      </c>
      <c r="AD951" s="8"/>
    </row>
    <row r="952" spans="1:30" x14ac:dyDescent="0.3">
      <c r="A952" t="s">
        <v>1627</v>
      </c>
      <c r="B952">
        <v>1295066</v>
      </c>
      <c r="D952" t="s">
        <v>7</v>
      </c>
      <c r="E952">
        <v>945140</v>
      </c>
      <c r="F952">
        <v>9015884123</v>
      </c>
      <c r="G952">
        <v>21</v>
      </c>
      <c r="H952" t="s">
        <v>1310</v>
      </c>
      <c r="I952">
        <v>0</v>
      </c>
      <c r="J952" t="s">
        <v>1311</v>
      </c>
      <c r="K952" t="s">
        <v>8</v>
      </c>
      <c r="L952" t="s">
        <v>67</v>
      </c>
      <c r="M952" t="s">
        <v>9</v>
      </c>
      <c r="N952" t="s">
        <v>14</v>
      </c>
      <c r="O952" s="2">
        <v>245559.96</v>
      </c>
      <c r="P952" s="3">
        <v>1724.057</v>
      </c>
      <c r="Q952" s="1">
        <v>46033</v>
      </c>
      <c r="R952" s="1">
        <v>45992</v>
      </c>
      <c r="S952" s="1">
        <v>46022</v>
      </c>
      <c r="V952" s="8">
        <v>1</v>
      </c>
      <c r="W952" t="s">
        <v>24</v>
      </c>
      <c r="X952" t="s">
        <v>1312</v>
      </c>
      <c r="Y952" t="s">
        <v>10</v>
      </c>
      <c r="Z952" t="s">
        <v>11</v>
      </c>
      <c r="AA952">
        <v>62371</v>
      </c>
      <c r="AB952">
        <v>19374237</v>
      </c>
      <c r="AC952">
        <v>0</v>
      </c>
      <c r="AD952" s="8"/>
    </row>
    <row r="953" spans="1:30" x14ac:dyDescent="0.3">
      <c r="A953" t="s">
        <v>1627</v>
      </c>
      <c r="B953">
        <v>1406212</v>
      </c>
      <c r="D953" t="s">
        <v>7</v>
      </c>
      <c r="E953">
        <v>946281</v>
      </c>
      <c r="F953">
        <v>9015884123</v>
      </c>
      <c r="G953">
        <v>313</v>
      </c>
      <c r="H953" t="s">
        <v>679</v>
      </c>
      <c r="I953">
        <v>0</v>
      </c>
      <c r="J953" t="s">
        <v>680</v>
      </c>
      <c r="K953" t="s">
        <v>8</v>
      </c>
      <c r="L953" t="s">
        <v>15</v>
      </c>
      <c r="M953" t="s">
        <v>9</v>
      </c>
      <c r="N953" t="s">
        <v>14</v>
      </c>
      <c r="O953" s="2">
        <v>0</v>
      </c>
      <c r="P953" s="3">
        <v>0</v>
      </c>
      <c r="Q953" s="1">
        <v>46033</v>
      </c>
      <c r="R953" s="1">
        <v>45992</v>
      </c>
      <c r="S953" s="1">
        <v>46022</v>
      </c>
      <c r="V953" s="8">
        <v>1</v>
      </c>
      <c r="W953" t="s">
        <v>24</v>
      </c>
      <c r="X953" t="s">
        <v>681</v>
      </c>
      <c r="Y953" t="s">
        <v>40</v>
      </c>
      <c r="Z953" t="s">
        <v>11</v>
      </c>
      <c r="AA953">
        <v>62371</v>
      </c>
      <c r="AB953">
        <v>18353669</v>
      </c>
      <c r="AC953">
        <v>1</v>
      </c>
      <c r="AD953" s="8"/>
    </row>
    <row r="954" spans="1:30" x14ac:dyDescent="0.3">
      <c r="A954" t="s">
        <v>1627</v>
      </c>
      <c r="B954">
        <v>1296891</v>
      </c>
      <c r="D954" t="s">
        <v>7</v>
      </c>
      <c r="E954">
        <v>945117</v>
      </c>
      <c r="F954">
        <v>9015884123</v>
      </c>
      <c r="G954">
        <v>11</v>
      </c>
      <c r="H954" t="s">
        <v>997</v>
      </c>
      <c r="I954">
        <v>0</v>
      </c>
      <c r="J954" t="s">
        <v>998</v>
      </c>
      <c r="K954" t="s">
        <v>8</v>
      </c>
      <c r="L954" t="s">
        <v>67</v>
      </c>
      <c r="M954" t="s">
        <v>9</v>
      </c>
      <c r="N954" t="s">
        <v>14</v>
      </c>
      <c r="O954" s="2">
        <v>58694.07</v>
      </c>
      <c r="P954" s="3">
        <v>543.48500000000001</v>
      </c>
      <c r="Q954" s="1">
        <v>46033</v>
      </c>
      <c r="R954" s="1">
        <v>45992</v>
      </c>
      <c r="S954" s="1">
        <v>46022</v>
      </c>
      <c r="V954" s="8">
        <v>1</v>
      </c>
      <c r="W954" t="s">
        <v>24</v>
      </c>
      <c r="X954" t="s">
        <v>999</v>
      </c>
      <c r="Y954" t="s">
        <v>10</v>
      </c>
      <c r="Z954" t="s">
        <v>11</v>
      </c>
      <c r="AA954">
        <v>62371</v>
      </c>
      <c r="AB954">
        <v>21394698</v>
      </c>
      <c r="AC954">
        <v>1</v>
      </c>
      <c r="AD954" s="8"/>
    </row>
    <row r="955" spans="1:30" x14ac:dyDescent="0.3">
      <c r="A955" t="s">
        <v>1627</v>
      </c>
      <c r="B955">
        <v>1406212</v>
      </c>
      <c r="D955" t="s">
        <v>7</v>
      </c>
      <c r="E955">
        <v>946281</v>
      </c>
      <c r="F955">
        <v>9015884123</v>
      </c>
      <c r="G955">
        <v>313</v>
      </c>
      <c r="H955" t="s">
        <v>679</v>
      </c>
      <c r="I955">
        <v>0</v>
      </c>
      <c r="J955" t="s">
        <v>680</v>
      </c>
      <c r="K955" t="s">
        <v>8</v>
      </c>
      <c r="L955" t="s">
        <v>18</v>
      </c>
      <c r="M955" t="s">
        <v>9</v>
      </c>
      <c r="N955" t="s">
        <v>14</v>
      </c>
      <c r="O955" s="2">
        <v>0</v>
      </c>
      <c r="P955" s="3">
        <v>0</v>
      </c>
      <c r="Q955" s="1">
        <v>46033</v>
      </c>
      <c r="R955" s="1">
        <v>45992</v>
      </c>
      <c r="S955" s="1">
        <v>46022</v>
      </c>
      <c r="V955" s="8">
        <v>1</v>
      </c>
      <c r="W955" t="s">
        <v>24</v>
      </c>
      <c r="X955" t="s">
        <v>681</v>
      </c>
      <c r="Y955" t="s">
        <v>40</v>
      </c>
      <c r="Z955" t="s">
        <v>11</v>
      </c>
      <c r="AA955">
        <v>62371</v>
      </c>
      <c r="AB955">
        <v>18353669</v>
      </c>
      <c r="AC955">
        <v>1</v>
      </c>
      <c r="AD955" s="8"/>
    </row>
    <row r="956" spans="1:30" x14ac:dyDescent="0.3">
      <c r="A956" t="s">
        <v>1627</v>
      </c>
      <c r="B956">
        <v>1296891</v>
      </c>
      <c r="D956" t="s">
        <v>7</v>
      </c>
      <c r="E956">
        <v>945117</v>
      </c>
      <c r="F956">
        <v>9015884123</v>
      </c>
      <c r="G956">
        <v>11</v>
      </c>
      <c r="H956" t="s">
        <v>997</v>
      </c>
      <c r="I956">
        <v>0</v>
      </c>
      <c r="J956" t="s">
        <v>998</v>
      </c>
      <c r="K956" t="s">
        <v>8</v>
      </c>
      <c r="L956" t="s">
        <v>18</v>
      </c>
      <c r="M956" t="s">
        <v>9</v>
      </c>
      <c r="N956" t="s">
        <v>14</v>
      </c>
      <c r="O956" s="2">
        <v>-4.5599999999999996</v>
      </c>
      <c r="P956" s="3">
        <v>0</v>
      </c>
      <c r="Q956" s="1">
        <v>46033</v>
      </c>
      <c r="R956" s="1">
        <v>45992</v>
      </c>
      <c r="S956" s="1">
        <v>46022</v>
      </c>
      <c r="V956" s="8">
        <v>1</v>
      </c>
      <c r="W956" t="s">
        <v>24</v>
      </c>
      <c r="X956" t="s">
        <v>999</v>
      </c>
      <c r="Y956" t="s">
        <v>10</v>
      </c>
      <c r="Z956" t="s">
        <v>11</v>
      </c>
      <c r="AA956">
        <v>62371</v>
      </c>
      <c r="AB956">
        <v>21394698</v>
      </c>
      <c r="AC956">
        <v>1</v>
      </c>
      <c r="AD956" s="8"/>
    </row>
    <row r="957" spans="1:30" x14ac:dyDescent="0.3">
      <c r="A957" t="s">
        <v>1627</v>
      </c>
      <c r="B957">
        <v>1296995</v>
      </c>
      <c r="D957" t="s">
        <v>7</v>
      </c>
      <c r="E957">
        <v>945133</v>
      </c>
      <c r="F957">
        <v>9015884123</v>
      </c>
      <c r="G957">
        <v>19</v>
      </c>
      <c r="H957" t="s">
        <v>547</v>
      </c>
      <c r="I957">
        <v>0</v>
      </c>
      <c r="J957" t="s">
        <v>548</v>
      </c>
      <c r="K957" t="s">
        <v>8</v>
      </c>
      <c r="L957" t="s">
        <v>67</v>
      </c>
      <c r="M957" t="s">
        <v>9</v>
      </c>
      <c r="N957" t="s">
        <v>14</v>
      </c>
      <c r="O957" s="2">
        <v>58977.34</v>
      </c>
      <c r="P957" s="3">
        <v>546.10799999999995</v>
      </c>
      <c r="Q957" s="1">
        <v>46033</v>
      </c>
      <c r="R957" s="1">
        <v>45992</v>
      </c>
      <c r="S957" s="1">
        <v>46022</v>
      </c>
      <c r="V957" s="8">
        <v>1</v>
      </c>
      <c r="W957" t="s">
        <v>24</v>
      </c>
      <c r="X957" t="s">
        <v>549</v>
      </c>
      <c r="Y957" t="s">
        <v>10</v>
      </c>
      <c r="Z957" t="s">
        <v>11</v>
      </c>
      <c r="AA957">
        <v>62371</v>
      </c>
      <c r="AB957">
        <v>21394683</v>
      </c>
      <c r="AC957">
        <v>1</v>
      </c>
      <c r="AD957" s="8"/>
    </row>
    <row r="958" spans="1:30" x14ac:dyDescent="0.3">
      <c r="A958" t="s">
        <v>1627</v>
      </c>
      <c r="B958">
        <v>1296990</v>
      </c>
      <c r="D958" t="s">
        <v>7</v>
      </c>
      <c r="E958">
        <v>945129</v>
      </c>
      <c r="F958">
        <v>9015884123</v>
      </c>
      <c r="G958">
        <v>17</v>
      </c>
      <c r="H958" t="s">
        <v>553</v>
      </c>
      <c r="I958">
        <v>0</v>
      </c>
      <c r="J958" t="s">
        <v>554</v>
      </c>
      <c r="K958" t="s">
        <v>8</v>
      </c>
      <c r="L958" t="s">
        <v>15</v>
      </c>
      <c r="M958" t="s">
        <v>9</v>
      </c>
      <c r="N958" t="s">
        <v>14</v>
      </c>
      <c r="O958" s="2">
        <v>0</v>
      </c>
      <c r="P958" s="3">
        <v>1004.7910000000001</v>
      </c>
      <c r="Q958" s="1">
        <v>46033</v>
      </c>
      <c r="R958" s="1">
        <v>45992</v>
      </c>
      <c r="S958" s="1">
        <v>46022</v>
      </c>
      <c r="V958" s="8">
        <v>1</v>
      </c>
      <c r="W958" t="s">
        <v>24</v>
      </c>
      <c r="X958" t="s">
        <v>555</v>
      </c>
      <c r="Y958" t="s">
        <v>10</v>
      </c>
      <c r="Z958" t="s">
        <v>11</v>
      </c>
      <c r="AA958">
        <v>62371</v>
      </c>
      <c r="AB958">
        <v>21394670</v>
      </c>
      <c r="AC958">
        <v>1</v>
      </c>
      <c r="AD958" s="8"/>
    </row>
    <row r="959" spans="1:30" x14ac:dyDescent="0.3">
      <c r="A959" t="s">
        <v>1627</v>
      </c>
      <c r="B959">
        <v>1418629</v>
      </c>
      <c r="D959" t="s">
        <v>7</v>
      </c>
      <c r="E959">
        <v>946632</v>
      </c>
      <c r="F959">
        <v>9015884123</v>
      </c>
      <c r="G959">
        <v>445</v>
      </c>
      <c r="H959" t="s">
        <v>1367</v>
      </c>
      <c r="I959">
        <v>0</v>
      </c>
      <c r="J959" t="s">
        <v>1368</v>
      </c>
      <c r="K959" t="s">
        <v>8</v>
      </c>
      <c r="L959" t="s">
        <v>15</v>
      </c>
      <c r="M959" t="s">
        <v>9</v>
      </c>
      <c r="N959" t="s">
        <v>14</v>
      </c>
      <c r="O959" s="2">
        <v>0</v>
      </c>
      <c r="P959" s="3">
        <v>1099.424</v>
      </c>
      <c r="Q959" s="1">
        <v>46033</v>
      </c>
      <c r="R959" s="1">
        <v>45992</v>
      </c>
      <c r="S959" s="1">
        <v>46022</v>
      </c>
      <c r="V959" s="8">
        <v>1</v>
      </c>
      <c r="W959" t="s">
        <v>24</v>
      </c>
      <c r="X959" t="s">
        <v>1369</v>
      </c>
      <c r="Y959" t="s">
        <v>614</v>
      </c>
      <c r="Z959" t="s">
        <v>11</v>
      </c>
      <c r="AA959">
        <v>62371</v>
      </c>
      <c r="AB959">
        <v>17859717</v>
      </c>
      <c r="AC959">
        <v>0</v>
      </c>
      <c r="AD959" s="8"/>
    </row>
    <row r="960" spans="1:30" x14ac:dyDescent="0.3">
      <c r="A960" t="s">
        <v>1627</v>
      </c>
      <c r="B960">
        <v>1428548</v>
      </c>
      <c r="D960" t="s">
        <v>7</v>
      </c>
      <c r="E960">
        <v>946800</v>
      </c>
      <c r="F960">
        <v>9015884123</v>
      </c>
      <c r="G960">
        <v>501</v>
      </c>
      <c r="H960" t="s">
        <v>1057</v>
      </c>
      <c r="I960">
        <v>0</v>
      </c>
      <c r="J960" t="s">
        <v>1058</v>
      </c>
      <c r="K960" t="s">
        <v>8</v>
      </c>
      <c r="L960" t="s">
        <v>19</v>
      </c>
      <c r="M960" t="s">
        <v>9</v>
      </c>
      <c r="N960" t="s">
        <v>14</v>
      </c>
      <c r="O960" s="2">
        <v>7204.32</v>
      </c>
      <c r="P960" s="3">
        <v>44.155999999999999</v>
      </c>
      <c r="Q960" s="1">
        <v>46033</v>
      </c>
      <c r="R960" s="1">
        <v>45992</v>
      </c>
      <c r="S960" s="1">
        <v>46022</v>
      </c>
      <c r="V960" s="8">
        <v>1</v>
      </c>
      <c r="W960" t="s">
        <v>24</v>
      </c>
      <c r="X960" t="s">
        <v>1059</v>
      </c>
      <c r="Y960" t="s">
        <v>40</v>
      </c>
      <c r="Z960" t="s">
        <v>11</v>
      </c>
      <c r="AA960">
        <v>62371</v>
      </c>
      <c r="AB960">
        <v>18688758</v>
      </c>
      <c r="AC960">
        <v>1</v>
      </c>
      <c r="AD960" s="8"/>
    </row>
    <row r="961" spans="1:30" x14ac:dyDescent="0.3">
      <c r="A961" t="s">
        <v>1627</v>
      </c>
      <c r="B961">
        <v>1308503</v>
      </c>
      <c r="D961" t="s">
        <v>7</v>
      </c>
      <c r="E961">
        <v>945180</v>
      </c>
      <c r="F961">
        <v>9015884123</v>
      </c>
      <c r="G961">
        <v>42</v>
      </c>
      <c r="H961" t="s">
        <v>994</v>
      </c>
      <c r="I961">
        <v>0</v>
      </c>
      <c r="J961" t="s">
        <v>995</v>
      </c>
      <c r="K961" t="s">
        <v>8</v>
      </c>
      <c r="L961" t="s">
        <v>18</v>
      </c>
      <c r="M961" t="s">
        <v>9</v>
      </c>
      <c r="N961" t="s">
        <v>14</v>
      </c>
      <c r="O961" s="2">
        <v>-4.84</v>
      </c>
      <c r="P961" s="3">
        <v>0</v>
      </c>
      <c r="Q961" s="1">
        <v>46033</v>
      </c>
      <c r="R961" s="1">
        <v>45992</v>
      </c>
      <c r="S961" s="1">
        <v>46022</v>
      </c>
      <c r="V961" s="8">
        <v>1</v>
      </c>
      <c r="W961" t="s">
        <v>24</v>
      </c>
      <c r="X961" t="s">
        <v>996</v>
      </c>
      <c r="Y961" t="s">
        <v>10</v>
      </c>
      <c r="Z961" t="s">
        <v>11</v>
      </c>
      <c r="AA961">
        <v>62371</v>
      </c>
      <c r="AB961">
        <v>17063552</v>
      </c>
      <c r="AC961">
        <v>1</v>
      </c>
      <c r="AD961" s="8"/>
    </row>
    <row r="962" spans="1:30" x14ac:dyDescent="0.3">
      <c r="A962" t="s">
        <v>1627</v>
      </c>
      <c r="B962">
        <v>1428549</v>
      </c>
      <c r="D962" t="s">
        <v>7</v>
      </c>
      <c r="E962">
        <v>946803</v>
      </c>
      <c r="F962">
        <v>9015884123</v>
      </c>
      <c r="G962">
        <v>502</v>
      </c>
      <c r="H962" t="s">
        <v>640</v>
      </c>
      <c r="I962">
        <v>0</v>
      </c>
      <c r="J962" t="s">
        <v>641</v>
      </c>
      <c r="K962" t="s">
        <v>8</v>
      </c>
      <c r="L962" t="s">
        <v>15</v>
      </c>
      <c r="M962" t="s">
        <v>9</v>
      </c>
      <c r="N962" t="s">
        <v>14</v>
      </c>
      <c r="O962" s="2">
        <v>0</v>
      </c>
      <c r="P962" s="3">
        <v>1518.7360000000001</v>
      </c>
      <c r="Q962" s="1">
        <v>46033</v>
      </c>
      <c r="R962" s="1">
        <v>45992</v>
      </c>
      <c r="S962" s="1">
        <v>46022</v>
      </c>
      <c r="V962" s="8">
        <v>1</v>
      </c>
      <c r="W962" t="s">
        <v>24</v>
      </c>
      <c r="X962" t="s">
        <v>642</v>
      </c>
      <c r="Y962" t="s">
        <v>40</v>
      </c>
      <c r="Z962" t="s">
        <v>11</v>
      </c>
      <c r="AA962">
        <v>62371</v>
      </c>
      <c r="AB962">
        <v>18766493</v>
      </c>
      <c r="AC962">
        <v>1</v>
      </c>
      <c r="AD962" s="8"/>
    </row>
    <row r="963" spans="1:30" x14ac:dyDescent="0.3">
      <c r="A963" t="s">
        <v>1627</v>
      </c>
      <c r="B963">
        <v>1340622</v>
      </c>
      <c r="D963" t="s">
        <v>7</v>
      </c>
      <c r="E963">
        <v>945212</v>
      </c>
      <c r="F963">
        <v>9015884123</v>
      </c>
      <c r="G963">
        <v>56</v>
      </c>
      <c r="H963" t="s">
        <v>1012</v>
      </c>
      <c r="I963">
        <v>0</v>
      </c>
      <c r="J963" t="s">
        <v>1013</v>
      </c>
      <c r="K963" t="s">
        <v>8</v>
      </c>
      <c r="L963" t="s">
        <v>67</v>
      </c>
      <c r="M963" t="s">
        <v>9</v>
      </c>
      <c r="N963" t="s">
        <v>14</v>
      </c>
      <c r="O963" s="2">
        <v>176315.7</v>
      </c>
      <c r="P963" s="3">
        <v>1632.617</v>
      </c>
      <c r="Q963" s="1">
        <v>46033</v>
      </c>
      <c r="R963" s="1">
        <v>45992</v>
      </c>
      <c r="S963" s="1">
        <v>46022</v>
      </c>
      <c r="V963" s="8">
        <v>1</v>
      </c>
      <c r="W963" t="s">
        <v>24</v>
      </c>
      <c r="X963" t="s">
        <v>1014</v>
      </c>
      <c r="Y963" t="s">
        <v>10</v>
      </c>
      <c r="Z963" t="s">
        <v>11</v>
      </c>
      <c r="AA963">
        <v>62371</v>
      </c>
      <c r="AB963">
        <v>18470868</v>
      </c>
      <c r="AC963">
        <v>1</v>
      </c>
      <c r="AD963" s="8"/>
    </row>
    <row r="964" spans="1:30" x14ac:dyDescent="0.3">
      <c r="A964" t="s">
        <v>1627</v>
      </c>
      <c r="B964">
        <v>1340678</v>
      </c>
      <c r="D964" t="s">
        <v>7</v>
      </c>
      <c r="E964">
        <v>945244</v>
      </c>
      <c r="F964">
        <v>9015884123</v>
      </c>
      <c r="G964">
        <v>65</v>
      </c>
      <c r="H964" t="s">
        <v>577</v>
      </c>
      <c r="I964">
        <v>0</v>
      </c>
      <c r="J964" t="s">
        <v>578</v>
      </c>
      <c r="K964" t="s">
        <v>8</v>
      </c>
      <c r="L964" t="s">
        <v>19</v>
      </c>
      <c r="M964" t="s">
        <v>9</v>
      </c>
      <c r="N964" t="s">
        <v>14</v>
      </c>
      <c r="O964" s="2">
        <v>21.21</v>
      </c>
      <c r="P964" s="3">
        <v>0.13</v>
      </c>
      <c r="Q964" s="1">
        <v>46033</v>
      </c>
      <c r="R964" s="1">
        <v>45992</v>
      </c>
      <c r="S964" s="1">
        <v>46022</v>
      </c>
      <c r="V964" s="8">
        <v>1</v>
      </c>
      <c r="W964" t="s">
        <v>24</v>
      </c>
      <c r="X964" t="s">
        <v>579</v>
      </c>
      <c r="Y964" t="s">
        <v>10</v>
      </c>
      <c r="Z964" t="s">
        <v>11</v>
      </c>
      <c r="AA964">
        <v>62371</v>
      </c>
      <c r="AB964">
        <v>17032641</v>
      </c>
      <c r="AC964">
        <v>1</v>
      </c>
      <c r="AD964" s="8"/>
    </row>
    <row r="965" spans="1:30" x14ac:dyDescent="0.3">
      <c r="A965" t="s">
        <v>1627</v>
      </c>
      <c r="B965">
        <v>1307886</v>
      </c>
      <c r="D965" t="s">
        <v>7</v>
      </c>
      <c r="E965">
        <v>945171</v>
      </c>
      <c r="F965">
        <v>9015884123</v>
      </c>
      <c r="G965">
        <v>39</v>
      </c>
      <c r="H965" t="s">
        <v>1373</v>
      </c>
      <c r="I965">
        <v>0</v>
      </c>
      <c r="J965" t="s">
        <v>1374</v>
      </c>
      <c r="K965" t="s">
        <v>8</v>
      </c>
      <c r="L965" t="s">
        <v>67</v>
      </c>
      <c r="M965" t="s">
        <v>9</v>
      </c>
      <c r="N965" t="s">
        <v>14</v>
      </c>
      <c r="O965" s="2">
        <v>264059.13</v>
      </c>
      <c r="P965" s="3">
        <v>2677.2930000000001</v>
      </c>
      <c r="Q965" s="1">
        <v>46033</v>
      </c>
      <c r="R965" s="1">
        <v>45992</v>
      </c>
      <c r="S965" s="1">
        <v>46022</v>
      </c>
      <c r="V965" s="8">
        <v>1</v>
      </c>
      <c r="W965" t="s">
        <v>24</v>
      </c>
      <c r="X965" t="s">
        <v>1375</v>
      </c>
      <c r="Y965" t="s">
        <v>40</v>
      </c>
      <c r="Z965" t="s">
        <v>11</v>
      </c>
      <c r="AA965">
        <v>62371</v>
      </c>
      <c r="AB965">
        <v>19879653</v>
      </c>
      <c r="AC965">
        <v>101</v>
      </c>
      <c r="AD965" s="8"/>
    </row>
    <row r="966" spans="1:30" x14ac:dyDescent="0.3">
      <c r="A966" t="s">
        <v>1627</v>
      </c>
      <c r="B966">
        <v>1419801</v>
      </c>
      <c r="D966" t="s">
        <v>7</v>
      </c>
      <c r="E966">
        <v>946674</v>
      </c>
      <c r="F966">
        <v>9015884123</v>
      </c>
      <c r="G966">
        <v>460</v>
      </c>
      <c r="H966" t="s">
        <v>1075</v>
      </c>
      <c r="I966">
        <v>0</v>
      </c>
      <c r="J966" t="s">
        <v>1076</v>
      </c>
      <c r="K966" t="s">
        <v>8</v>
      </c>
      <c r="L966" t="s">
        <v>15</v>
      </c>
      <c r="M966" t="s">
        <v>9</v>
      </c>
      <c r="N966" t="s">
        <v>14</v>
      </c>
      <c r="O966" s="2">
        <v>0</v>
      </c>
      <c r="P966" s="3">
        <v>1367.248</v>
      </c>
      <c r="Q966" s="1">
        <v>46033</v>
      </c>
      <c r="R966" s="1">
        <v>45992</v>
      </c>
      <c r="S966" s="1">
        <v>46022</v>
      </c>
      <c r="V966" s="8">
        <v>1</v>
      </c>
      <c r="W966" t="s">
        <v>24</v>
      </c>
      <c r="X966" t="s">
        <v>1077</v>
      </c>
      <c r="Y966" t="s">
        <v>678</v>
      </c>
      <c r="Z966" t="s">
        <v>11</v>
      </c>
      <c r="AA966">
        <v>62371</v>
      </c>
      <c r="AB966">
        <v>21411268</v>
      </c>
      <c r="AC966">
        <v>0</v>
      </c>
      <c r="AD966" s="8"/>
    </row>
    <row r="967" spans="1:30" x14ac:dyDescent="0.3">
      <c r="A967" t="s">
        <v>1627</v>
      </c>
      <c r="B967">
        <v>1415113</v>
      </c>
      <c r="D967" t="s">
        <v>7</v>
      </c>
      <c r="E967">
        <v>946539</v>
      </c>
      <c r="F967">
        <v>9015884123</v>
      </c>
      <c r="G967">
        <v>417</v>
      </c>
      <c r="H967" t="s">
        <v>1087</v>
      </c>
      <c r="I967">
        <v>0</v>
      </c>
      <c r="J967" t="s">
        <v>1088</v>
      </c>
      <c r="K967" t="s">
        <v>8</v>
      </c>
      <c r="L967" t="s">
        <v>18</v>
      </c>
      <c r="M967" t="s">
        <v>9</v>
      </c>
      <c r="N967" t="s">
        <v>14</v>
      </c>
      <c r="O967" s="2">
        <v>-4.84</v>
      </c>
      <c r="P967" s="3">
        <v>0</v>
      </c>
      <c r="Q967" s="1">
        <v>46033</v>
      </c>
      <c r="R967" s="1">
        <v>45992</v>
      </c>
      <c r="S967" s="1">
        <v>46022</v>
      </c>
      <c r="V967" s="8">
        <v>1</v>
      </c>
      <c r="W967" t="s">
        <v>24</v>
      </c>
      <c r="X967" t="s">
        <v>1089</v>
      </c>
      <c r="Y967" t="s">
        <v>82</v>
      </c>
      <c r="Z967" t="s">
        <v>11</v>
      </c>
      <c r="AA967">
        <v>62371</v>
      </c>
      <c r="AB967">
        <v>19453501</v>
      </c>
      <c r="AC967">
        <v>0</v>
      </c>
      <c r="AD967" s="8"/>
    </row>
    <row r="968" spans="1:30" x14ac:dyDescent="0.3">
      <c r="A968" t="s">
        <v>1627</v>
      </c>
      <c r="B968">
        <v>1360640</v>
      </c>
      <c r="D968" t="s">
        <v>7</v>
      </c>
      <c r="E968">
        <v>945491</v>
      </c>
      <c r="F968">
        <v>9015884123</v>
      </c>
      <c r="G968">
        <v>143</v>
      </c>
      <c r="H968" t="s">
        <v>1355</v>
      </c>
      <c r="I968">
        <v>0</v>
      </c>
      <c r="J968" t="s">
        <v>1356</v>
      </c>
      <c r="K968" t="s">
        <v>8</v>
      </c>
      <c r="L968" t="s">
        <v>67</v>
      </c>
      <c r="M968" t="s">
        <v>9</v>
      </c>
      <c r="N968" t="s">
        <v>14</v>
      </c>
      <c r="O968" s="2">
        <v>588432.22</v>
      </c>
      <c r="P968" s="3">
        <v>4131.3360000000002</v>
      </c>
      <c r="Q968" s="1">
        <v>46033</v>
      </c>
      <c r="R968" s="1">
        <v>45992</v>
      </c>
      <c r="S968" s="1">
        <v>46022</v>
      </c>
      <c r="V968" s="8">
        <v>1</v>
      </c>
      <c r="W968" t="s">
        <v>24</v>
      </c>
      <c r="X968" t="s">
        <v>1357</v>
      </c>
      <c r="Y968" t="s">
        <v>42</v>
      </c>
      <c r="Z968" t="s">
        <v>11</v>
      </c>
      <c r="AA968">
        <v>62371</v>
      </c>
      <c r="AB968">
        <v>17596015</v>
      </c>
      <c r="AC968">
        <v>0</v>
      </c>
      <c r="AD968" s="8"/>
    </row>
    <row r="969" spans="1:30" x14ac:dyDescent="0.3">
      <c r="A969" t="s">
        <v>1627</v>
      </c>
      <c r="B969">
        <v>1379275</v>
      </c>
      <c r="D969" t="s">
        <v>7</v>
      </c>
      <c r="E969">
        <v>945985</v>
      </c>
      <c r="F969">
        <v>9015884123</v>
      </c>
      <c r="G969">
        <v>211</v>
      </c>
      <c r="H969" t="s">
        <v>1102</v>
      </c>
      <c r="I969">
        <v>0</v>
      </c>
      <c r="J969" t="s">
        <v>1103</v>
      </c>
      <c r="K969" t="s">
        <v>8</v>
      </c>
      <c r="L969" t="s">
        <v>67</v>
      </c>
      <c r="M969" t="s">
        <v>9</v>
      </c>
      <c r="N969" t="s">
        <v>14</v>
      </c>
      <c r="O969" s="2">
        <v>709788.38</v>
      </c>
      <c r="P969" s="3">
        <v>4983.3680000000004</v>
      </c>
      <c r="Q969" s="1">
        <v>46033</v>
      </c>
      <c r="R969" s="1">
        <v>45992</v>
      </c>
      <c r="S969" s="1">
        <v>46022</v>
      </c>
      <c r="V969" s="8">
        <v>1</v>
      </c>
      <c r="W969" t="s">
        <v>24</v>
      </c>
      <c r="X969" t="s">
        <v>1104</v>
      </c>
      <c r="Y969" t="s">
        <v>43</v>
      </c>
      <c r="Z969" t="s">
        <v>11</v>
      </c>
      <c r="AA969">
        <v>62371</v>
      </c>
      <c r="AB969">
        <v>18487376</v>
      </c>
      <c r="AC969">
        <v>0</v>
      </c>
      <c r="AD969" s="8"/>
    </row>
    <row r="970" spans="1:30" x14ac:dyDescent="0.3">
      <c r="A970" t="s">
        <v>1627</v>
      </c>
      <c r="B970">
        <v>1421898</v>
      </c>
      <c r="D970" t="s">
        <v>7</v>
      </c>
      <c r="E970">
        <v>946694</v>
      </c>
      <c r="F970">
        <v>9015884123</v>
      </c>
      <c r="G970">
        <v>466</v>
      </c>
      <c r="H970" t="s">
        <v>1500</v>
      </c>
      <c r="I970">
        <v>0</v>
      </c>
      <c r="J970" t="s">
        <v>1501</v>
      </c>
      <c r="K970" t="s">
        <v>8</v>
      </c>
      <c r="L970" t="s">
        <v>18</v>
      </c>
      <c r="M970" t="s">
        <v>9</v>
      </c>
      <c r="N970" t="s">
        <v>14</v>
      </c>
      <c r="O970" s="2">
        <v>-0.67</v>
      </c>
      <c r="P970" s="3">
        <v>0</v>
      </c>
      <c r="Q970" s="1">
        <v>46033</v>
      </c>
      <c r="R970" s="1">
        <v>45992</v>
      </c>
      <c r="S970" s="1">
        <v>46022</v>
      </c>
      <c r="V970" s="8">
        <v>1</v>
      </c>
      <c r="W970" t="s">
        <v>24</v>
      </c>
      <c r="X970" t="s">
        <v>1502</v>
      </c>
      <c r="Y970" t="s">
        <v>54</v>
      </c>
      <c r="Z970" t="s">
        <v>11</v>
      </c>
      <c r="AA970">
        <v>62371</v>
      </c>
      <c r="AB970">
        <v>21334651</v>
      </c>
      <c r="AC970">
        <v>0</v>
      </c>
      <c r="AD970" s="8"/>
    </row>
    <row r="971" spans="1:30" x14ac:dyDescent="0.3">
      <c r="A971" t="s">
        <v>1627</v>
      </c>
      <c r="B971">
        <v>1415924</v>
      </c>
      <c r="D971" t="s">
        <v>7</v>
      </c>
      <c r="E971">
        <v>946522</v>
      </c>
      <c r="F971">
        <v>9015884123</v>
      </c>
      <c r="G971">
        <v>412</v>
      </c>
      <c r="H971" t="s">
        <v>1503</v>
      </c>
      <c r="I971">
        <v>0</v>
      </c>
      <c r="J971" t="s">
        <v>1504</v>
      </c>
      <c r="K971" t="s">
        <v>8</v>
      </c>
      <c r="L971" t="s">
        <v>19</v>
      </c>
      <c r="M971" t="s">
        <v>9</v>
      </c>
      <c r="N971" t="s">
        <v>14</v>
      </c>
      <c r="O971" s="2">
        <v>449.13</v>
      </c>
      <c r="P971" s="3">
        <v>2.2730000000000001</v>
      </c>
      <c r="Q971" s="1">
        <v>46033</v>
      </c>
      <c r="R971" s="1">
        <v>45992</v>
      </c>
      <c r="S971" s="1">
        <v>46022</v>
      </c>
      <c r="V971" s="8">
        <v>1</v>
      </c>
      <c r="W971" t="s">
        <v>24</v>
      </c>
      <c r="X971" t="s">
        <v>1505</v>
      </c>
      <c r="Y971" t="s">
        <v>293</v>
      </c>
      <c r="Z971" t="s">
        <v>11</v>
      </c>
      <c r="AA971">
        <v>62371</v>
      </c>
      <c r="AB971">
        <v>21384309</v>
      </c>
      <c r="AC971">
        <v>0</v>
      </c>
      <c r="AD971" s="8"/>
    </row>
    <row r="972" spans="1:30" x14ac:dyDescent="0.3">
      <c r="A972" t="s">
        <v>1627</v>
      </c>
      <c r="B972">
        <v>1340426</v>
      </c>
      <c r="D972" t="s">
        <v>7</v>
      </c>
      <c r="E972">
        <v>945232</v>
      </c>
      <c r="F972">
        <v>9015884123</v>
      </c>
      <c r="G972">
        <v>61</v>
      </c>
      <c r="H972" t="s">
        <v>1358</v>
      </c>
      <c r="I972">
        <v>0</v>
      </c>
      <c r="J972" t="s">
        <v>1359</v>
      </c>
      <c r="K972" t="s">
        <v>8</v>
      </c>
      <c r="L972" t="s">
        <v>18</v>
      </c>
      <c r="M972" t="s">
        <v>9</v>
      </c>
      <c r="N972" t="s">
        <v>14</v>
      </c>
      <c r="O972" s="2">
        <v>-0.49</v>
      </c>
      <c r="P972" s="3">
        <v>0</v>
      </c>
      <c r="Q972" s="1">
        <v>46033</v>
      </c>
      <c r="R972" s="1">
        <v>45992</v>
      </c>
      <c r="S972" s="1">
        <v>46022</v>
      </c>
      <c r="V972" s="8">
        <v>1</v>
      </c>
      <c r="W972" t="s">
        <v>24</v>
      </c>
      <c r="X972" t="s">
        <v>1360</v>
      </c>
      <c r="Y972" t="s">
        <v>34</v>
      </c>
      <c r="Z972" t="s">
        <v>11</v>
      </c>
      <c r="AA972">
        <v>62371</v>
      </c>
      <c r="AB972">
        <v>17905533</v>
      </c>
      <c r="AC972">
        <v>0</v>
      </c>
      <c r="AD972" s="8"/>
    </row>
    <row r="973" spans="1:30" x14ac:dyDescent="0.3">
      <c r="A973" t="s">
        <v>1627</v>
      </c>
      <c r="B973">
        <v>1412076</v>
      </c>
      <c r="D973" t="s">
        <v>7</v>
      </c>
      <c r="E973">
        <v>946379</v>
      </c>
      <c r="F973">
        <v>9015884123</v>
      </c>
      <c r="G973">
        <v>363</v>
      </c>
      <c r="H973" t="s">
        <v>1506</v>
      </c>
      <c r="I973">
        <v>0</v>
      </c>
      <c r="J973" t="s">
        <v>1507</v>
      </c>
      <c r="K973" t="s">
        <v>8</v>
      </c>
      <c r="L973" t="s">
        <v>18</v>
      </c>
      <c r="M973" t="s">
        <v>9</v>
      </c>
      <c r="N973" t="s">
        <v>14</v>
      </c>
      <c r="O973" s="2">
        <v>-3.69</v>
      </c>
      <c r="P973" s="3">
        <v>0</v>
      </c>
      <c r="Q973" s="1">
        <v>46033</v>
      </c>
      <c r="R973" s="1">
        <v>45992</v>
      </c>
      <c r="S973" s="1">
        <v>46022</v>
      </c>
      <c r="V973" s="8">
        <v>1</v>
      </c>
      <c r="W973" t="s">
        <v>24</v>
      </c>
      <c r="X973" t="s">
        <v>1508</v>
      </c>
      <c r="Y973" t="s">
        <v>35</v>
      </c>
      <c r="Z973" t="s">
        <v>11</v>
      </c>
      <c r="AA973">
        <v>62371</v>
      </c>
      <c r="AB973">
        <v>21342604</v>
      </c>
      <c r="AC973">
        <v>0</v>
      </c>
      <c r="AD973" s="8"/>
    </row>
    <row r="974" spans="1:30" x14ac:dyDescent="0.3">
      <c r="A974" t="s">
        <v>1627</v>
      </c>
      <c r="B974">
        <v>1288751</v>
      </c>
      <c r="D974" t="s">
        <v>7</v>
      </c>
      <c r="E974">
        <v>945327</v>
      </c>
      <c r="F974">
        <v>9015884123</v>
      </c>
      <c r="G974">
        <v>9</v>
      </c>
      <c r="H974" t="s">
        <v>700</v>
      </c>
      <c r="I974">
        <v>0</v>
      </c>
      <c r="J974" t="s">
        <v>701</v>
      </c>
      <c r="K974" t="s">
        <v>8</v>
      </c>
      <c r="L974" t="s">
        <v>18</v>
      </c>
      <c r="M974" t="s">
        <v>9</v>
      </c>
      <c r="N974" t="s">
        <v>14</v>
      </c>
      <c r="O974" s="2">
        <v>0.12</v>
      </c>
      <c r="P974" s="3">
        <v>0</v>
      </c>
      <c r="Q974" s="1">
        <v>46033</v>
      </c>
      <c r="R974" s="1">
        <v>45992</v>
      </c>
      <c r="S974" s="1">
        <v>46022</v>
      </c>
      <c r="V974" s="8">
        <v>1</v>
      </c>
      <c r="W974" t="s">
        <v>24</v>
      </c>
      <c r="X974" t="s">
        <v>702</v>
      </c>
      <c r="Y974" t="s">
        <v>34</v>
      </c>
      <c r="Z974" t="s">
        <v>11</v>
      </c>
      <c r="AA974">
        <v>62371</v>
      </c>
      <c r="AB974">
        <v>17905442</v>
      </c>
      <c r="AC974">
        <v>1</v>
      </c>
      <c r="AD974" s="8"/>
    </row>
    <row r="975" spans="1:30" x14ac:dyDescent="0.3">
      <c r="A975" t="s">
        <v>1627</v>
      </c>
      <c r="B975">
        <v>1408939</v>
      </c>
      <c r="D975" t="s">
        <v>7</v>
      </c>
      <c r="E975">
        <v>946340</v>
      </c>
      <c r="F975">
        <v>9015884123</v>
      </c>
      <c r="G975">
        <v>344</v>
      </c>
      <c r="H975" t="s">
        <v>1021</v>
      </c>
      <c r="I975">
        <v>0</v>
      </c>
      <c r="J975" t="s">
        <v>1022</v>
      </c>
      <c r="K975" t="s">
        <v>8</v>
      </c>
      <c r="L975" t="s">
        <v>19</v>
      </c>
      <c r="M975" t="s">
        <v>9</v>
      </c>
      <c r="N975" t="s">
        <v>14</v>
      </c>
      <c r="O975" s="2">
        <v>10066.31</v>
      </c>
      <c r="P975" s="3">
        <v>50.945</v>
      </c>
      <c r="Q975" s="1">
        <v>46033</v>
      </c>
      <c r="R975" s="1">
        <v>45992</v>
      </c>
      <c r="S975" s="1">
        <v>46022</v>
      </c>
      <c r="V975" s="8">
        <v>1</v>
      </c>
      <c r="W975" t="s">
        <v>24</v>
      </c>
      <c r="X975" t="s">
        <v>1023</v>
      </c>
      <c r="Y975" t="s">
        <v>595</v>
      </c>
      <c r="Z975" t="s">
        <v>11</v>
      </c>
      <c r="AA975">
        <v>62371</v>
      </c>
      <c r="AB975">
        <v>21471622</v>
      </c>
      <c r="AC975">
        <v>0</v>
      </c>
      <c r="AD975" s="8"/>
    </row>
    <row r="976" spans="1:30" x14ac:dyDescent="0.3">
      <c r="A976" t="s">
        <v>1627</v>
      </c>
      <c r="B976">
        <v>1403719</v>
      </c>
      <c r="D976" t="s">
        <v>7</v>
      </c>
      <c r="E976">
        <v>946250</v>
      </c>
      <c r="F976">
        <v>9015884123</v>
      </c>
      <c r="G976">
        <v>301</v>
      </c>
      <c r="H976" t="s">
        <v>621</v>
      </c>
      <c r="I976">
        <v>0</v>
      </c>
      <c r="J976" t="s">
        <v>622</v>
      </c>
      <c r="K976" t="s">
        <v>8</v>
      </c>
      <c r="L976" t="s">
        <v>18</v>
      </c>
      <c r="M976" t="s">
        <v>9</v>
      </c>
      <c r="N976" t="s">
        <v>14</v>
      </c>
      <c r="O976" s="2">
        <v>0.3</v>
      </c>
      <c r="P976" s="3">
        <v>0</v>
      </c>
      <c r="Q976" s="1">
        <v>46033</v>
      </c>
      <c r="R976" s="1">
        <v>45992</v>
      </c>
      <c r="S976" s="1">
        <v>46022</v>
      </c>
      <c r="V976" s="8">
        <v>1</v>
      </c>
      <c r="W976" t="s">
        <v>24</v>
      </c>
      <c r="X976" t="s">
        <v>623</v>
      </c>
      <c r="Y976" t="s">
        <v>36</v>
      </c>
      <c r="Z976" t="s">
        <v>11</v>
      </c>
      <c r="AA976">
        <v>62371</v>
      </c>
      <c r="AB976">
        <v>18117454</v>
      </c>
      <c r="AC976">
        <v>0</v>
      </c>
      <c r="AD976" s="8"/>
    </row>
    <row r="977" spans="1:30" x14ac:dyDescent="0.3">
      <c r="A977" t="s">
        <v>1627</v>
      </c>
      <c r="B977">
        <v>1408941</v>
      </c>
      <c r="D977" t="s">
        <v>7</v>
      </c>
      <c r="E977">
        <v>946343</v>
      </c>
      <c r="F977">
        <v>9015884123</v>
      </c>
      <c r="G977">
        <v>345</v>
      </c>
      <c r="H977" t="s">
        <v>100</v>
      </c>
      <c r="I977">
        <v>0</v>
      </c>
      <c r="J977" t="s">
        <v>101</v>
      </c>
      <c r="K977" t="s">
        <v>8</v>
      </c>
      <c r="L977" t="s">
        <v>18</v>
      </c>
      <c r="M977" t="s">
        <v>9</v>
      </c>
      <c r="N977" t="s">
        <v>14</v>
      </c>
      <c r="O977" s="2">
        <v>1.6</v>
      </c>
      <c r="P977" s="3">
        <v>0</v>
      </c>
      <c r="Q977" s="1">
        <v>46033</v>
      </c>
      <c r="R977" s="1">
        <v>45992</v>
      </c>
      <c r="S977" s="1">
        <v>46022</v>
      </c>
      <c r="V977" s="8">
        <v>1</v>
      </c>
      <c r="W977" t="s">
        <v>24</v>
      </c>
      <c r="X977" t="s">
        <v>102</v>
      </c>
      <c r="Y977" t="s">
        <v>30</v>
      </c>
      <c r="Z977" t="s">
        <v>11</v>
      </c>
      <c r="AA977">
        <v>62371</v>
      </c>
      <c r="AB977">
        <v>21425312</v>
      </c>
      <c r="AC977">
        <v>0</v>
      </c>
      <c r="AD977" s="8"/>
    </row>
    <row r="978" spans="1:30" x14ac:dyDescent="0.3">
      <c r="A978" t="s">
        <v>1627</v>
      </c>
      <c r="B978">
        <v>1353834</v>
      </c>
      <c r="D978" t="s">
        <v>7</v>
      </c>
      <c r="E978">
        <v>945359</v>
      </c>
      <c r="F978">
        <v>9015884123</v>
      </c>
      <c r="G978">
        <v>99</v>
      </c>
      <c r="H978" t="s">
        <v>1491</v>
      </c>
      <c r="I978">
        <v>0</v>
      </c>
      <c r="J978" t="s">
        <v>1492</v>
      </c>
      <c r="K978" t="s">
        <v>8</v>
      </c>
      <c r="L978" t="s">
        <v>18</v>
      </c>
      <c r="M978" t="s">
        <v>9</v>
      </c>
      <c r="N978" t="s">
        <v>14</v>
      </c>
      <c r="O978" s="2">
        <v>2.4900000000000002</v>
      </c>
      <c r="P978" s="3">
        <v>0</v>
      </c>
      <c r="Q978" s="1">
        <v>46033</v>
      </c>
      <c r="R978" s="1">
        <v>45992</v>
      </c>
      <c r="S978" s="1">
        <v>46022</v>
      </c>
      <c r="V978" s="8">
        <v>1</v>
      </c>
      <c r="W978" t="s">
        <v>24</v>
      </c>
      <c r="X978" t="s">
        <v>1493</v>
      </c>
      <c r="Y978" t="s">
        <v>38</v>
      </c>
      <c r="Z978" t="s">
        <v>11</v>
      </c>
      <c r="AA978">
        <v>62371</v>
      </c>
      <c r="AB978">
        <v>18345359</v>
      </c>
      <c r="AC978">
        <v>0</v>
      </c>
      <c r="AD978" s="8"/>
    </row>
    <row r="979" spans="1:30" x14ac:dyDescent="0.3">
      <c r="A979" t="s">
        <v>1627</v>
      </c>
      <c r="B979">
        <v>1356318</v>
      </c>
      <c r="D979" t="s">
        <v>7</v>
      </c>
      <c r="E979">
        <v>945459</v>
      </c>
      <c r="F979">
        <v>9015884123</v>
      </c>
      <c r="G979">
        <v>132</v>
      </c>
      <c r="H979" t="s">
        <v>1337</v>
      </c>
      <c r="I979">
        <v>0</v>
      </c>
      <c r="J979" t="s">
        <v>1338</v>
      </c>
      <c r="K979" t="s">
        <v>8</v>
      </c>
      <c r="L979" t="s">
        <v>67</v>
      </c>
      <c r="M979" t="s">
        <v>9</v>
      </c>
      <c r="N979" t="s">
        <v>14</v>
      </c>
      <c r="O979" s="2">
        <v>268630.68</v>
      </c>
      <c r="P979" s="3">
        <v>2487.4189999999999</v>
      </c>
      <c r="Q979" s="1">
        <v>46033</v>
      </c>
      <c r="R979" s="1">
        <v>45992</v>
      </c>
      <c r="S979" s="1">
        <v>46022</v>
      </c>
      <c r="V979" s="8">
        <v>1</v>
      </c>
      <c r="W979" t="s">
        <v>24</v>
      </c>
      <c r="X979" t="s">
        <v>1339</v>
      </c>
      <c r="Y979" t="s">
        <v>40</v>
      </c>
      <c r="Z979" t="s">
        <v>11</v>
      </c>
      <c r="AA979">
        <v>62371</v>
      </c>
      <c r="AB979">
        <v>18668572</v>
      </c>
      <c r="AC979">
        <v>1</v>
      </c>
      <c r="AD979" s="8"/>
    </row>
    <row r="980" spans="1:30" x14ac:dyDescent="0.3">
      <c r="A980" t="s">
        <v>1627</v>
      </c>
      <c r="B980">
        <v>1356300</v>
      </c>
      <c r="D980" t="s">
        <v>7</v>
      </c>
      <c r="E980">
        <v>945385</v>
      </c>
      <c r="F980">
        <v>9015884123</v>
      </c>
      <c r="G980">
        <v>107</v>
      </c>
      <c r="H980" t="s">
        <v>1509</v>
      </c>
      <c r="I980">
        <v>0</v>
      </c>
      <c r="J980" t="s">
        <v>1510</v>
      </c>
      <c r="K980" t="s">
        <v>8</v>
      </c>
      <c r="L980" t="s">
        <v>67</v>
      </c>
      <c r="M980" t="s">
        <v>9</v>
      </c>
      <c r="N980" t="s">
        <v>14</v>
      </c>
      <c r="O980" s="2">
        <v>139085.03</v>
      </c>
      <c r="P980" s="3">
        <v>1287.875</v>
      </c>
      <c r="Q980" s="1">
        <v>46033</v>
      </c>
      <c r="R980" s="1">
        <v>45992</v>
      </c>
      <c r="S980" s="1">
        <v>46022</v>
      </c>
      <c r="V980" s="8">
        <v>1</v>
      </c>
      <c r="W980" t="s">
        <v>24</v>
      </c>
      <c r="X980" t="s">
        <v>1511</v>
      </c>
      <c r="Y980" t="s">
        <v>40</v>
      </c>
      <c r="Z980" t="s">
        <v>11</v>
      </c>
      <c r="AA980">
        <v>62371</v>
      </c>
      <c r="AB980">
        <v>21106441</v>
      </c>
      <c r="AC980">
        <v>1</v>
      </c>
      <c r="AD980" s="8"/>
    </row>
    <row r="981" spans="1:30" x14ac:dyDescent="0.3">
      <c r="A981" t="s">
        <v>1627</v>
      </c>
      <c r="B981">
        <v>1358836</v>
      </c>
      <c r="D981" t="s">
        <v>7</v>
      </c>
      <c r="E981">
        <v>945902</v>
      </c>
      <c r="F981">
        <v>9015884123</v>
      </c>
      <c r="G981">
        <v>151</v>
      </c>
      <c r="H981" t="s">
        <v>605</v>
      </c>
      <c r="I981">
        <v>0</v>
      </c>
      <c r="J981" t="s">
        <v>606</v>
      </c>
      <c r="K981" t="s">
        <v>8</v>
      </c>
      <c r="L981" t="s">
        <v>15</v>
      </c>
      <c r="M981" t="s">
        <v>9</v>
      </c>
      <c r="N981" t="s">
        <v>14</v>
      </c>
      <c r="O981" s="2">
        <v>0</v>
      </c>
      <c r="P981" s="3">
        <v>4283.29</v>
      </c>
      <c r="Q981" s="1">
        <v>46033</v>
      </c>
      <c r="R981" s="1">
        <v>45992</v>
      </c>
      <c r="S981" s="1">
        <v>46022</v>
      </c>
      <c r="V981" s="8">
        <v>1</v>
      </c>
      <c r="W981" t="s">
        <v>24</v>
      </c>
      <c r="X981" t="s">
        <v>607</v>
      </c>
      <c r="Y981" t="s">
        <v>40</v>
      </c>
      <c r="Z981" t="s">
        <v>11</v>
      </c>
      <c r="AA981">
        <v>62371</v>
      </c>
      <c r="AB981">
        <v>21106483</v>
      </c>
      <c r="AC981">
        <v>1</v>
      </c>
      <c r="AD981" s="8"/>
    </row>
    <row r="982" spans="1:30" x14ac:dyDescent="0.3">
      <c r="A982" t="s">
        <v>1627</v>
      </c>
      <c r="B982">
        <v>1444512</v>
      </c>
      <c r="D982" t="s">
        <v>7</v>
      </c>
      <c r="E982">
        <v>946875</v>
      </c>
      <c r="F982">
        <v>9015884123</v>
      </c>
      <c r="G982">
        <v>524</v>
      </c>
      <c r="H982" t="s">
        <v>112</v>
      </c>
      <c r="I982">
        <v>0</v>
      </c>
      <c r="J982" t="s">
        <v>113</v>
      </c>
      <c r="K982" t="s">
        <v>8</v>
      </c>
      <c r="L982" t="s">
        <v>15</v>
      </c>
      <c r="M982" t="s">
        <v>9</v>
      </c>
      <c r="N982" t="s">
        <v>14</v>
      </c>
      <c r="O982" s="2">
        <v>0</v>
      </c>
      <c r="P982" s="3">
        <v>1069.537</v>
      </c>
      <c r="Q982" s="1">
        <v>46033</v>
      </c>
      <c r="R982" s="1">
        <v>45992</v>
      </c>
      <c r="S982" s="1">
        <v>46022</v>
      </c>
      <c r="V982" s="8">
        <v>1</v>
      </c>
      <c r="W982" t="s">
        <v>24</v>
      </c>
      <c r="X982" t="s">
        <v>114</v>
      </c>
      <c r="Y982" t="s">
        <v>34</v>
      </c>
      <c r="Z982" t="s">
        <v>11</v>
      </c>
      <c r="AA982">
        <v>62371</v>
      </c>
      <c r="AB982">
        <v>21249814</v>
      </c>
      <c r="AC982">
        <v>1</v>
      </c>
      <c r="AD982" s="8"/>
    </row>
    <row r="983" spans="1:30" x14ac:dyDescent="0.3">
      <c r="A983" t="s">
        <v>1627</v>
      </c>
      <c r="B983">
        <v>1362945</v>
      </c>
      <c r="D983" t="s">
        <v>7</v>
      </c>
      <c r="E983">
        <v>945905</v>
      </c>
      <c r="F983">
        <v>9015884123</v>
      </c>
      <c r="G983">
        <v>154</v>
      </c>
      <c r="H983" t="s">
        <v>646</v>
      </c>
      <c r="I983">
        <v>0</v>
      </c>
      <c r="J983" t="s">
        <v>647</v>
      </c>
      <c r="K983" t="s">
        <v>8</v>
      </c>
      <c r="L983" t="s">
        <v>18</v>
      </c>
      <c r="M983" t="s">
        <v>9</v>
      </c>
      <c r="N983" t="s">
        <v>14</v>
      </c>
      <c r="O983" s="2">
        <v>-3.54</v>
      </c>
      <c r="P983" s="3">
        <v>0</v>
      </c>
      <c r="Q983" s="1">
        <v>46033</v>
      </c>
      <c r="R983" s="1">
        <v>45992</v>
      </c>
      <c r="S983" s="1">
        <v>46022</v>
      </c>
      <c r="V983" s="8">
        <v>1</v>
      </c>
      <c r="W983" t="s">
        <v>24</v>
      </c>
      <c r="X983" t="s">
        <v>648</v>
      </c>
      <c r="Y983" t="s">
        <v>40</v>
      </c>
      <c r="Z983" t="s">
        <v>11</v>
      </c>
      <c r="AA983">
        <v>62371</v>
      </c>
      <c r="AB983">
        <v>19752818</v>
      </c>
      <c r="AC983">
        <v>1</v>
      </c>
      <c r="AD983" s="8"/>
    </row>
    <row r="984" spans="1:30" x14ac:dyDescent="0.3">
      <c r="A984" t="s">
        <v>1627</v>
      </c>
      <c r="B984">
        <v>1363421</v>
      </c>
      <c r="D984" t="s">
        <v>7</v>
      </c>
      <c r="E984">
        <v>945919</v>
      </c>
      <c r="F984">
        <v>9015884123</v>
      </c>
      <c r="G984">
        <v>170</v>
      </c>
      <c r="H984" t="s">
        <v>1340</v>
      </c>
      <c r="I984">
        <v>0</v>
      </c>
      <c r="J984" t="s">
        <v>1341</v>
      </c>
      <c r="K984" t="s">
        <v>8</v>
      </c>
      <c r="L984" t="s">
        <v>15</v>
      </c>
      <c r="M984" t="s">
        <v>9</v>
      </c>
      <c r="N984" t="s">
        <v>14</v>
      </c>
      <c r="O984" s="2">
        <v>0</v>
      </c>
      <c r="P984" s="3">
        <v>1672.7729999999999</v>
      </c>
      <c r="Q984" s="1">
        <v>46033</v>
      </c>
      <c r="R984" s="1">
        <v>45992</v>
      </c>
      <c r="S984" s="1">
        <v>46022</v>
      </c>
      <c r="V984" s="8">
        <v>1</v>
      </c>
      <c r="W984" t="s">
        <v>24</v>
      </c>
      <c r="X984" t="s">
        <v>1342</v>
      </c>
      <c r="Y984" t="s">
        <v>40</v>
      </c>
      <c r="Z984" t="s">
        <v>11</v>
      </c>
      <c r="AA984">
        <v>62371</v>
      </c>
      <c r="AB984">
        <v>17955186</v>
      </c>
      <c r="AC984">
        <v>0</v>
      </c>
      <c r="AD984" s="8"/>
    </row>
    <row r="985" spans="1:30" x14ac:dyDescent="0.3">
      <c r="A985" t="s">
        <v>1627</v>
      </c>
      <c r="B985">
        <v>1374489</v>
      </c>
      <c r="D985" t="s">
        <v>7</v>
      </c>
      <c r="E985">
        <v>945936</v>
      </c>
      <c r="F985">
        <v>9015884123</v>
      </c>
      <c r="G985">
        <v>186</v>
      </c>
      <c r="H985" t="s">
        <v>1063</v>
      </c>
      <c r="I985">
        <v>0</v>
      </c>
      <c r="J985" t="s">
        <v>1064</v>
      </c>
      <c r="K985" t="s">
        <v>8</v>
      </c>
      <c r="L985" t="s">
        <v>15</v>
      </c>
      <c r="M985" t="s">
        <v>9</v>
      </c>
      <c r="N985" t="s">
        <v>14</v>
      </c>
      <c r="O985" s="2">
        <v>0</v>
      </c>
      <c r="P985" s="3">
        <v>1154.3440000000001</v>
      </c>
      <c r="Q985" s="1">
        <v>46033</v>
      </c>
      <c r="R985" s="1">
        <v>45992</v>
      </c>
      <c r="S985" s="1">
        <v>46022</v>
      </c>
      <c r="V985" s="8">
        <v>1</v>
      </c>
      <c r="W985" t="s">
        <v>24</v>
      </c>
      <c r="X985" t="s">
        <v>1065</v>
      </c>
      <c r="Y985" t="s">
        <v>40</v>
      </c>
      <c r="Z985" t="s">
        <v>11</v>
      </c>
      <c r="AA985">
        <v>62371</v>
      </c>
      <c r="AB985">
        <v>19861539</v>
      </c>
      <c r="AC985">
        <v>1</v>
      </c>
      <c r="AD985" s="8"/>
    </row>
    <row r="986" spans="1:30" x14ac:dyDescent="0.3">
      <c r="A986" t="s">
        <v>1627</v>
      </c>
      <c r="B986">
        <v>1442620</v>
      </c>
      <c r="D986" t="s">
        <v>7</v>
      </c>
      <c r="E986">
        <v>946859</v>
      </c>
      <c r="F986">
        <v>9015884123</v>
      </c>
      <c r="G986">
        <v>520</v>
      </c>
      <c r="H986" t="s">
        <v>1132</v>
      </c>
      <c r="I986">
        <v>0</v>
      </c>
      <c r="J986" t="s">
        <v>1133</v>
      </c>
      <c r="K986" t="s">
        <v>8</v>
      </c>
      <c r="L986" t="s">
        <v>19</v>
      </c>
      <c r="M986" t="s">
        <v>9</v>
      </c>
      <c r="N986" t="s">
        <v>14</v>
      </c>
      <c r="O986" s="2">
        <v>2640.62</v>
      </c>
      <c r="P986" s="3">
        <v>13.364000000000001</v>
      </c>
      <c r="Q986" s="1">
        <v>46033</v>
      </c>
      <c r="R986" s="1">
        <v>45992</v>
      </c>
      <c r="S986" s="1">
        <v>46022</v>
      </c>
      <c r="V986" s="8">
        <v>1</v>
      </c>
      <c r="W986" t="s">
        <v>24</v>
      </c>
      <c r="X986" t="s">
        <v>1134</v>
      </c>
      <c r="Y986" t="s">
        <v>34</v>
      </c>
      <c r="Z986" t="s">
        <v>11</v>
      </c>
      <c r="AA986">
        <v>62371</v>
      </c>
      <c r="AB986">
        <v>19954712</v>
      </c>
      <c r="AC986">
        <v>0</v>
      </c>
      <c r="AD986" s="8"/>
    </row>
    <row r="987" spans="1:30" x14ac:dyDescent="0.3">
      <c r="A987" t="s">
        <v>1627</v>
      </c>
      <c r="B987">
        <v>1335630</v>
      </c>
      <c r="D987" t="s">
        <v>7</v>
      </c>
      <c r="E987">
        <v>945197</v>
      </c>
      <c r="F987">
        <v>9015884123</v>
      </c>
      <c r="G987">
        <v>51</v>
      </c>
      <c r="H987" t="s">
        <v>1370</v>
      </c>
      <c r="I987">
        <v>0</v>
      </c>
      <c r="J987" t="s">
        <v>1371</v>
      </c>
      <c r="K987" t="s">
        <v>8</v>
      </c>
      <c r="L987" t="s">
        <v>19</v>
      </c>
      <c r="M987" t="s">
        <v>9</v>
      </c>
      <c r="N987" t="s">
        <v>14</v>
      </c>
      <c r="O987" s="2">
        <v>0.59</v>
      </c>
      <c r="P987" s="3">
        <v>3.0000000000000001E-3</v>
      </c>
      <c r="Q987" s="1">
        <v>46033</v>
      </c>
      <c r="R987" s="1">
        <v>45992</v>
      </c>
      <c r="S987" s="1">
        <v>46022</v>
      </c>
      <c r="V987" s="8">
        <v>1</v>
      </c>
      <c r="W987" t="s">
        <v>24</v>
      </c>
      <c r="X987" t="s">
        <v>1372</v>
      </c>
      <c r="Y987" t="s">
        <v>31</v>
      </c>
      <c r="Z987" t="s">
        <v>11</v>
      </c>
      <c r="AA987">
        <v>62371</v>
      </c>
      <c r="AB987">
        <v>17426449</v>
      </c>
      <c r="AC987">
        <v>0</v>
      </c>
      <c r="AD987" s="8"/>
    </row>
    <row r="988" spans="1:30" x14ac:dyDescent="0.3">
      <c r="A988" t="s">
        <v>1627</v>
      </c>
      <c r="B988">
        <v>1380283</v>
      </c>
      <c r="D988" t="s">
        <v>7</v>
      </c>
      <c r="E988">
        <v>945989</v>
      </c>
      <c r="F988">
        <v>9015884123</v>
      </c>
      <c r="G988">
        <v>213</v>
      </c>
      <c r="H988" t="s">
        <v>1030</v>
      </c>
      <c r="I988">
        <v>0</v>
      </c>
      <c r="J988" t="s">
        <v>1031</v>
      </c>
      <c r="K988" t="s">
        <v>8</v>
      </c>
      <c r="L988" t="s">
        <v>67</v>
      </c>
      <c r="M988" t="s">
        <v>9</v>
      </c>
      <c r="N988" t="s">
        <v>14</v>
      </c>
      <c r="O988" s="2">
        <v>132878.29</v>
      </c>
      <c r="P988" s="3">
        <v>1230.403</v>
      </c>
      <c r="Q988" s="1">
        <v>46033</v>
      </c>
      <c r="R988" s="1">
        <v>45992</v>
      </c>
      <c r="S988" s="1">
        <v>46022</v>
      </c>
      <c r="V988" s="8">
        <v>1</v>
      </c>
      <c r="W988" t="s">
        <v>24</v>
      </c>
      <c r="X988" t="s">
        <v>1032</v>
      </c>
      <c r="Y988" t="s">
        <v>40</v>
      </c>
      <c r="Z988" t="s">
        <v>11</v>
      </c>
      <c r="AA988">
        <v>62371</v>
      </c>
      <c r="AB988">
        <v>21106459</v>
      </c>
      <c r="AC988">
        <v>1</v>
      </c>
      <c r="AD988" s="8"/>
    </row>
    <row r="989" spans="1:30" x14ac:dyDescent="0.3">
      <c r="A989" t="s">
        <v>1627</v>
      </c>
      <c r="B989">
        <v>1415112</v>
      </c>
      <c r="D989" t="s">
        <v>7</v>
      </c>
      <c r="E989">
        <v>946487</v>
      </c>
      <c r="F989">
        <v>9015884123</v>
      </c>
      <c r="G989">
        <v>400</v>
      </c>
      <c r="H989" t="s">
        <v>1512</v>
      </c>
      <c r="I989">
        <v>0</v>
      </c>
      <c r="J989" t="s">
        <v>1513</v>
      </c>
      <c r="K989" t="s">
        <v>8</v>
      </c>
      <c r="L989" t="s">
        <v>67</v>
      </c>
      <c r="M989" t="s">
        <v>9</v>
      </c>
      <c r="N989" t="s">
        <v>14</v>
      </c>
      <c r="O989" s="2">
        <v>227448.94</v>
      </c>
      <c r="P989" s="3">
        <v>1596.9010000000001</v>
      </c>
      <c r="Q989" s="1">
        <v>46033</v>
      </c>
      <c r="R989" s="1">
        <v>45992</v>
      </c>
      <c r="S989" s="1">
        <v>46022</v>
      </c>
      <c r="V989" s="8">
        <v>1</v>
      </c>
      <c r="W989" t="s">
        <v>24</v>
      </c>
      <c r="X989" t="s">
        <v>1514</v>
      </c>
      <c r="Y989" t="s">
        <v>34</v>
      </c>
      <c r="Z989" t="s">
        <v>11</v>
      </c>
      <c r="AA989">
        <v>62371</v>
      </c>
      <c r="AB989">
        <v>17921036</v>
      </c>
      <c r="AC989">
        <v>0</v>
      </c>
      <c r="AD989" s="8"/>
    </row>
    <row r="990" spans="1:30" x14ac:dyDescent="0.3">
      <c r="A990" t="s">
        <v>1627</v>
      </c>
      <c r="B990">
        <v>1411977</v>
      </c>
      <c r="D990" t="s">
        <v>7</v>
      </c>
      <c r="E990">
        <v>946375</v>
      </c>
      <c r="F990">
        <v>9015884123</v>
      </c>
      <c r="G990">
        <v>361</v>
      </c>
      <c r="H990" t="s">
        <v>136</v>
      </c>
      <c r="I990">
        <v>0</v>
      </c>
      <c r="J990" t="s">
        <v>137</v>
      </c>
      <c r="K990" t="s">
        <v>8</v>
      </c>
      <c r="L990" t="s">
        <v>19</v>
      </c>
      <c r="M990" t="s">
        <v>9</v>
      </c>
      <c r="N990" t="s">
        <v>14</v>
      </c>
      <c r="O990" s="2">
        <v>508.01</v>
      </c>
      <c r="P990" s="3">
        <v>2.5710000000000002</v>
      </c>
      <c r="Q990" s="1">
        <v>46033</v>
      </c>
      <c r="R990" s="1">
        <v>45992</v>
      </c>
      <c r="S990" s="1">
        <v>46022</v>
      </c>
      <c r="V990" s="8">
        <v>1</v>
      </c>
      <c r="W990" t="s">
        <v>24</v>
      </c>
      <c r="X990" t="s">
        <v>138</v>
      </c>
      <c r="Y990" t="s">
        <v>34</v>
      </c>
      <c r="Z990" t="s">
        <v>11</v>
      </c>
      <c r="AA990">
        <v>62371</v>
      </c>
      <c r="AB990">
        <v>17902002</v>
      </c>
      <c r="AC990">
        <v>0</v>
      </c>
      <c r="AD990" s="8"/>
    </row>
    <row r="991" spans="1:30" x14ac:dyDescent="0.3">
      <c r="A991" t="s">
        <v>1627</v>
      </c>
      <c r="B991">
        <v>1399954</v>
      </c>
      <c r="D991" t="s">
        <v>7</v>
      </c>
      <c r="E991">
        <v>946093</v>
      </c>
      <c r="F991">
        <v>9015884123</v>
      </c>
      <c r="G991">
        <v>251</v>
      </c>
      <c r="H991" t="s">
        <v>1343</v>
      </c>
      <c r="I991">
        <v>0</v>
      </c>
      <c r="J991" t="s">
        <v>1344</v>
      </c>
      <c r="K991" t="s">
        <v>8</v>
      </c>
      <c r="L991" t="s">
        <v>67</v>
      </c>
      <c r="M991" t="s">
        <v>9</v>
      </c>
      <c r="N991" t="s">
        <v>14</v>
      </c>
      <c r="O991" s="2">
        <v>259302.55</v>
      </c>
      <c r="P991" s="3">
        <v>2401.0439999999999</v>
      </c>
      <c r="Q991" s="1">
        <v>46033</v>
      </c>
      <c r="R991" s="1">
        <v>45992</v>
      </c>
      <c r="S991" s="1">
        <v>46022</v>
      </c>
      <c r="V991" s="8">
        <v>1</v>
      </c>
      <c r="W991" t="s">
        <v>24</v>
      </c>
      <c r="X991" t="s">
        <v>1345</v>
      </c>
      <c r="Y991" t="s">
        <v>40</v>
      </c>
      <c r="Z991" t="s">
        <v>11</v>
      </c>
      <c r="AA991">
        <v>62371</v>
      </c>
      <c r="AB991">
        <v>18673828</v>
      </c>
      <c r="AC991">
        <v>1</v>
      </c>
      <c r="AD991" s="8"/>
    </row>
    <row r="992" spans="1:30" x14ac:dyDescent="0.3">
      <c r="A992" t="s">
        <v>1627</v>
      </c>
      <c r="B992">
        <v>1406191</v>
      </c>
      <c r="D992" t="s">
        <v>7</v>
      </c>
      <c r="E992">
        <v>946298</v>
      </c>
      <c r="F992">
        <v>9015884123</v>
      </c>
      <c r="G992">
        <v>321</v>
      </c>
      <c r="H992" t="s">
        <v>127</v>
      </c>
      <c r="I992">
        <v>0</v>
      </c>
      <c r="J992" t="s">
        <v>128</v>
      </c>
      <c r="K992" t="s">
        <v>8</v>
      </c>
      <c r="L992" t="s">
        <v>15</v>
      </c>
      <c r="M992" t="s">
        <v>9</v>
      </c>
      <c r="N992" t="s">
        <v>14</v>
      </c>
      <c r="O992" s="2">
        <v>0</v>
      </c>
      <c r="P992" s="3">
        <v>15963.325999999999</v>
      </c>
      <c r="Q992" s="1">
        <v>46033</v>
      </c>
      <c r="R992" s="1">
        <v>45992</v>
      </c>
      <c r="S992" s="1">
        <v>46022</v>
      </c>
      <c r="V992" s="8">
        <v>1</v>
      </c>
      <c r="W992" t="s">
        <v>24</v>
      </c>
      <c r="X992" t="s">
        <v>129</v>
      </c>
      <c r="Y992" t="s">
        <v>31</v>
      </c>
      <c r="Z992" t="s">
        <v>11</v>
      </c>
      <c r="AA992">
        <v>62371</v>
      </c>
      <c r="AB992">
        <v>17464045</v>
      </c>
      <c r="AC992">
        <v>1</v>
      </c>
      <c r="AD992" s="8"/>
    </row>
    <row r="993" spans="1:30" x14ac:dyDescent="0.3">
      <c r="A993" t="s">
        <v>1627</v>
      </c>
      <c r="B993">
        <v>1403660</v>
      </c>
      <c r="D993" t="s">
        <v>7</v>
      </c>
      <c r="E993">
        <v>946136</v>
      </c>
      <c r="F993">
        <v>9015884123</v>
      </c>
      <c r="G993">
        <v>265</v>
      </c>
      <c r="H993" t="s">
        <v>1156</v>
      </c>
      <c r="I993">
        <v>0</v>
      </c>
      <c r="J993" t="s">
        <v>1157</v>
      </c>
      <c r="K993" t="s">
        <v>8</v>
      </c>
      <c r="L993" t="s">
        <v>19</v>
      </c>
      <c r="M993" t="s">
        <v>9</v>
      </c>
      <c r="N993" t="s">
        <v>14</v>
      </c>
      <c r="O993" s="2">
        <v>173.29</v>
      </c>
      <c r="P993" s="3">
        <v>0.877</v>
      </c>
      <c r="Q993" s="1">
        <v>46033</v>
      </c>
      <c r="R993" s="1">
        <v>45992</v>
      </c>
      <c r="S993" s="1">
        <v>46022</v>
      </c>
      <c r="V993" s="8">
        <v>1</v>
      </c>
      <c r="W993" t="s">
        <v>24</v>
      </c>
      <c r="X993" t="s">
        <v>1158</v>
      </c>
      <c r="Y993" t="s">
        <v>31</v>
      </c>
      <c r="Z993" t="s">
        <v>11</v>
      </c>
      <c r="AA993">
        <v>62371</v>
      </c>
      <c r="AB993">
        <v>17159392</v>
      </c>
      <c r="AC993">
        <v>0</v>
      </c>
      <c r="AD993" s="8"/>
    </row>
    <row r="994" spans="1:30" x14ac:dyDescent="0.3">
      <c r="A994" t="s">
        <v>1627</v>
      </c>
      <c r="B994">
        <v>1406271</v>
      </c>
      <c r="D994" t="s">
        <v>7</v>
      </c>
      <c r="E994">
        <v>946303</v>
      </c>
      <c r="F994">
        <v>9015884123</v>
      </c>
      <c r="G994">
        <v>323</v>
      </c>
      <c r="H994" t="s">
        <v>1048</v>
      </c>
      <c r="I994">
        <v>0</v>
      </c>
      <c r="J994" t="s">
        <v>1049</v>
      </c>
      <c r="K994" t="s">
        <v>8</v>
      </c>
      <c r="L994" t="s">
        <v>67</v>
      </c>
      <c r="M994" t="s">
        <v>9</v>
      </c>
      <c r="N994" t="s">
        <v>14</v>
      </c>
      <c r="O994" s="2">
        <v>2587491.79</v>
      </c>
      <c r="P994" s="3">
        <v>31491.756000000001</v>
      </c>
      <c r="Q994" s="1">
        <v>46033</v>
      </c>
      <c r="R994" s="1">
        <v>45992</v>
      </c>
      <c r="S994" s="1">
        <v>46022</v>
      </c>
      <c r="V994" s="8">
        <v>2</v>
      </c>
      <c r="W994" t="s">
        <v>24</v>
      </c>
      <c r="X994" t="s">
        <v>1050</v>
      </c>
      <c r="Y994" t="s">
        <v>40</v>
      </c>
      <c r="Z994" t="s">
        <v>11</v>
      </c>
      <c r="AA994">
        <v>62371</v>
      </c>
      <c r="AB994">
        <v>19711461</v>
      </c>
      <c r="AC994">
        <v>1</v>
      </c>
      <c r="AD994" s="8"/>
    </row>
    <row r="995" spans="1:30" x14ac:dyDescent="0.3">
      <c r="A995" t="s">
        <v>1627</v>
      </c>
      <c r="B995">
        <v>1424769</v>
      </c>
      <c r="D995" t="s">
        <v>7</v>
      </c>
      <c r="E995">
        <v>946704</v>
      </c>
      <c r="F995">
        <v>9015884123</v>
      </c>
      <c r="G995">
        <v>469</v>
      </c>
      <c r="H995" t="s">
        <v>1081</v>
      </c>
      <c r="I995">
        <v>0</v>
      </c>
      <c r="J995" t="s">
        <v>1082</v>
      </c>
      <c r="K995" t="s">
        <v>8</v>
      </c>
      <c r="L995" t="s">
        <v>18</v>
      </c>
      <c r="M995" t="s">
        <v>9</v>
      </c>
      <c r="N995" t="s">
        <v>14</v>
      </c>
      <c r="O995" s="2">
        <v>1.71</v>
      </c>
      <c r="P995" s="3">
        <v>0</v>
      </c>
      <c r="Q995" s="1">
        <v>46033</v>
      </c>
      <c r="R995" s="1">
        <v>45992</v>
      </c>
      <c r="S995" s="1">
        <v>46022</v>
      </c>
      <c r="V995" s="8">
        <v>2</v>
      </c>
      <c r="W995" t="s">
        <v>24</v>
      </c>
      <c r="X995" t="s">
        <v>1083</v>
      </c>
      <c r="Y995" t="s">
        <v>655</v>
      </c>
      <c r="Z995" t="s">
        <v>11</v>
      </c>
      <c r="AA995">
        <v>62371</v>
      </c>
      <c r="AB995">
        <v>19668819</v>
      </c>
      <c r="AC995">
        <v>1</v>
      </c>
      <c r="AD995" s="8"/>
    </row>
    <row r="996" spans="1:30" x14ac:dyDescent="0.3">
      <c r="A996" t="s">
        <v>1627</v>
      </c>
      <c r="B996">
        <v>1383133</v>
      </c>
      <c r="D996" t="s">
        <v>7</v>
      </c>
      <c r="E996">
        <v>946025</v>
      </c>
      <c r="F996">
        <v>9015884123</v>
      </c>
      <c r="G996">
        <v>229</v>
      </c>
      <c r="H996" t="s">
        <v>160</v>
      </c>
      <c r="I996">
        <v>0</v>
      </c>
      <c r="J996" t="s">
        <v>161</v>
      </c>
      <c r="K996" t="s">
        <v>8</v>
      </c>
      <c r="L996" t="s">
        <v>18</v>
      </c>
      <c r="M996" t="s">
        <v>9</v>
      </c>
      <c r="N996" t="s">
        <v>14</v>
      </c>
      <c r="O996" s="2">
        <v>-1.02</v>
      </c>
      <c r="P996" s="3">
        <v>0</v>
      </c>
      <c r="Q996" s="1">
        <v>46033</v>
      </c>
      <c r="R996" s="1">
        <v>45992</v>
      </c>
      <c r="S996" s="1">
        <v>46022</v>
      </c>
      <c r="V996" s="8">
        <v>1</v>
      </c>
      <c r="W996" t="s">
        <v>24</v>
      </c>
      <c r="X996" t="s">
        <v>162</v>
      </c>
      <c r="Y996" t="s">
        <v>31</v>
      </c>
      <c r="Z996" t="s">
        <v>11</v>
      </c>
      <c r="AA996">
        <v>62371</v>
      </c>
      <c r="AB996">
        <v>18862233</v>
      </c>
      <c r="AC996">
        <v>1</v>
      </c>
      <c r="AD996" s="8"/>
    </row>
    <row r="997" spans="1:30" x14ac:dyDescent="0.3">
      <c r="A997" t="s">
        <v>1627</v>
      </c>
      <c r="B997">
        <v>1382487</v>
      </c>
      <c r="D997" t="s">
        <v>7</v>
      </c>
      <c r="E997">
        <v>946020</v>
      </c>
      <c r="F997">
        <v>9015884123</v>
      </c>
      <c r="G997">
        <v>228</v>
      </c>
      <c r="H997" t="s">
        <v>724</v>
      </c>
      <c r="I997">
        <v>0</v>
      </c>
      <c r="J997" t="s">
        <v>725</v>
      </c>
      <c r="K997" t="s">
        <v>8</v>
      </c>
      <c r="L997" t="s">
        <v>15</v>
      </c>
      <c r="M997" t="s">
        <v>9</v>
      </c>
      <c r="N997" t="s">
        <v>14</v>
      </c>
      <c r="O997" s="2">
        <v>0</v>
      </c>
      <c r="P997" s="3">
        <v>4704.2659999999996</v>
      </c>
      <c r="Q997" s="1">
        <v>46033</v>
      </c>
      <c r="R997" s="1">
        <v>45992</v>
      </c>
      <c r="S997" s="1">
        <v>46022</v>
      </c>
      <c r="V997" s="8">
        <v>1</v>
      </c>
      <c r="W997" t="s">
        <v>24</v>
      </c>
      <c r="X997" t="s">
        <v>726</v>
      </c>
      <c r="Y997" t="s">
        <v>34</v>
      </c>
      <c r="Z997" t="s">
        <v>11</v>
      </c>
      <c r="AA997">
        <v>62371</v>
      </c>
      <c r="AB997">
        <v>17916075</v>
      </c>
      <c r="AC997">
        <v>0</v>
      </c>
      <c r="AD997" s="8"/>
    </row>
    <row r="998" spans="1:30" x14ac:dyDescent="0.3">
      <c r="A998" t="s">
        <v>1627</v>
      </c>
      <c r="B998">
        <v>1382485</v>
      </c>
      <c r="D998" t="s">
        <v>7</v>
      </c>
      <c r="E998">
        <v>946069</v>
      </c>
      <c r="F998">
        <v>9015884123</v>
      </c>
      <c r="G998">
        <v>224</v>
      </c>
      <c r="H998" t="s">
        <v>1123</v>
      </c>
      <c r="I998">
        <v>0</v>
      </c>
      <c r="J998" t="s">
        <v>1124</v>
      </c>
      <c r="K998" t="s">
        <v>8</v>
      </c>
      <c r="L998" t="s">
        <v>18</v>
      </c>
      <c r="M998" t="s">
        <v>9</v>
      </c>
      <c r="N998" t="s">
        <v>14</v>
      </c>
      <c r="O998" s="2">
        <v>-1.65</v>
      </c>
      <c r="P998" s="3">
        <v>0</v>
      </c>
      <c r="Q998" s="1">
        <v>46033</v>
      </c>
      <c r="R998" s="1">
        <v>45992</v>
      </c>
      <c r="S998" s="1">
        <v>46022</v>
      </c>
      <c r="V998" s="8">
        <v>1</v>
      </c>
      <c r="W998" t="s">
        <v>24</v>
      </c>
      <c r="X998" t="s">
        <v>1125</v>
      </c>
      <c r="Y998" t="s">
        <v>34</v>
      </c>
      <c r="Z998" t="s">
        <v>11</v>
      </c>
      <c r="AA998">
        <v>62371</v>
      </c>
      <c r="AB998">
        <v>17933297</v>
      </c>
      <c r="AC998">
        <v>0</v>
      </c>
      <c r="AD998" s="8"/>
    </row>
    <row r="999" spans="1:30" x14ac:dyDescent="0.3">
      <c r="A999" t="s">
        <v>1627</v>
      </c>
      <c r="B999">
        <v>1382485</v>
      </c>
      <c r="D999" t="s">
        <v>7</v>
      </c>
      <c r="E999">
        <v>946069</v>
      </c>
      <c r="F999">
        <v>9015884123</v>
      </c>
      <c r="G999">
        <v>224</v>
      </c>
      <c r="H999" t="s">
        <v>1123</v>
      </c>
      <c r="I999">
        <v>0</v>
      </c>
      <c r="J999" t="s">
        <v>1124</v>
      </c>
      <c r="K999" t="s">
        <v>8</v>
      </c>
      <c r="L999" t="s">
        <v>67</v>
      </c>
      <c r="M999" t="s">
        <v>9</v>
      </c>
      <c r="N999" t="s">
        <v>14</v>
      </c>
      <c r="O999" s="2">
        <v>72441.350000000006</v>
      </c>
      <c r="P999" s="3">
        <v>508.60500000000002</v>
      </c>
      <c r="Q999" s="1">
        <v>46033</v>
      </c>
      <c r="R999" s="1">
        <v>45992</v>
      </c>
      <c r="S999" s="1">
        <v>46022</v>
      </c>
      <c r="V999" s="8">
        <v>1</v>
      </c>
      <c r="W999" t="s">
        <v>24</v>
      </c>
      <c r="X999" t="s">
        <v>1125</v>
      </c>
      <c r="Y999" t="s">
        <v>34</v>
      </c>
      <c r="Z999" t="s">
        <v>11</v>
      </c>
      <c r="AA999">
        <v>62371</v>
      </c>
      <c r="AB999">
        <v>17933297</v>
      </c>
      <c r="AC999">
        <v>0</v>
      </c>
      <c r="AD999" s="8"/>
    </row>
    <row r="1000" spans="1:30" x14ac:dyDescent="0.3">
      <c r="A1000" t="s">
        <v>1627</v>
      </c>
      <c r="B1000">
        <v>1295340</v>
      </c>
      <c r="D1000" t="s">
        <v>7</v>
      </c>
      <c r="E1000">
        <v>945115</v>
      </c>
      <c r="F1000">
        <v>9015884123</v>
      </c>
      <c r="G1000">
        <v>10</v>
      </c>
      <c r="H1000" t="s">
        <v>1072</v>
      </c>
      <c r="I1000">
        <v>0</v>
      </c>
      <c r="J1000" t="s">
        <v>1073</v>
      </c>
      <c r="K1000" t="s">
        <v>8</v>
      </c>
      <c r="L1000" t="s">
        <v>19</v>
      </c>
      <c r="M1000" t="s">
        <v>9</v>
      </c>
      <c r="N1000" t="s">
        <v>14</v>
      </c>
      <c r="O1000" s="2">
        <v>0</v>
      </c>
      <c r="P1000" s="3">
        <v>11.699</v>
      </c>
      <c r="Q1000" s="1">
        <v>46033</v>
      </c>
      <c r="R1000" s="1">
        <v>45992</v>
      </c>
      <c r="S1000" s="1">
        <v>46022</v>
      </c>
      <c r="V1000" s="8">
        <v>1</v>
      </c>
      <c r="W1000" t="s">
        <v>24</v>
      </c>
      <c r="X1000" t="s">
        <v>1074</v>
      </c>
      <c r="Y1000" t="s">
        <v>40</v>
      </c>
      <c r="Z1000" t="s">
        <v>11</v>
      </c>
      <c r="AA1000">
        <v>62371</v>
      </c>
      <c r="AB1000">
        <v>17998235</v>
      </c>
      <c r="AC1000">
        <v>0</v>
      </c>
      <c r="AD1000" s="8" t="s">
        <v>1650</v>
      </c>
    </row>
    <row r="1001" spans="1:30" x14ac:dyDescent="0.3">
      <c r="A1001" t="s">
        <v>1627</v>
      </c>
      <c r="B1001">
        <v>1320950</v>
      </c>
      <c r="D1001" t="s">
        <v>7</v>
      </c>
      <c r="E1001">
        <v>945183</v>
      </c>
      <c r="F1001">
        <v>9015884123</v>
      </c>
      <c r="G1001">
        <v>44</v>
      </c>
      <c r="H1001" t="s">
        <v>1515</v>
      </c>
      <c r="I1001">
        <v>0</v>
      </c>
      <c r="J1001" t="s">
        <v>1516</v>
      </c>
      <c r="K1001" t="s">
        <v>8</v>
      </c>
      <c r="L1001" t="s">
        <v>19</v>
      </c>
      <c r="M1001" t="s">
        <v>9</v>
      </c>
      <c r="N1001" t="s">
        <v>14</v>
      </c>
      <c r="O1001" s="2">
        <v>20155.150000000001</v>
      </c>
      <c r="P1001" s="3">
        <v>102.004</v>
      </c>
      <c r="Q1001" s="1">
        <v>46033</v>
      </c>
      <c r="R1001" s="1">
        <v>45992</v>
      </c>
      <c r="S1001" s="1">
        <v>46022</v>
      </c>
      <c r="V1001" s="8">
        <v>1</v>
      </c>
      <c r="W1001" t="s">
        <v>24</v>
      </c>
      <c r="X1001" t="s">
        <v>1517</v>
      </c>
      <c r="Y1001" t="s">
        <v>40</v>
      </c>
      <c r="Z1001" t="s">
        <v>11</v>
      </c>
      <c r="AA1001">
        <v>62371</v>
      </c>
      <c r="AB1001">
        <v>17937017</v>
      </c>
      <c r="AC1001">
        <v>0</v>
      </c>
      <c r="AD1001" s="8"/>
    </row>
    <row r="1002" spans="1:30" x14ac:dyDescent="0.3">
      <c r="A1002" t="s">
        <v>1627</v>
      </c>
      <c r="B1002">
        <v>1415369</v>
      </c>
      <c r="D1002" t="s">
        <v>7</v>
      </c>
      <c r="E1002">
        <v>946474</v>
      </c>
      <c r="F1002">
        <v>9015884123</v>
      </c>
      <c r="G1002">
        <v>397</v>
      </c>
      <c r="H1002" t="s">
        <v>72</v>
      </c>
      <c r="I1002">
        <v>0</v>
      </c>
      <c r="J1002" t="s">
        <v>73</v>
      </c>
      <c r="K1002" t="s">
        <v>8</v>
      </c>
      <c r="L1002" t="s">
        <v>19</v>
      </c>
      <c r="M1002" t="s">
        <v>9</v>
      </c>
      <c r="N1002" t="s">
        <v>14</v>
      </c>
      <c r="O1002" s="2">
        <v>7707.26</v>
      </c>
      <c r="P1002" s="3">
        <v>39.006</v>
      </c>
      <c r="Q1002" s="1">
        <v>46033</v>
      </c>
      <c r="R1002" s="1">
        <v>45992</v>
      </c>
      <c r="S1002" s="1">
        <v>46022</v>
      </c>
      <c r="V1002" s="8">
        <v>1</v>
      </c>
      <c r="W1002" t="s">
        <v>24</v>
      </c>
      <c r="X1002" t="s">
        <v>74</v>
      </c>
      <c r="Y1002" t="s">
        <v>75</v>
      </c>
      <c r="Z1002" t="s">
        <v>11</v>
      </c>
      <c r="AA1002">
        <v>62371</v>
      </c>
      <c r="AB1002">
        <v>12901850</v>
      </c>
      <c r="AC1002">
        <v>0</v>
      </c>
      <c r="AD1002" s="8"/>
    </row>
    <row r="1003" spans="1:30" x14ac:dyDescent="0.3">
      <c r="A1003" t="s">
        <v>1627</v>
      </c>
      <c r="B1003">
        <v>1419804</v>
      </c>
      <c r="D1003" t="s">
        <v>7</v>
      </c>
      <c r="E1003">
        <v>946671</v>
      </c>
      <c r="F1003">
        <v>9015884123</v>
      </c>
      <c r="G1003">
        <v>459</v>
      </c>
      <c r="H1003" t="s">
        <v>685</v>
      </c>
      <c r="I1003">
        <v>0</v>
      </c>
      <c r="J1003" t="s">
        <v>686</v>
      </c>
      <c r="K1003" t="s">
        <v>8</v>
      </c>
      <c r="L1003" t="s">
        <v>19</v>
      </c>
      <c r="M1003" t="s">
        <v>9</v>
      </c>
      <c r="N1003" t="s">
        <v>14</v>
      </c>
      <c r="O1003" s="2">
        <v>9341.94</v>
      </c>
      <c r="P1003" s="3">
        <v>47.279000000000003</v>
      </c>
      <c r="Q1003" s="1">
        <v>46033</v>
      </c>
      <c r="R1003" s="1">
        <v>45992</v>
      </c>
      <c r="S1003" s="1">
        <v>46022</v>
      </c>
      <c r="V1003" s="8">
        <v>1</v>
      </c>
      <c r="W1003" t="s">
        <v>24</v>
      </c>
      <c r="X1003" t="s">
        <v>687</v>
      </c>
      <c r="Y1003" t="s">
        <v>42</v>
      </c>
      <c r="Z1003" t="s">
        <v>11</v>
      </c>
      <c r="AA1003">
        <v>62371</v>
      </c>
      <c r="AB1003">
        <v>17582780</v>
      </c>
      <c r="AC1003">
        <v>0</v>
      </c>
      <c r="AD1003" s="8"/>
    </row>
    <row r="1004" spans="1:30" x14ac:dyDescent="0.3">
      <c r="A1004" t="s">
        <v>1627</v>
      </c>
      <c r="B1004">
        <v>1415556</v>
      </c>
      <c r="D1004" t="s">
        <v>7</v>
      </c>
      <c r="E1004">
        <v>946458</v>
      </c>
      <c r="F1004">
        <v>9015884123</v>
      </c>
      <c r="G1004">
        <v>392</v>
      </c>
      <c r="H1004" t="s">
        <v>691</v>
      </c>
      <c r="I1004">
        <v>0</v>
      </c>
      <c r="J1004" t="s">
        <v>692</v>
      </c>
      <c r="K1004" t="s">
        <v>8</v>
      </c>
      <c r="L1004" t="s">
        <v>18</v>
      </c>
      <c r="M1004" t="s">
        <v>9</v>
      </c>
      <c r="N1004" t="s">
        <v>14</v>
      </c>
      <c r="O1004" s="2">
        <v>1.1000000000000001</v>
      </c>
      <c r="P1004" s="3">
        <v>0</v>
      </c>
      <c r="Q1004" s="1">
        <v>46033</v>
      </c>
      <c r="R1004" s="1">
        <v>45992</v>
      </c>
      <c r="S1004" s="1">
        <v>46022</v>
      </c>
      <c r="V1004" s="8">
        <v>1</v>
      </c>
      <c r="W1004" t="s">
        <v>24</v>
      </c>
      <c r="X1004" t="s">
        <v>693</v>
      </c>
      <c r="Y1004" t="s">
        <v>42</v>
      </c>
      <c r="Z1004" t="s">
        <v>11</v>
      </c>
      <c r="AA1004">
        <v>62371</v>
      </c>
      <c r="AB1004">
        <v>21406197</v>
      </c>
      <c r="AC1004">
        <v>0</v>
      </c>
      <c r="AD1004" s="8"/>
    </row>
    <row r="1005" spans="1:30" x14ac:dyDescent="0.3">
      <c r="A1005" t="s">
        <v>1627</v>
      </c>
      <c r="B1005">
        <v>1363519</v>
      </c>
      <c r="D1005" t="s">
        <v>7</v>
      </c>
      <c r="E1005">
        <v>946809</v>
      </c>
      <c r="F1005">
        <v>9015884123</v>
      </c>
      <c r="G1005">
        <v>504</v>
      </c>
      <c r="H1005" t="s">
        <v>69</v>
      </c>
      <c r="I1005">
        <v>0</v>
      </c>
      <c r="J1005" t="s">
        <v>70</v>
      </c>
      <c r="K1005" t="s">
        <v>8</v>
      </c>
      <c r="L1005" t="s">
        <v>15</v>
      </c>
      <c r="M1005" t="s">
        <v>9</v>
      </c>
      <c r="N1005" t="s">
        <v>14</v>
      </c>
      <c r="O1005" s="2">
        <v>0</v>
      </c>
      <c r="P1005" s="3">
        <v>1.7410000000000001</v>
      </c>
      <c r="Q1005" s="1">
        <v>46033</v>
      </c>
      <c r="R1005" s="1">
        <v>45992</v>
      </c>
      <c r="S1005" s="1">
        <v>46022</v>
      </c>
      <c r="V1005" s="8">
        <v>1</v>
      </c>
      <c r="W1005" t="s">
        <v>24</v>
      </c>
      <c r="X1005" t="s">
        <v>71</v>
      </c>
      <c r="Y1005" t="s">
        <v>68</v>
      </c>
      <c r="Z1005" t="s">
        <v>11</v>
      </c>
      <c r="AA1005">
        <v>62371</v>
      </c>
      <c r="AB1005">
        <v>19792503</v>
      </c>
      <c r="AC1005">
        <v>1</v>
      </c>
      <c r="AD1005" s="8"/>
    </row>
    <row r="1006" spans="1:30" x14ac:dyDescent="0.3">
      <c r="A1006" t="s">
        <v>1627</v>
      </c>
      <c r="B1006">
        <v>1377539</v>
      </c>
      <c r="D1006" t="s">
        <v>7</v>
      </c>
      <c r="E1006">
        <v>945961</v>
      </c>
      <c r="F1006">
        <v>9015884123</v>
      </c>
      <c r="G1006">
        <v>198</v>
      </c>
      <c r="H1006" t="s">
        <v>87</v>
      </c>
      <c r="I1006">
        <v>0</v>
      </c>
      <c r="J1006" t="s">
        <v>88</v>
      </c>
      <c r="K1006" t="s">
        <v>8</v>
      </c>
      <c r="L1006" t="s">
        <v>18</v>
      </c>
      <c r="M1006" t="s">
        <v>9</v>
      </c>
      <c r="N1006" t="s">
        <v>14</v>
      </c>
      <c r="O1006" s="2">
        <v>3.56</v>
      </c>
      <c r="P1006" s="3">
        <v>0</v>
      </c>
      <c r="Q1006" s="1">
        <v>46033</v>
      </c>
      <c r="R1006" s="1">
        <v>45992</v>
      </c>
      <c r="S1006" s="1">
        <v>46022</v>
      </c>
      <c r="V1006" s="8">
        <v>1</v>
      </c>
      <c r="W1006" t="s">
        <v>24</v>
      </c>
      <c r="X1006" t="s">
        <v>89</v>
      </c>
      <c r="Y1006" t="s">
        <v>42</v>
      </c>
      <c r="Z1006" t="s">
        <v>11</v>
      </c>
      <c r="AA1006">
        <v>62371</v>
      </c>
      <c r="AB1006">
        <v>17579804</v>
      </c>
      <c r="AC1006">
        <v>0</v>
      </c>
      <c r="AD1006" s="8"/>
    </row>
    <row r="1007" spans="1:30" x14ac:dyDescent="0.3">
      <c r="A1007" t="s">
        <v>1627</v>
      </c>
      <c r="B1007">
        <v>1414342</v>
      </c>
      <c r="D1007" t="s">
        <v>7</v>
      </c>
      <c r="E1007">
        <v>946436</v>
      </c>
      <c r="F1007">
        <v>9015884123</v>
      </c>
      <c r="G1007">
        <v>385</v>
      </c>
      <c r="H1007" t="s">
        <v>79</v>
      </c>
      <c r="I1007">
        <v>0</v>
      </c>
      <c r="J1007" t="s">
        <v>80</v>
      </c>
      <c r="K1007" t="s">
        <v>8</v>
      </c>
      <c r="L1007" t="s">
        <v>15</v>
      </c>
      <c r="M1007" t="s">
        <v>9</v>
      </c>
      <c r="N1007" t="s">
        <v>14</v>
      </c>
      <c r="O1007" s="2">
        <v>0</v>
      </c>
      <c r="P1007" s="3">
        <v>4180.4790000000003</v>
      </c>
      <c r="Q1007" s="1">
        <v>46033</v>
      </c>
      <c r="R1007" s="1">
        <v>45992</v>
      </c>
      <c r="S1007" s="1">
        <v>46022</v>
      </c>
      <c r="V1007" s="8">
        <v>1</v>
      </c>
      <c r="W1007" t="s">
        <v>24</v>
      </c>
      <c r="X1007" t="s">
        <v>81</v>
      </c>
      <c r="Y1007" t="s">
        <v>68</v>
      </c>
      <c r="Z1007" t="s">
        <v>11</v>
      </c>
      <c r="AA1007">
        <v>62371</v>
      </c>
      <c r="AB1007">
        <v>21342685</v>
      </c>
      <c r="AC1007">
        <v>0</v>
      </c>
      <c r="AD1007" s="8"/>
    </row>
    <row r="1008" spans="1:30" x14ac:dyDescent="0.3">
      <c r="A1008" t="s">
        <v>1627</v>
      </c>
      <c r="B1008">
        <v>1354508</v>
      </c>
      <c r="D1008" t="s">
        <v>7</v>
      </c>
      <c r="E1008">
        <v>945340</v>
      </c>
      <c r="F1008">
        <v>9015884123</v>
      </c>
      <c r="G1008">
        <v>93</v>
      </c>
      <c r="H1008" t="s">
        <v>1147</v>
      </c>
      <c r="I1008">
        <v>0</v>
      </c>
      <c r="J1008" t="s">
        <v>1148</v>
      </c>
      <c r="K1008" t="s">
        <v>8</v>
      </c>
      <c r="L1008" t="s">
        <v>67</v>
      </c>
      <c r="M1008" t="s">
        <v>9</v>
      </c>
      <c r="N1008" t="s">
        <v>14</v>
      </c>
      <c r="O1008" s="2">
        <v>447604.68</v>
      </c>
      <c r="P1008" s="3">
        <v>3142.5970000000002</v>
      </c>
      <c r="Q1008" s="1">
        <v>46033</v>
      </c>
      <c r="R1008" s="1">
        <v>45992</v>
      </c>
      <c r="S1008" s="1">
        <v>46022</v>
      </c>
      <c r="V1008" s="8">
        <v>1</v>
      </c>
      <c r="W1008" t="s">
        <v>24</v>
      </c>
      <c r="X1008" t="s">
        <v>1149</v>
      </c>
      <c r="Y1008" t="s">
        <v>17</v>
      </c>
      <c r="Z1008" t="s">
        <v>11</v>
      </c>
      <c r="AA1008">
        <v>62371</v>
      </c>
      <c r="AB1008">
        <v>17779525</v>
      </c>
      <c r="AC1008">
        <v>0</v>
      </c>
      <c r="AD1008" s="8"/>
    </row>
    <row r="1009" spans="1:30" x14ac:dyDescent="0.3">
      <c r="A1009" t="s">
        <v>1627</v>
      </c>
      <c r="B1009">
        <v>1379275</v>
      </c>
      <c r="D1009" t="s">
        <v>7</v>
      </c>
      <c r="E1009">
        <v>945985</v>
      </c>
      <c r="F1009">
        <v>9015884123</v>
      </c>
      <c r="G1009">
        <v>211</v>
      </c>
      <c r="H1009" t="s">
        <v>1102</v>
      </c>
      <c r="I1009">
        <v>0</v>
      </c>
      <c r="J1009" t="s">
        <v>1103</v>
      </c>
      <c r="K1009" t="s">
        <v>8</v>
      </c>
      <c r="L1009" t="s">
        <v>18</v>
      </c>
      <c r="M1009" t="s">
        <v>9</v>
      </c>
      <c r="N1009" t="s">
        <v>14</v>
      </c>
      <c r="O1009" s="2">
        <v>-1.6</v>
      </c>
      <c r="P1009" s="3">
        <v>0</v>
      </c>
      <c r="Q1009" s="1">
        <v>46033</v>
      </c>
      <c r="R1009" s="1">
        <v>45992</v>
      </c>
      <c r="S1009" s="1">
        <v>46022</v>
      </c>
      <c r="V1009" s="8">
        <v>1</v>
      </c>
      <c r="W1009" t="s">
        <v>24</v>
      </c>
      <c r="X1009" t="s">
        <v>1104</v>
      </c>
      <c r="Y1009" t="s">
        <v>43</v>
      </c>
      <c r="Z1009" t="s">
        <v>11</v>
      </c>
      <c r="AA1009">
        <v>62371</v>
      </c>
      <c r="AB1009">
        <v>18487376</v>
      </c>
      <c r="AC1009">
        <v>0</v>
      </c>
      <c r="AD1009" s="8"/>
    </row>
    <row r="1010" spans="1:30" x14ac:dyDescent="0.3">
      <c r="A1010" t="s">
        <v>1627</v>
      </c>
      <c r="B1010">
        <v>1379275</v>
      </c>
      <c r="D1010" t="s">
        <v>7</v>
      </c>
      <c r="E1010">
        <v>945985</v>
      </c>
      <c r="F1010">
        <v>9015884123</v>
      </c>
      <c r="G1010">
        <v>211</v>
      </c>
      <c r="H1010" t="s">
        <v>1102</v>
      </c>
      <c r="I1010">
        <v>0</v>
      </c>
      <c r="J1010" t="s">
        <v>1103</v>
      </c>
      <c r="K1010" t="s">
        <v>8</v>
      </c>
      <c r="L1010" t="s">
        <v>15</v>
      </c>
      <c r="M1010" t="s">
        <v>9</v>
      </c>
      <c r="N1010" t="s">
        <v>14</v>
      </c>
      <c r="O1010" s="2">
        <v>0</v>
      </c>
      <c r="P1010" s="3">
        <v>4983.3680000000004</v>
      </c>
      <c r="Q1010" s="1">
        <v>46033</v>
      </c>
      <c r="R1010" s="1">
        <v>45992</v>
      </c>
      <c r="S1010" s="1">
        <v>46022</v>
      </c>
      <c r="V1010" s="8">
        <v>1</v>
      </c>
      <c r="W1010" t="s">
        <v>24</v>
      </c>
      <c r="X1010" t="s">
        <v>1104</v>
      </c>
      <c r="Y1010" t="s">
        <v>43</v>
      </c>
      <c r="Z1010" t="s">
        <v>11</v>
      </c>
      <c r="AA1010">
        <v>62371</v>
      </c>
      <c r="AB1010">
        <v>18487376</v>
      </c>
      <c r="AC1010">
        <v>0</v>
      </c>
      <c r="AD1010" s="8"/>
    </row>
    <row r="1011" spans="1:30" x14ac:dyDescent="0.3">
      <c r="A1011" t="s">
        <v>1627</v>
      </c>
      <c r="B1011">
        <v>1354736</v>
      </c>
      <c r="D1011" t="s">
        <v>7</v>
      </c>
      <c r="E1011">
        <v>945356</v>
      </c>
      <c r="F1011">
        <v>9015884123</v>
      </c>
      <c r="G1011">
        <v>98</v>
      </c>
      <c r="H1011" t="s">
        <v>193</v>
      </c>
      <c r="I1011">
        <v>0</v>
      </c>
      <c r="J1011" t="s">
        <v>194</v>
      </c>
      <c r="K1011" t="s">
        <v>8</v>
      </c>
      <c r="L1011" t="s">
        <v>67</v>
      </c>
      <c r="M1011" t="s">
        <v>9</v>
      </c>
      <c r="N1011" t="s">
        <v>14</v>
      </c>
      <c r="O1011" s="2">
        <v>561706.19999999995</v>
      </c>
      <c r="P1011" s="3">
        <v>5201.1880000000001</v>
      </c>
      <c r="Q1011" s="1">
        <v>46033</v>
      </c>
      <c r="R1011" s="1">
        <v>45992</v>
      </c>
      <c r="S1011" s="1">
        <v>46022</v>
      </c>
      <c r="V1011" s="8">
        <v>1</v>
      </c>
      <c r="W1011" t="s">
        <v>24</v>
      </c>
      <c r="X1011" t="s">
        <v>195</v>
      </c>
      <c r="Y1011" t="s">
        <v>10</v>
      </c>
      <c r="Z1011" t="s">
        <v>11</v>
      </c>
      <c r="AA1011">
        <v>62371</v>
      </c>
      <c r="AB1011">
        <v>18534189</v>
      </c>
      <c r="AC1011">
        <v>1</v>
      </c>
      <c r="AD1011" s="8"/>
    </row>
    <row r="1012" spans="1:30" x14ac:dyDescent="0.3">
      <c r="A1012" t="s">
        <v>1627</v>
      </c>
      <c r="B1012">
        <v>1403716</v>
      </c>
      <c r="D1012" t="s">
        <v>7</v>
      </c>
      <c r="E1012">
        <v>946176</v>
      </c>
      <c r="F1012">
        <v>9015884123</v>
      </c>
      <c r="G1012">
        <v>276</v>
      </c>
      <c r="H1012" t="s">
        <v>1518</v>
      </c>
      <c r="I1012">
        <v>0</v>
      </c>
      <c r="J1012" t="s">
        <v>1519</v>
      </c>
      <c r="K1012" t="s">
        <v>8</v>
      </c>
      <c r="L1012" t="s">
        <v>18</v>
      </c>
      <c r="M1012" t="s">
        <v>9</v>
      </c>
      <c r="N1012" t="s">
        <v>14</v>
      </c>
      <c r="O1012" s="2">
        <v>3.45</v>
      </c>
      <c r="P1012" s="3">
        <v>0</v>
      </c>
      <c r="Q1012" s="1">
        <v>46033</v>
      </c>
      <c r="R1012" s="1">
        <v>45992</v>
      </c>
      <c r="S1012" s="1">
        <v>46022</v>
      </c>
      <c r="V1012" s="8">
        <v>1</v>
      </c>
      <c r="W1012" t="s">
        <v>24</v>
      </c>
      <c r="X1012" t="s">
        <v>1520</v>
      </c>
      <c r="Y1012" t="s">
        <v>29</v>
      </c>
      <c r="Z1012" t="s">
        <v>11</v>
      </c>
      <c r="AA1012">
        <v>62371</v>
      </c>
      <c r="AB1012">
        <v>21316105</v>
      </c>
      <c r="AC1012">
        <v>1</v>
      </c>
      <c r="AD1012" s="8"/>
    </row>
    <row r="1013" spans="1:30" x14ac:dyDescent="0.3">
      <c r="A1013" t="s">
        <v>1627</v>
      </c>
      <c r="B1013">
        <v>1403705</v>
      </c>
      <c r="D1013" t="s">
        <v>7</v>
      </c>
      <c r="E1013">
        <v>946231</v>
      </c>
      <c r="F1013">
        <v>9015884123</v>
      </c>
      <c r="G1013">
        <v>295</v>
      </c>
      <c r="H1013" t="s">
        <v>1521</v>
      </c>
      <c r="I1013">
        <v>0</v>
      </c>
      <c r="J1013" t="s">
        <v>1522</v>
      </c>
      <c r="K1013" t="s">
        <v>8</v>
      </c>
      <c r="L1013" t="s">
        <v>18</v>
      </c>
      <c r="M1013" t="s">
        <v>9</v>
      </c>
      <c r="N1013" t="s">
        <v>14</v>
      </c>
      <c r="O1013" s="2">
        <v>2.96</v>
      </c>
      <c r="P1013" s="3">
        <v>0</v>
      </c>
      <c r="Q1013" s="1">
        <v>46033</v>
      </c>
      <c r="R1013" s="1">
        <v>45992</v>
      </c>
      <c r="S1013" s="1">
        <v>46022</v>
      </c>
      <c r="V1013" s="8">
        <v>1</v>
      </c>
      <c r="W1013" t="s">
        <v>24</v>
      </c>
      <c r="X1013" t="s">
        <v>1523</v>
      </c>
      <c r="Y1013" t="s">
        <v>61</v>
      </c>
      <c r="Z1013" t="s">
        <v>11</v>
      </c>
      <c r="AA1013">
        <v>62371</v>
      </c>
      <c r="AB1013">
        <v>18102167</v>
      </c>
      <c r="AC1013">
        <v>0</v>
      </c>
      <c r="AD1013" s="8"/>
    </row>
    <row r="1014" spans="1:30" x14ac:dyDescent="0.3">
      <c r="A1014" t="s">
        <v>1627</v>
      </c>
      <c r="B1014">
        <v>1340426</v>
      </c>
      <c r="D1014" t="s">
        <v>7</v>
      </c>
      <c r="E1014">
        <v>945232</v>
      </c>
      <c r="F1014">
        <v>9015884123</v>
      </c>
      <c r="G1014">
        <v>61</v>
      </c>
      <c r="H1014" t="s">
        <v>1358</v>
      </c>
      <c r="I1014">
        <v>0</v>
      </c>
      <c r="J1014" t="s">
        <v>1359</v>
      </c>
      <c r="K1014" t="s">
        <v>8</v>
      </c>
      <c r="L1014" t="s">
        <v>67</v>
      </c>
      <c r="M1014" t="s">
        <v>9</v>
      </c>
      <c r="N1014" t="s">
        <v>14</v>
      </c>
      <c r="O1014" s="2">
        <v>507320.49</v>
      </c>
      <c r="P1014" s="3">
        <v>3561.857</v>
      </c>
      <c r="Q1014" s="1">
        <v>46033</v>
      </c>
      <c r="R1014" s="1">
        <v>45992</v>
      </c>
      <c r="S1014" s="1">
        <v>46022</v>
      </c>
      <c r="V1014" s="8">
        <v>1</v>
      </c>
      <c r="W1014" t="s">
        <v>24</v>
      </c>
      <c r="X1014" t="s">
        <v>1360</v>
      </c>
      <c r="Y1014" t="s">
        <v>34</v>
      </c>
      <c r="Z1014" t="s">
        <v>11</v>
      </c>
      <c r="AA1014">
        <v>62371</v>
      </c>
      <c r="AB1014">
        <v>17905533</v>
      </c>
      <c r="AC1014">
        <v>0</v>
      </c>
      <c r="AD1014" s="8"/>
    </row>
    <row r="1015" spans="1:30" x14ac:dyDescent="0.3">
      <c r="A1015" t="s">
        <v>1627</v>
      </c>
      <c r="B1015">
        <v>1288751</v>
      </c>
      <c r="D1015" t="s">
        <v>7</v>
      </c>
      <c r="E1015">
        <v>945327</v>
      </c>
      <c r="F1015">
        <v>9015884123</v>
      </c>
      <c r="G1015">
        <v>9</v>
      </c>
      <c r="H1015" t="s">
        <v>700</v>
      </c>
      <c r="I1015">
        <v>0</v>
      </c>
      <c r="J1015" t="s">
        <v>701</v>
      </c>
      <c r="K1015" t="s">
        <v>8</v>
      </c>
      <c r="L1015" t="s">
        <v>19</v>
      </c>
      <c r="M1015" t="s">
        <v>9</v>
      </c>
      <c r="N1015" t="s">
        <v>14</v>
      </c>
      <c r="O1015" s="2">
        <v>164.95</v>
      </c>
      <c r="P1015" s="3">
        <v>1.0109999999999999</v>
      </c>
      <c r="Q1015" s="1">
        <v>46033</v>
      </c>
      <c r="R1015" s="1">
        <v>45992</v>
      </c>
      <c r="S1015" s="1">
        <v>46022</v>
      </c>
      <c r="V1015" s="8">
        <v>1</v>
      </c>
      <c r="W1015" t="s">
        <v>24</v>
      </c>
      <c r="X1015" t="s">
        <v>702</v>
      </c>
      <c r="Y1015" t="s">
        <v>34</v>
      </c>
      <c r="Z1015" t="s">
        <v>11</v>
      </c>
      <c r="AA1015">
        <v>62371</v>
      </c>
      <c r="AB1015">
        <v>17905442</v>
      </c>
      <c r="AC1015">
        <v>1</v>
      </c>
      <c r="AD1015" s="8"/>
    </row>
    <row r="1016" spans="1:30" x14ac:dyDescent="0.3">
      <c r="A1016" t="s">
        <v>1627</v>
      </c>
      <c r="B1016">
        <v>1335630</v>
      </c>
      <c r="D1016" t="s">
        <v>7</v>
      </c>
      <c r="E1016">
        <v>945197</v>
      </c>
      <c r="F1016">
        <v>9015884123</v>
      </c>
      <c r="G1016">
        <v>51</v>
      </c>
      <c r="H1016" t="s">
        <v>1370</v>
      </c>
      <c r="I1016">
        <v>0</v>
      </c>
      <c r="J1016" t="s">
        <v>1371</v>
      </c>
      <c r="K1016" t="s">
        <v>8</v>
      </c>
      <c r="L1016" t="s">
        <v>67</v>
      </c>
      <c r="M1016" t="s">
        <v>9</v>
      </c>
      <c r="N1016" t="s">
        <v>14</v>
      </c>
      <c r="O1016" s="2">
        <v>979725.62</v>
      </c>
      <c r="P1016" s="3">
        <v>6878.576</v>
      </c>
      <c r="Q1016" s="1">
        <v>46033</v>
      </c>
      <c r="R1016" s="1">
        <v>45992</v>
      </c>
      <c r="S1016" s="1">
        <v>46022</v>
      </c>
      <c r="V1016" s="8">
        <v>1</v>
      </c>
      <c r="W1016" t="s">
        <v>24</v>
      </c>
      <c r="X1016" t="s">
        <v>1372</v>
      </c>
      <c r="Y1016" t="s">
        <v>31</v>
      </c>
      <c r="Z1016" t="s">
        <v>11</v>
      </c>
      <c r="AA1016">
        <v>62371</v>
      </c>
      <c r="AB1016">
        <v>17426449</v>
      </c>
      <c r="AC1016">
        <v>0</v>
      </c>
      <c r="AD1016" s="8"/>
    </row>
    <row r="1017" spans="1:30" x14ac:dyDescent="0.3">
      <c r="A1017" t="s">
        <v>1627</v>
      </c>
      <c r="B1017">
        <v>1450084</v>
      </c>
      <c r="D1017" t="s">
        <v>7</v>
      </c>
      <c r="E1017">
        <v>949681</v>
      </c>
      <c r="F1017">
        <v>9015884123</v>
      </c>
      <c r="G1017">
        <v>537</v>
      </c>
      <c r="H1017" t="s">
        <v>1135</v>
      </c>
      <c r="I1017">
        <v>0</v>
      </c>
      <c r="J1017" t="s">
        <v>1136</v>
      </c>
      <c r="K1017" t="s">
        <v>8</v>
      </c>
      <c r="L1017" t="s">
        <v>15</v>
      </c>
      <c r="M1017" t="s">
        <v>9</v>
      </c>
      <c r="N1017" t="s">
        <v>14</v>
      </c>
      <c r="O1017" s="2">
        <v>0</v>
      </c>
      <c r="P1017" s="3">
        <v>3870.5360000000001</v>
      </c>
      <c r="Q1017" s="1">
        <v>46036</v>
      </c>
      <c r="R1017" s="1">
        <v>46017</v>
      </c>
      <c r="S1017" s="1">
        <v>46022</v>
      </c>
      <c r="V1017" s="8">
        <v>2</v>
      </c>
      <c r="W1017" t="s">
        <v>24</v>
      </c>
      <c r="X1017" t="s">
        <v>1137</v>
      </c>
      <c r="Y1017" t="s">
        <v>31</v>
      </c>
      <c r="Z1017" t="s">
        <v>11</v>
      </c>
      <c r="AA1017">
        <v>62371</v>
      </c>
      <c r="AC1017">
        <v>0</v>
      </c>
      <c r="AD1017" s="8"/>
    </row>
    <row r="1018" spans="1:30" x14ac:dyDescent="0.3">
      <c r="A1018" t="s">
        <v>1627</v>
      </c>
      <c r="B1018">
        <v>1418635</v>
      </c>
      <c r="D1018" t="s">
        <v>7</v>
      </c>
      <c r="E1018">
        <v>946638</v>
      </c>
      <c r="F1018">
        <v>9015884123</v>
      </c>
      <c r="G1018">
        <v>448</v>
      </c>
      <c r="H1018" t="s">
        <v>703</v>
      </c>
      <c r="I1018">
        <v>0</v>
      </c>
      <c r="J1018" t="s">
        <v>704</v>
      </c>
      <c r="K1018" t="s">
        <v>8</v>
      </c>
      <c r="L1018" t="s">
        <v>18</v>
      </c>
      <c r="M1018" t="s">
        <v>9</v>
      </c>
      <c r="N1018" t="s">
        <v>14</v>
      </c>
      <c r="O1018" s="2">
        <v>-1.43</v>
      </c>
      <c r="P1018" s="3">
        <v>0</v>
      </c>
      <c r="Q1018" s="1">
        <v>46033</v>
      </c>
      <c r="R1018" s="1">
        <v>45992</v>
      </c>
      <c r="S1018" s="1">
        <v>46022</v>
      </c>
      <c r="V1018" s="8">
        <v>1</v>
      </c>
      <c r="W1018" t="s">
        <v>24</v>
      </c>
      <c r="X1018" t="s">
        <v>705</v>
      </c>
      <c r="Y1018" t="s">
        <v>34</v>
      </c>
      <c r="Z1018" t="s">
        <v>11</v>
      </c>
      <c r="AA1018">
        <v>62371</v>
      </c>
      <c r="AB1018">
        <v>21444145</v>
      </c>
      <c r="AC1018">
        <v>0</v>
      </c>
      <c r="AD1018" s="8"/>
    </row>
    <row r="1019" spans="1:30" x14ac:dyDescent="0.3">
      <c r="A1019" t="s">
        <v>1627</v>
      </c>
      <c r="B1019">
        <v>1415107</v>
      </c>
      <c r="D1019" t="s">
        <v>7</v>
      </c>
      <c r="E1019">
        <v>946468</v>
      </c>
      <c r="F1019">
        <v>9015884123</v>
      </c>
      <c r="G1019">
        <v>395</v>
      </c>
      <c r="H1019" t="s">
        <v>118</v>
      </c>
      <c r="I1019">
        <v>0</v>
      </c>
      <c r="J1019" t="s">
        <v>119</v>
      </c>
      <c r="K1019" t="s">
        <v>8</v>
      </c>
      <c r="L1019" t="s">
        <v>67</v>
      </c>
      <c r="M1019" t="s">
        <v>9</v>
      </c>
      <c r="N1019" t="s">
        <v>14</v>
      </c>
      <c r="O1019" s="2">
        <v>136724.13</v>
      </c>
      <c r="P1019" s="3">
        <v>1266.0139999999999</v>
      </c>
      <c r="Q1019" s="1">
        <v>46033</v>
      </c>
      <c r="R1019" s="1">
        <v>45992</v>
      </c>
      <c r="S1019" s="1">
        <v>46022</v>
      </c>
      <c r="V1019" s="8">
        <v>1</v>
      </c>
      <c r="W1019" t="s">
        <v>24</v>
      </c>
      <c r="X1019" t="s">
        <v>120</v>
      </c>
      <c r="Y1019" t="s">
        <v>34</v>
      </c>
      <c r="Z1019" t="s">
        <v>11</v>
      </c>
      <c r="AA1019">
        <v>62371</v>
      </c>
      <c r="AB1019">
        <v>21249991</v>
      </c>
      <c r="AC1019">
        <v>1</v>
      </c>
      <c r="AD1019" s="8"/>
    </row>
    <row r="1020" spans="1:30" x14ac:dyDescent="0.3">
      <c r="A1020" t="s">
        <v>1627</v>
      </c>
      <c r="B1020">
        <v>1415112</v>
      </c>
      <c r="D1020" t="s">
        <v>7</v>
      </c>
      <c r="E1020">
        <v>946487</v>
      </c>
      <c r="F1020">
        <v>9015884123</v>
      </c>
      <c r="G1020">
        <v>400</v>
      </c>
      <c r="H1020" t="s">
        <v>1512</v>
      </c>
      <c r="I1020">
        <v>0</v>
      </c>
      <c r="J1020" t="s">
        <v>1513</v>
      </c>
      <c r="K1020" t="s">
        <v>8</v>
      </c>
      <c r="L1020" t="s">
        <v>18</v>
      </c>
      <c r="M1020" t="s">
        <v>9</v>
      </c>
      <c r="N1020" t="s">
        <v>14</v>
      </c>
      <c r="O1020" s="2">
        <v>1.41</v>
      </c>
      <c r="P1020" s="3">
        <v>0</v>
      </c>
      <c r="Q1020" s="1">
        <v>46033</v>
      </c>
      <c r="R1020" s="1">
        <v>45992</v>
      </c>
      <c r="S1020" s="1">
        <v>46022</v>
      </c>
      <c r="V1020" s="8">
        <v>1</v>
      </c>
      <c r="W1020" t="s">
        <v>24</v>
      </c>
      <c r="X1020" t="s">
        <v>1514</v>
      </c>
      <c r="Y1020" t="s">
        <v>34</v>
      </c>
      <c r="Z1020" t="s">
        <v>11</v>
      </c>
      <c r="AA1020">
        <v>62371</v>
      </c>
      <c r="AB1020">
        <v>17921036</v>
      </c>
      <c r="AC1020">
        <v>0</v>
      </c>
      <c r="AD1020" s="8"/>
    </row>
    <row r="1021" spans="1:30" x14ac:dyDescent="0.3">
      <c r="A1021" t="s">
        <v>1627</v>
      </c>
      <c r="B1021">
        <v>1415112</v>
      </c>
      <c r="D1021" t="s">
        <v>7</v>
      </c>
      <c r="E1021">
        <v>946487</v>
      </c>
      <c r="F1021">
        <v>9015884123</v>
      </c>
      <c r="G1021">
        <v>400</v>
      </c>
      <c r="H1021" t="s">
        <v>1512</v>
      </c>
      <c r="I1021">
        <v>0</v>
      </c>
      <c r="J1021" t="s">
        <v>1513</v>
      </c>
      <c r="K1021" t="s">
        <v>8</v>
      </c>
      <c r="L1021" t="s">
        <v>15</v>
      </c>
      <c r="M1021" t="s">
        <v>9</v>
      </c>
      <c r="N1021" t="s">
        <v>14</v>
      </c>
      <c r="O1021" s="2">
        <v>0</v>
      </c>
      <c r="P1021" s="3">
        <v>1596.9010000000001</v>
      </c>
      <c r="Q1021" s="1">
        <v>46033</v>
      </c>
      <c r="R1021" s="1">
        <v>45992</v>
      </c>
      <c r="S1021" s="1">
        <v>46022</v>
      </c>
      <c r="V1021" s="8">
        <v>1</v>
      </c>
      <c r="W1021" t="s">
        <v>24</v>
      </c>
      <c r="X1021" t="s">
        <v>1514</v>
      </c>
      <c r="Y1021" t="s">
        <v>34</v>
      </c>
      <c r="Z1021" t="s">
        <v>11</v>
      </c>
      <c r="AA1021">
        <v>62371</v>
      </c>
      <c r="AB1021">
        <v>17921036</v>
      </c>
      <c r="AC1021">
        <v>0</v>
      </c>
      <c r="AD1021" s="8"/>
    </row>
    <row r="1022" spans="1:30" x14ac:dyDescent="0.3">
      <c r="A1022" t="s">
        <v>1627</v>
      </c>
      <c r="B1022">
        <v>1403903</v>
      </c>
      <c r="D1022" t="s">
        <v>7</v>
      </c>
      <c r="E1022">
        <v>946228</v>
      </c>
      <c r="F1022">
        <v>9015884123</v>
      </c>
      <c r="G1022">
        <v>294</v>
      </c>
      <c r="H1022" t="s">
        <v>124</v>
      </c>
      <c r="I1022">
        <v>0</v>
      </c>
      <c r="J1022" t="s">
        <v>125</v>
      </c>
      <c r="K1022" t="s">
        <v>8</v>
      </c>
      <c r="L1022" t="s">
        <v>67</v>
      </c>
      <c r="M1022" t="s">
        <v>9</v>
      </c>
      <c r="N1022" t="s">
        <v>14</v>
      </c>
      <c r="O1022" s="2">
        <v>299755.59999999998</v>
      </c>
      <c r="P1022" s="3">
        <v>2775.6239999999998</v>
      </c>
      <c r="Q1022" s="1">
        <v>46036</v>
      </c>
      <c r="R1022" s="1">
        <v>45992</v>
      </c>
      <c r="S1022" s="1">
        <v>46022</v>
      </c>
      <c r="V1022" s="8">
        <v>1</v>
      </c>
      <c r="W1022" t="s">
        <v>24</v>
      </c>
      <c r="X1022" t="s">
        <v>126</v>
      </c>
      <c r="Y1022" t="s">
        <v>34</v>
      </c>
      <c r="Z1022" t="s">
        <v>11</v>
      </c>
      <c r="AA1022">
        <v>62371</v>
      </c>
      <c r="AB1022">
        <v>18581834</v>
      </c>
      <c r="AC1022">
        <v>0</v>
      </c>
      <c r="AD1022" s="8"/>
    </row>
    <row r="1023" spans="1:30" x14ac:dyDescent="0.3">
      <c r="A1023" t="s">
        <v>1627</v>
      </c>
      <c r="B1023">
        <v>1403708</v>
      </c>
      <c r="D1023" t="s">
        <v>7</v>
      </c>
      <c r="E1023">
        <v>946246</v>
      </c>
      <c r="F1023">
        <v>9015884123</v>
      </c>
      <c r="G1023">
        <v>300</v>
      </c>
      <c r="H1023" t="s">
        <v>154</v>
      </c>
      <c r="I1023">
        <v>0</v>
      </c>
      <c r="J1023" t="s">
        <v>155</v>
      </c>
      <c r="K1023" t="s">
        <v>8</v>
      </c>
      <c r="L1023" t="s">
        <v>18</v>
      </c>
      <c r="M1023" t="s">
        <v>9</v>
      </c>
      <c r="N1023" t="s">
        <v>14</v>
      </c>
      <c r="O1023" s="2">
        <v>-0.33</v>
      </c>
      <c r="P1023" s="3">
        <v>0</v>
      </c>
      <c r="Q1023" s="1">
        <v>46033</v>
      </c>
      <c r="R1023" s="1">
        <v>45992</v>
      </c>
      <c r="S1023" s="1">
        <v>46022</v>
      </c>
      <c r="V1023" s="8">
        <v>1</v>
      </c>
      <c r="W1023" t="s">
        <v>24</v>
      </c>
      <c r="X1023" t="s">
        <v>156</v>
      </c>
      <c r="Y1023" t="s">
        <v>31</v>
      </c>
      <c r="Z1023" t="s">
        <v>11</v>
      </c>
      <c r="AA1023">
        <v>62371</v>
      </c>
      <c r="AB1023">
        <v>18971739</v>
      </c>
      <c r="AC1023">
        <v>0</v>
      </c>
      <c r="AD1023" s="8"/>
    </row>
    <row r="1024" spans="1:30" x14ac:dyDescent="0.3">
      <c r="A1024" t="s">
        <v>1627</v>
      </c>
      <c r="B1024">
        <v>1403698</v>
      </c>
      <c r="D1024" t="s">
        <v>7</v>
      </c>
      <c r="E1024">
        <v>946182</v>
      </c>
      <c r="F1024">
        <v>9015884123</v>
      </c>
      <c r="G1024">
        <v>278</v>
      </c>
      <c r="H1024" t="s">
        <v>1150</v>
      </c>
      <c r="I1024">
        <v>0</v>
      </c>
      <c r="J1024" t="s">
        <v>1151</v>
      </c>
      <c r="K1024" t="s">
        <v>8</v>
      </c>
      <c r="L1024" t="s">
        <v>67</v>
      </c>
      <c r="M1024" t="s">
        <v>9</v>
      </c>
      <c r="N1024" t="s">
        <v>14</v>
      </c>
      <c r="O1024" s="2">
        <v>1337186.21</v>
      </c>
      <c r="P1024" s="3">
        <v>12381.841</v>
      </c>
      <c r="Q1024" s="1">
        <v>46033</v>
      </c>
      <c r="R1024" s="1">
        <v>45992</v>
      </c>
      <c r="S1024" s="1">
        <v>46022</v>
      </c>
      <c r="V1024" s="8">
        <v>1</v>
      </c>
      <c r="W1024" t="s">
        <v>24</v>
      </c>
      <c r="X1024" t="s">
        <v>1152</v>
      </c>
      <c r="Y1024" t="s">
        <v>31</v>
      </c>
      <c r="Z1024" t="s">
        <v>11</v>
      </c>
      <c r="AA1024">
        <v>62371</v>
      </c>
      <c r="AB1024">
        <v>21358814</v>
      </c>
      <c r="AC1024">
        <v>1</v>
      </c>
      <c r="AD1024" s="8"/>
    </row>
    <row r="1025" spans="1:30" x14ac:dyDescent="0.3">
      <c r="A1025" t="s">
        <v>1627</v>
      </c>
      <c r="B1025">
        <v>1403660</v>
      </c>
      <c r="D1025" t="s">
        <v>7</v>
      </c>
      <c r="E1025">
        <v>946136</v>
      </c>
      <c r="F1025">
        <v>9015884123</v>
      </c>
      <c r="G1025">
        <v>265</v>
      </c>
      <c r="H1025" t="s">
        <v>1156</v>
      </c>
      <c r="I1025">
        <v>0</v>
      </c>
      <c r="J1025" t="s">
        <v>1157</v>
      </c>
      <c r="K1025" t="s">
        <v>8</v>
      </c>
      <c r="L1025" t="s">
        <v>18</v>
      </c>
      <c r="M1025" t="s">
        <v>9</v>
      </c>
      <c r="N1025" t="s">
        <v>14</v>
      </c>
      <c r="O1025" s="2">
        <v>2.1</v>
      </c>
      <c r="P1025" s="3">
        <v>0</v>
      </c>
      <c r="Q1025" s="1">
        <v>46033</v>
      </c>
      <c r="R1025" s="1">
        <v>45992</v>
      </c>
      <c r="S1025" s="1">
        <v>46022</v>
      </c>
      <c r="V1025" s="8">
        <v>1</v>
      </c>
      <c r="W1025" t="s">
        <v>24</v>
      </c>
      <c r="X1025" t="s">
        <v>1158</v>
      </c>
      <c r="Y1025" t="s">
        <v>31</v>
      </c>
      <c r="Z1025" t="s">
        <v>11</v>
      </c>
      <c r="AA1025">
        <v>62371</v>
      </c>
      <c r="AB1025">
        <v>17159392</v>
      </c>
      <c r="AC1025">
        <v>0</v>
      </c>
      <c r="AD1025" s="8"/>
    </row>
    <row r="1026" spans="1:30" x14ac:dyDescent="0.3">
      <c r="A1026" t="s">
        <v>1627</v>
      </c>
      <c r="B1026">
        <v>1375762</v>
      </c>
      <c r="D1026" t="s">
        <v>7</v>
      </c>
      <c r="E1026">
        <v>945944</v>
      </c>
      <c r="F1026">
        <v>9015884123</v>
      </c>
      <c r="G1026">
        <v>190</v>
      </c>
      <c r="H1026" t="s">
        <v>712</v>
      </c>
      <c r="I1026">
        <v>0</v>
      </c>
      <c r="J1026" t="s">
        <v>713</v>
      </c>
      <c r="K1026" t="s">
        <v>8</v>
      </c>
      <c r="L1026" t="s">
        <v>18</v>
      </c>
      <c r="M1026" t="s">
        <v>9</v>
      </c>
      <c r="N1026" t="s">
        <v>14</v>
      </c>
      <c r="O1026" s="2">
        <v>2.1800000000000002</v>
      </c>
      <c r="P1026" s="3">
        <v>0</v>
      </c>
      <c r="Q1026" s="1">
        <v>46033</v>
      </c>
      <c r="R1026" s="1">
        <v>45992</v>
      </c>
      <c r="S1026" s="1">
        <v>46022</v>
      </c>
      <c r="V1026" s="8">
        <v>1</v>
      </c>
      <c r="W1026" t="s">
        <v>24</v>
      </c>
      <c r="X1026" t="s">
        <v>714</v>
      </c>
      <c r="Y1026" t="s">
        <v>31</v>
      </c>
      <c r="Z1026" t="s">
        <v>11</v>
      </c>
      <c r="AA1026">
        <v>62371</v>
      </c>
      <c r="AB1026">
        <v>21246806</v>
      </c>
      <c r="AC1026">
        <v>1</v>
      </c>
      <c r="AD1026" s="8"/>
    </row>
    <row r="1027" spans="1:30" x14ac:dyDescent="0.3">
      <c r="A1027" t="s">
        <v>1627</v>
      </c>
      <c r="B1027">
        <v>1364766</v>
      </c>
      <c r="D1027" t="s">
        <v>7</v>
      </c>
      <c r="E1027">
        <v>945931</v>
      </c>
      <c r="F1027">
        <v>9015884123</v>
      </c>
      <c r="G1027">
        <v>182</v>
      </c>
      <c r="H1027" t="s">
        <v>715</v>
      </c>
      <c r="I1027">
        <v>0</v>
      </c>
      <c r="J1027" t="s">
        <v>716</v>
      </c>
      <c r="K1027" t="s">
        <v>8</v>
      </c>
      <c r="L1027" t="s">
        <v>15</v>
      </c>
      <c r="M1027" t="s">
        <v>9</v>
      </c>
      <c r="N1027" t="s">
        <v>14</v>
      </c>
      <c r="O1027" s="2">
        <v>0</v>
      </c>
      <c r="P1027" s="3">
        <v>4342.0529999999999</v>
      </c>
      <c r="Q1027" s="1">
        <v>46033</v>
      </c>
      <c r="R1027" s="1">
        <v>45992</v>
      </c>
      <c r="S1027" s="1">
        <v>46022</v>
      </c>
      <c r="V1027" s="8">
        <v>1</v>
      </c>
      <c r="W1027" t="s">
        <v>24</v>
      </c>
      <c r="X1027" t="s">
        <v>717</v>
      </c>
      <c r="Y1027" t="s">
        <v>31</v>
      </c>
      <c r="Z1027" t="s">
        <v>11</v>
      </c>
      <c r="AA1027">
        <v>62371</v>
      </c>
      <c r="AB1027">
        <v>19281590</v>
      </c>
      <c r="AC1027">
        <v>0</v>
      </c>
      <c r="AD1027" s="8"/>
    </row>
    <row r="1028" spans="1:30" x14ac:dyDescent="0.3">
      <c r="A1028" t="s">
        <v>1627</v>
      </c>
      <c r="B1028">
        <v>1363525</v>
      </c>
      <c r="D1028" t="s">
        <v>7</v>
      </c>
      <c r="E1028">
        <v>945913</v>
      </c>
      <c r="F1028">
        <v>9015884123</v>
      </c>
      <c r="G1028">
        <v>163</v>
      </c>
      <c r="H1028" t="s">
        <v>1117</v>
      </c>
      <c r="I1028">
        <v>0</v>
      </c>
      <c r="J1028" t="s">
        <v>1118</v>
      </c>
      <c r="K1028" t="s">
        <v>8</v>
      </c>
      <c r="L1028" t="s">
        <v>19</v>
      </c>
      <c r="M1028" t="s">
        <v>9</v>
      </c>
      <c r="N1028" t="s">
        <v>14</v>
      </c>
      <c r="O1028" s="2">
        <v>237568.71</v>
      </c>
      <c r="P1028" s="3">
        <v>1202.3209999999999</v>
      </c>
      <c r="Q1028" s="1">
        <v>46033</v>
      </c>
      <c r="R1028" s="1">
        <v>45992</v>
      </c>
      <c r="S1028" s="1">
        <v>46022</v>
      </c>
      <c r="V1028" s="8">
        <v>1</v>
      </c>
      <c r="W1028" t="s">
        <v>24</v>
      </c>
      <c r="X1028" t="s">
        <v>1119</v>
      </c>
      <c r="Y1028" t="s">
        <v>31</v>
      </c>
      <c r="Z1028" t="s">
        <v>11</v>
      </c>
      <c r="AA1028">
        <v>62371</v>
      </c>
      <c r="AB1028">
        <v>19282555</v>
      </c>
      <c r="AC1028">
        <v>0</v>
      </c>
      <c r="AD1028" s="8"/>
    </row>
    <row r="1029" spans="1:30" x14ac:dyDescent="0.3">
      <c r="A1029" t="s">
        <v>1627</v>
      </c>
      <c r="B1029">
        <v>1345472</v>
      </c>
      <c r="D1029" t="s">
        <v>7</v>
      </c>
      <c r="E1029">
        <v>945279</v>
      </c>
      <c r="F1029">
        <v>9015884123</v>
      </c>
      <c r="G1029">
        <v>75</v>
      </c>
      <c r="H1029" t="s">
        <v>190</v>
      </c>
      <c r="I1029">
        <v>0</v>
      </c>
      <c r="J1029" t="s">
        <v>191</v>
      </c>
      <c r="K1029" t="s">
        <v>8</v>
      </c>
      <c r="L1029" t="s">
        <v>18</v>
      </c>
      <c r="M1029" t="s">
        <v>9</v>
      </c>
      <c r="N1029" t="s">
        <v>14</v>
      </c>
      <c r="O1029" s="2">
        <v>-2.06</v>
      </c>
      <c r="P1029" s="3">
        <v>0</v>
      </c>
      <c r="Q1029" s="1">
        <v>46033</v>
      </c>
      <c r="R1029" s="1">
        <v>45992</v>
      </c>
      <c r="S1029" s="1">
        <v>46022</v>
      </c>
      <c r="V1029" s="8">
        <v>1</v>
      </c>
      <c r="W1029" t="s">
        <v>24</v>
      </c>
      <c r="X1029" t="s">
        <v>192</v>
      </c>
      <c r="Y1029" t="s">
        <v>10</v>
      </c>
      <c r="Z1029" t="s">
        <v>11</v>
      </c>
      <c r="AA1029">
        <v>62371</v>
      </c>
      <c r="AB1029">
        <v>18158556</v>
      </c>
      <c r="AC1029">
        <v>1</v>
      </c>
      <c r="AD1029" s="8"/>
    </row>
    <row r="1030" spans="1:30" x14ac:dyDescent="0.3">
      <c r="A1030" t="s">
        <v>1627</v>
      </c>
      <c r="B1030">
        <v>1342238</v>
      </c>
      <c r="D1030" t="s">
        <v>7</v>
      </c>
      <c r="E1030">
        <v>945263</v>
      </c>
      <c r="F1030">
        <v>9015884123</v>
      </c>
      <c r="G1030">
        <v>70</v>
      </c>
      <c r="H1030" t="s">
        <v>748</v>
      </c>
      <c r="I1030">
        <v>0</v>
      </c>
      <c r="J1030" t="s">
        <v>749</v>
      </c>
      <c r="K1030" t="s">
        <v>8</v>
      </c>
      <c r="L1030" t="s">
        <v>15</v>
      </c>
      <c r="M1030" t="s">
        <v>9</v>
      </c>
      <c r="N1030" t="s">
        <v>14</v>
      </c>
      <c r="O1030" s="2">
        <v>0</v>
      </c>
      <c r="P1030" s="3">
        <v>5628.4340000000002</v>
      </c>
      <c r="Q1030" s="1">
        <v>46033</v>
      </c>
      <c r="R1030" s="1">
        <v>45992</v>
      </c>
      <c r="S1030" s="1">
        <v>46022</v>
      </c>
      <c r="V1030" s="8">
        <v>1</v>
      </c>
      <c r="W1030" t="s">
        <v>24</v>
      </c>
      <c r="X1030" t="s">
        <v>750</v>
      </c>
      <c r="Y1030" t="s">
        <v>10</v>
      </c>
      <c r="Z1030" t="s">
        <v>11</v>
      </c>
      <c r="AA1030">
        <v>62371</v>
      </c>
      <c r="AB1030">
        <v>17037991</v>
      </c>
      <c r="AC1030">
        <v>0</v>
      </c>
      <c r="AD1030" s="8"/>
    </row>
    <row r="1031" spans="1:30" x14ac:dyDescent="0.3">
      <c r="A1031" t="s">
        <v>1627</v>
      </c>
      <c r="B1031">
        <v>1342257</v>
      </c>
      <c r="D1031" t="s">
        <v>7</v>
      </c>
      <c r="E1031">
        <v>945272</v>
      </c>
      <c r="F1031">
        <v>9015884123</v>
      </c>
      <c r="G1031">
        <v>73</v>
      </c>
      <c r="H1031" t="s">
        <v>183</v>
      </c>
      <c r="I1031">
        <v>0</v>
      </c>
      <c r="J1031" t="s">
        <v>184</v>
      </c>
      <c r="K1031" t="s">
        <v>8</v>
      </c>
      <c r="L1031" t="s">
        <v>15</v>
      </c>
      <c r="M1031" t="s">
        <v>9</v>
      </c>
      <c r="N1031" t="s">
        <v>14</v>
      </c>
      <c r="O1031" s="2">
        <v>0</v>
      </c>
      <c r="P1031" s="3">
        <v>1993.213</v>
      </c>
      <c r="Q1031" s="1">
        <v>46033</v>
      </c>
      <c r="R1031" s="1">
        <v>45992</v>
      </c>
      <c r="S1031" s="1">
        <v>46022</v>
      </c>
      <c r="V1031" s="8">
        <v>1</v>
      </c>
      <c r="W1031" t="s">
        <v>24</v>
      </c>
      <c r="X1031" t="s">
        <v>185</v>
      </c>
      <c r="Y1031" t="s">
        <v>10</v>
      </c>
      <c r="Z1031" t="s">
        <v>11</v>
      </c>
      <c r="AA1031">
        <v>62371</v>
      </c>
      <c r="AB1031">
        <v>19400471</v>
      </c>
      <c r="AC1031">
        <v>0</v>
      </c>
      <c r="AD1031" s="8"/>
    </row>
    <row r="1032" spans="1:30" x14ac:dyDescent="0.3">
      <c r="A1032" t="s">
        <v>1627</v>
      </c>
      <c r="B1032">
        <v>1354506</v>
      </c>
      <c r="D1032" t="s">
        <v>7</v>
      </c>
      <c r="E1032">
        <v>945324</v>
      </c>
      <c r="F1032">
        <v>9015884123</v>
      </c>
      <c r="G1032">
        <v>89</v>
      </c>
      <c r="H1032" t="s">
        <v>1382</v>
      </c>
      <c r="I1032">
        <v>0</v>
      </c>
      <c r="J1032" t="s">
        <v>1383</v>
      </c>
      <c r="K1032" t="s">
        <v>8</v>
      </c>
      <c r="L1032" t="s">
        <v>67</v>
      </c>
      <c r="M1032" t="s">
        <v>9</v>
      </c>
      <c r="N1032" t="s">
        <v>14</v>
      </c>
      <c r="O1032" s="2">
        <v>681863.84</v>
      </c>
      <c r="P1032" s="3">
        <v>4787.3119999999999</v>
      </c>
      <c r="Q1032" s="1">
        <v>46033</v>
      </c>
      <c r="R1032" s="1">
        <v>45992</v>
      </c>
      <c r="S1032" s="1">
        <v>46022</v>
      </c>
      <c r="V1032" s="8">
        <v>1</v>
      </c>
      <c r="W1032" t="s">
        <v>24</v>
      </c>
      <c r="X1032" t="s">
        <v>1384</v>
      </c>
      <c r="Y1032" t="s">
        <v>17</v>
      </c>
      <c r="Z1032" t="s">
        <v>11</v>
      </c>
      <c r="AA1032">
        <v>62371</v>
      </c>
      <c r="AB1032">
        <v>18321377</v>
      </c>
      <c r="AC1032">
        <v>0</v>
      </c>
      <c r="AD1032" s="8"/>
    </row>
    <row r="1033" spans="1:30" x14ac:dyDescent="0.3">
      <c r="A1033" t="s">
        <v>1627</v>
      </c>
      <c r="B1033">
        <v>1354515</v>
      </c>
      <c r="D1033" t="s">
        <v>7</v>
      </c>
      <c r="E1033">
        <v>945369</v>
      </c>
      <c r="F1033">
        <v>9015884123</v>
      </c>
      <c r="G1033">
        <v>102</v>
      </c>
      <c r="H1033" t="s">
        <v>754</v>
      </c>
      <c r="I1033">
        <v>0</v>
      </c>
      <c r="J1033" t="s">
        <v>755</v>
      </c>
      <c r="K1033" t="s">
        <v>8</v>
      </c>
      <c r="L1033" t="s">
        <v>18</v>
      </c>
      <c r="M1033" t="s">
        <v>9</v>
      </c>
      <c r="N1033" t="s">
        <v>14</v>
      </c>
      <c r="O1033" s="2">
        <v>1.83</v>
      </c>
      <c r="P1033" s="3">
        <v>0</v>
      </c>
      <c r="Q1033" s="1">
        <v>46033</v>
      </c>
      <c r="R1033" s="1">
        <v>45992</v>
      </c>
      <c r="S1033" s="1">
        <v>46022</v>
      </c>
      <c r="V1033" s="8">
        <v>1</v>
      </c>
      <c r="W1033" t="s">
        <v>24</v>
      </c>
      <c r="X1033" t="s">
        <v>756</v>
      </c>
      <c r="Y1033" t="s">
        <v>17</v>
      </c>
      <c r="Z1033" t="s">
        <v>11</v>
      </c>
      <c r="AA1033">
        <v>62371</v>
      </c>
      <c r="AB1033">
        <v>17822108</v>
      </c>
      <c r="AC1033">
        <v>0</v>
      </c>
      <c r="AD1033" s="8"/>
    </row>
    <row r="1034" spans="1:30" x14ac:dyDescent="0.3">
      <c r="A1034" t="s">
        <v>1627</v>
      </c>
      <c r="B1034">
        <v>1359035</v>
      </c>
      <c r="D1034" t="s">
        <v>7</v>
      </c>
      <c r="E1034">
        <v>945900</v>
      </c>
      <c r="F1034">
        <v>9015884123</v>
      </c>
      <c r="G1034">
        <v>149</v>
      </c>
      <c r="H1034" t="s">
        <v>1524</v>
      </c>
      <c r="I1034">
        <v>0</v>
      </c>
      <c r="J1034" t="s">
        <v>1525</v>
      </c>
      <c r="K1034" t="s">
        <v>8</v>
      </c>
      <c r="L1034" t="s">
        <v>18</v>
      </c>
      <c r="M1034" t="s">
        <v>9</v>
      </c>
      <c r="N1034" t="s">
        <v>14</v>
      </c>
      <c r="O1034" s="2">
        <v>4.04</v>
      </c>
      <c r="P1034" s="3">
        <v>0</v>
      </c>
      <c r="Q1034" s="1">
        <v>46033</v>
      </c>
      <c r="R1034" s="1">
        <v>45992</v>
      </c>
      <c r="S1034" s="1">
        <v>46022</v>
      </c>
      <c r="V1034" s="8">
        <v>1</v>
      </c>
      <c r="W1034" t="s">
        <v>24</v>
      </c>
      <c r="X1034" t="s">
        <v>1526</v>
      </c>
      <c r="Y1034" t="s">
        <v>17</v>
      </c>
      <c r="Z1034" t="s">
        <v>11</v>
      </c>
      <c r="AA1034">
        <v>62371</v>
      </c>
      <c r="AB1034">
        <v>18543814</v>
      </c>
      <c r="AC1034">
        <v>1</v>
      </c>
      <c r="AD1034" s="8"/>
    </row>
    <row r="1035" spans="1:30" x14ac:dyDescent="0.3">
      <c r="A1035" t="s">
        <v>1627</v>
      </c>
      <c r="B1035">
        <v>1354731</v>
      </c>
      <c r="D1035" t="s">
        <v>7</v>
      </c>
      <c r="E1035">
        <v>945321</v>
      </c>
      <c r="F1035">
        <v>9015884123</v>
      </c>
      <c r="G1035">
        <v>88</v>
      </c>
      <c r="H1035" t="s">
        <v>757</v>
      </c>
      <c r="I1035">
        <v>0</v>
      </c>
      <c r="J1035" t="s">
        <v>758</v>
      </c>
      <c r="K1035" t="s">
        <v>8</v>
      </c>
      <c r="L1035" t="s">
        <v>19</v>
      </c>
      <c r="M1035" t="s">
        <v>9</v>
      </c>
      <c r="N1035" t="s">
        <v>14</v>
      </c>
      <c r="O1035" s="2">
        <v>20656.37</v>
      </c>
      <c r="P1035" s="3">
        <v>126.605</v>
      </c>
      <c r="Q1035" s="1">
        <v>46033</v>
      </c>
      <c r="R1035" s="1">
        <v>45992</v>
      </c>
      <c r="S1035" s="1">
        <v>46022</v>
      </c>
      <c r="V1035" s="8">
        <v>1</v>
      </c>
      <c r="W1035" t="s">
        <v>24</v>
      </c>
      <c r="X1035" t="s">
        <v>759</v>
      </c>
      <c r="Y1035" t="s">
        <v>10</v>
      </c>
      <c r="Z1035" t="s">
        <v>11</v>
      </c>
      <c r="AA1035">
        <v>62371</v>
      </c>
      <c r="AB1035">
        <v>17679524</v>
      </c>
      <c r="AC1035">
        <v>1</v>
      </c>
      <c r="AD1035" s="8"/>
    </row>
    <row r="1036" spans="1:30" x14ac:dyDescent="0.3">
      <c r="A1036" t="s">
        <v>1627</v>
      </c>
      <c r="B1036">
        <v>1354733</v>
      </c>
      <c r="D1036" t="s">
        <v>7</v>
      </c>
      <c r="E1036">
        <v>945334</v>
      </c>
      <c r="F1036">
        <v>9015884123</v>
      </c>
      <c r="G1036">
        <v>91</v>
      </c>
      <c r="H1036" t="s">
        <v>763</v>
      </c>
      <c r="I1036">
        <v>0</v>
      </c>
      <c r="J1036" t="s">
        <v>764</v>
      </c>
      <c r="K1036" t="s">
        <v>8</v>
      </c>
      <c r="L1036" t="s">
        <v>19</v>
      </c>
      <c r="M1036" t="s">
        <v>9</v>
      </c>
      <c r="N1036" t="s">
        <v>14</v>
      </c>
      <c r="O1036" s="2">
        <v>184.69</v>
      </c>
      <c r="P1036" s="3">
        <v>1.1319999999999999</v>
      </c>
      <c r="Q1036" s="1">
        <v>46033</v>
      </c>
      <c r="R1036" s="1">
        <v>45992</v>
      </c>
      <c r="S1036" s="1">
        <v>46022</v>
      </c>
      <c r="V1036" s="8">
        <v>1</v>
      </c>
      <c r="W1036" t="s">
        <v>24</v>
      </c>
      <c r="X1036" t="s">
        <v>765</v>
      </c>
      <c r="Y1036" t="s">
        <v>10</v>
      </c>
      <c r="Z1036" t="s">
        <v>11</v>
      </c>
      <c r="AA1036">
        <v>62371</v>
      </c>
      <c r="AB1036">
        <v>18816558</v>
      </c>
      <c r="AC1036">
        <v>1</v>
      </c>
      <c r="AD1036" s="8"/>
    </row>
    <row r="1037" spans="1:30" x14ac:dyDescent="0.3">
      <c r="A1037" t="s">
        <v>1627</v>
      </c>
      <c r="B1037">
        <v>1384733</v>
      </c>
      <c r="D1037" t="s">
        <v>7</v>
      </c>
      <c r="E1037">
        <v>946045</v>
      </c>
      <c r="F1037">
        <v>9015884123</v>
      </c>
      <c r="G1037">
        <v>235</v>
      </c>
      <c r="H1037" t="s">
        <v>778</v>
      </c>
      <c r="I1037">
        <v>0</v>
      </c>
      <c r="J1037" t="s">
        <v>779</v>
      </c>
      <c r="K1037" t="s">
        <v>8</v>
      </c>
      <c r="L1037" t="s">
        <v>15</v>
      </c>
      <c r="M1037" t="s">
        <v>9</v>
      </c>
      <c r="N1037" t="s">
        <v>14</v>
      </c>
      <c r="O1037" s="2">
        <v>0</v>
      </c>
      <c r="P1037" s="3">
        <v>5204.4579999999996</v>
      </c>
      <c r="Q1037" s="1">
        <v>46033</v>
      </c>
      <c r="R1037" s="1">
        <v>45992</v>
      </c>
      <c r="S1037" s="1">
        <v>46022</v>
      </c>
      <c r="V1037" s="8">
        <v>1</v>
      </c>
      <c r="W1037" t="s">
        <v>24</v>
      </c>
      <c r="X1037" t="s">
        <v>780</v>
      </c>
      <c r="Y1037" t="s">
        <v>17</v>
      </c>
      <c r="Z1037" t="s">
        <v>11</v>
      </c>
      <c r="AA1037">
        <v>62371</v>
      </c>
      <c r="AB1037">
        <v>19749570</v>
      </c>
      <c r="AC1037">
        <v>0</v>
      </c>
      <c r="AD1037" s="8"/>
    </row>
    <row r="1038" spans="1:30" x14ac:dyDescent="0.3">
      <c r="A1038" t="s">
        <v>1627</v>
      </c>
      <c r="B1038">
        <v>1356235</v>
      </c>
      <c r="D1038" t="s">
        <v>7</v>
      </c>
      <c r="E1038">
        <v>945433</v>
      </c>
      <c r="F1038">
        <v>9015884123</v>
      </c>
      <c r="G1038">
        <v>122</v>
      </c>
      <c r="H1038" t="s">
        <v>1391</v>
      </c>
      <c r="I1038">
        <v>0</v>
      </c>
      <c r="J1038" t="s">
        <v>1392</v>
      </c>
      <c r="K1038" t="s">
        <v>8</v>
      </c>
      <c r="L1038" t="s">
        <v>15</v>
      </c>
      <c r="M1038" t="s">
        <v>9</v>
      </c>
      <c r="N1038" t="s">
        <v>14</v>
      </c>
      <c r="O1038" s="2">
        <v>0</v>
      </c>
      <c r="P1038" s="3">
        <v>3465.9560000000001</v>
      </c>
      <c r="Q1038" s="1">
        <v>46033</v>
      </c>
      <c r="R1038" s="1">
        <v>45992</v>
      </c>
      <c r="S1038" s="1">
        <v>46022</v>
      </c>
      <c r="V1038" s="8">
        <v>1</v>
      </c>
      <c r="W1038" t="s">
        <v>24</v>
      </c>
      <c r="X1038" t="s">
        <v>1393</v>
      </c>
      <c r="Y1038" t="s">
        <v>17</v>
      </c>
      <c r="Z1038" t="s">
        <v>11</v>
      </c>
      <c r="AA1038">
        <v>62371</v>
      </c>
      <c r="AB1038">
        <v>17812190</v>
      </c>
      <c r="AC1038">
        <v>0</v>
      </c>
      <c r="AD1038" s="8"/>
    </row>
    <row r="1039" spans="1:30" x14ac:dyDescent="0.3">
      <c r="A1039" t="s">
        <v>1627</v>
      </c>
      <c r="B1039">
        <v>1359030</v>
      </c>
      <c r="D1039" t="s">
        <v>7</v>
      </c>
      <c r="E1039">
        <v>945898</v>
      </c>
      <c r="F1039">
        <v>9015884123</v>
      </c>
      <c r="G1039">
        <v>147</v>
      </c>
      <c r="H1039" t="s">
        <v>202</v>
      </c>
      <c r="I1039">
        <v>0</v>
      </c>
      <c r="J1039" t="s">
        <v>203</v>
      </c>
      <c r="K1039" t="s">
        <v>8</v>
      </c>
      <c r="L1039" t="s">
        <v>67</v>
      </c>
      <c r="M1039" t="s">
        <v>9</v>
      </c>
      <c r="N1039" t="s">
        <v>14</v>
      </c>
      <c r="O1039" s="2">
        <v>412597.33</v>
      </c>
      <c r="P1039" s="3">
        <v>3820.4960000000001</v>
      </c>
      <c r="Q1039" s="1">
        <v>46033</v>
      </c>
      <c r="R1039" s="1">
        <v>45992</v>
      </c>
      <c r="S1039" s="1">
        <v>46022</v>
      </c>
      <c r="V1039" s="8">
        <v>1</v>
      </c>
      <c r="W1039" t="s">
        <v>24</v>
      </c>
      <c r="X1039" t="s">
        <v>204</v>
      </c>
      <c r="Y1039" t="s">
        <v>17</v>
      </c>
      <c r="Z1039" t="s">
        <v>11</v>
      </c>
      <c r="AA1039">
        <v>62371</v>
      </c>
      <c r="AB1039">
        <v>18549020</v>
      </c>
      <c r="AC1039">
        <v>1</v>
      </c>
      <c r="AD1039" s="8"/>
    </row>
    <row r="1040" spans="1:30" x14ac:dyDescent="0.3">
      <c r="A1040" t="s">
        <v>1627</v>
      </c>
      <c r="B1040">
        <v>1356149</v>
      </c>
      <c r="D1040" t="s">
        <v>7</v>
      </c>
      <c r="E1040">
        <v>945383</v>
      </c>
      <c r="F1040">
        <v>9015884123</v>
      </c>
      <c r="G1040">
        <v>106</v>
      </c>
      <c r="H1040" t="s">
        <v>781</v>
      </c>
      <c r="I1040">
        <v>0</v>
      </c>
      <c r="J1040" t="s">
        <v>782</v>
      </c>
      <c r="K1040" t="s">
        <v>8</v>
      </c>
      <c r="L1040" t="s">
        <v>19</v>
      </c>
      <c r="M1040" t="s">
        <v>9</v>
      </c>
      <c r="N1040" t="s">
        <v>14</v>
      </c>
      <c r="O1040" s="2">
        <v>23744.75</v>
      </c>
      <c r="P1040" s="3">
        <v>145.53399999999999</v>
      </c>
      <c r="Q1040" s="1">
        <v>46033</v>
      </c>
      <c r="R1040" s="1">
        <v>45992</v>
      </c>
      <c r="S1040" s="1">
        <v>46022</v>
      </c>
      <c r="V1040" s="8">
        <v>1</v>
      </c>
      <c r="W1040" t="s">
        <v>24</v>
      </c>
      <c r="X1040" t="s">
        <v>783</v>
      </c>
      <c r="Y1040" t="s">
        <v>10</v>
      </c>
      <c r="Z1040" t="s">
        <v>11</v>
      </c>
      <c r="AA1040">
        <v>62371</v>
      </c>
      <c r="AB1040">
        <v>17192106</v>
      </c>
      <c r="AC1040">
        <v>1</v>
      </c>
      <c r="AD1040" s="8"/>
    </row>
    <row r="1041" spans="1:30" x14ac:dyDescent="0.3">
      <c r="A1041" t="s">
        <v>1627</v>
      </c>
      <c r="B1041">
        <v>1356208</v>
      </c>
      <c r="D1041" t="s">
        <v>7</v>
      </c>
      <c r="E1041">
        <v>945407</v>
      </c>
      <c r="F1041">
        <v>9015884123</v>
      </c>
      <c r="G1041">
        <v>114</v>
      </c>
      <c r="H1041" t="s">
        <v>1527</v>
      </c>
      <c r="I1041">
        <v>0</v>
      </c>
      <c r="J1041" t="s">
        <v>1528</v>
      </c>
      <c r="K1041" t="s">
        <v>8</v>
      </c>
      <c r="L1041" t="s">
        <v>67</v>
      </c>
      <c r="M1041" t="s">
        <v>9</v>
      </c>
      <c r="N1041" t="s">
        <v>14</v>
      </c>
      <c r="O1041" s="2">
        <v>614940.54</v>
      </c>
      <c r="P1041" s="3">
        <v>5694.1180000000004</v>
      </c>
      <c r="Q1041" s="1">
        <v>46033</v>
      </c>
      <c r="R1041" s="1">
        <v>45992</v>
      </c>
      <c r="S1041" s="1">
        <v>46022</v>
      </c>
      <c r="V1041" s="8">
        <v>1</v>
      </c>
      <c r="W1041" t="s">
        <v>24</v>
      </c>
      <c r="X1041" t="s">
        <v>1529</v>
      </c>
      <c r="Y1041" t="s">
        <v>10</v>
      </c>
      <c r="Z1041" t="s">
        <v>11</v>
      </c>
      <c r="AA1041">
        <v>62371</v>
      </c>
      <c r="AB1041">
        <v>19380039</v>
      </c>
      <c r="AC1041">
        <v>1</v>
      </c>
      <c r="AD1041" s="8"/>
    </row>
    <row r="1042" spans="1:30" x14ac:dyDescent="0.3">
      <c r="A1042" t="s">
        <v>1627</v>
      </c>
      <c r="B1042">
        <v>1356263</v>
      </c>
      <c r="D1042" t="s">
        <v>7</v>
      </c>
      <c r="E1042">
        <v>945456</v>
      </c>
      <c r="F1042">
        <v>9015884123</v>
      </c>
      <c r="G1042">
        <v>131</v>
      </c>
      <c r="H1042" t="s">
        <v>1530</v>
      </c>
      <c r="I1042">
        <v>0</v>
      </c>
      <c r="J1042" t="s">
        <v>1531</v>
      </c>
      <c r="K1042" t="s">
        <v>8</v>
      </c>
      <c r="L1042" t="s">
        <v>67</v>
      </c>
      <c r="M1042" t="s">
        <v>9</v>
      </c>
      <c r="N1042" t="s">
        <v>14</v>
      </c>
      <c r="O1042" s="2">
        <v>438864.66</v>
      </c>
      <c r="P1042" s="3">
        <v>3081.2339999999999</v>
      </c>
      <c r="Q1042" s="1">
        <v>46033</v>
      </c>
      <c r="R1042" s="1">
        <v>45992</v>
      </c>
      <c r="S1042" s="1">
        <v>46022</v>
      </c>
      <c r="V1042" s="8">
        <v>1</v>
      </c>
      <c r="W1042" t="s">
        <v>24</v>
      </c>
      <c r="X1042" t="s">
        <v>1532</v>
      </c>
      <c r="Y1042" t="s">
        <v>10</v>
      </c>
      <c r="Z1042" t="s">
        <v>11</v>
      </c>
      <c r="AA1042">
        <v>62371</v>
      </c>
      <c r="AB1042">
        <v>18661619</v>
      </c>
      <c r="AC1042">
        <v>0</v>
      </c>
      <c r="AD1042" s="8"/>
    </row>
    <row r="1043" spans="1:30" x14ac:dyDescent="0.3">
      <c r="A1043" t="s">
        <v>1627</v>
      </c>
      <c r="B1043">
        <v>1356297</v>
      </c>
      <c r="D1043" t="s">
        <v>7</v>
      </c>
      <c r="E1043">
        <v>945435</v>
      </c>
      <c r="F1043">
        <v>9015884123</v>
      </c>
      <c r="G1043">
        <v>123</v>
      </c>
      <c r="H1043" t="s">
        <v>217</v>
      </c>
      <c r="I1043">
        <v>0</v>
      </c>
      <c r="J1043" t="s">
        <v>218</v>
      </c>
      <c r="K1043" t="s">
        <v>8</v>
      </c>
      <c r="L1043" t="s">
        <v>67</v>
      </c>
      <c r="M1043" t="s">
        <v>9</v>
      </c>
      <c r="N1043" t="s">
        <v>14</v>
      </c>
      <c r="O1043" s="2">
        <v>127236.44</v>
      </c>
      <c r="P1043" s="3">
        <v>893.31700000000001</v>
      </c>
      <c r="Q1043" s="1">
        <v>46033</v>
      </c>
      <c r="R1043" s="1">
        <v>45992</v>
      </c>
      <c r="S1043" s="1">
        <v>46022</v>
      </c>
      <c r="V1043" s="8">
        <v>1</v>
      </c>
      <c r="W1043" t="s">
        <v>24</v>
      </c>
      <c r="X1043" t="s">
        <v>219</v>
      </c>
      <c r="Y1043" t="s">
        <v>10</v>
      </c>
      <c r="Z1043" t="s">
        <v>11</v>
      </c>
      <c r="AA1043">
        <v>62371</v>
      </c>
      <c r="AB1043">
        <v>17041720</v>
      </c>
      <c r="AC1043">
        <v>0</v>
      </c>
      <c r="AD1043" s="8"/>
    </row>
    <row r="1044" spans="1:30" x14ac:dyDescent="0.3">
      <c r="A1044" t="s">
        <v>1627</v>
      </c>
      <c r="B1044">
        <v>1356147</v>
      </c>
      <c r="D1044" t="s">
        <v>7</v>
      </c>
      <c r="E1044">
        <v>945444</v>
      </c>
      <c r="F1044">
        <v>9015884123</v>
      </c>
      <c r="G1044">
        <v>126</v>
      </c>
      <c r="H1044" t="s">
        <v>799</v>
      </c>
      <c r="I1044">
        <v>0</v>
      </c>
      <c r="J1044" t="s">
        <v>800</v>
      </c>
      <c r="K1044" t="s">
        <v>8</v>
      </c>
      <c r="L1044" t="s">
        <v>15</v>
      </c>
      <c r="M1044" t="s">
        <v>9</v>
      </c>
      <c r="N1044" t="s">
        <v>14</v>
      </c>
      <c r="O1044" s="2">
        <v>0</v>
      </c>
      <c r="P1044" s="3">
        <v>87533.08</v>
      </c>
      <c r="Q1044" s="1">
        <v>46033</v>
      </c>
      <c r="R1044" s="1">
        <v>45992</v>
      </c>
      <c r="S1044" s="1">
        <v>46022</v>
      </c>
      <c r="V1044" s="8">
        <v>2</v>
      </c>
      <c r="W1044" t="s">
        <v>24</v>
      </c>
      <c r="X1044" t="s">
        <v>801</v>
      </c>
      <c r="Y1044" t="s">
        <v>10</v>
      </c>
      <c r="Z1044" t="s">
        <v>11</v>
      </c>
      <c r="AA1044">
        <v>62371</v>
      </c>
      <c r="AB1044">
        <v>17523610</v>
      </c>
      <c r="AC1044">
        <v>1</v>
      </c>
      <c r="AD1044" s="8"/>
    </row>
    <row r="1045" spans="1:30" x14ac:dyDescent="0.3">
      <c r="A1045" t="s">
        <v>1627</v>
      </c>
      <c r="B1045">
        <v>1359841</v>
      </c>
      <c r="D1045" t="s">
        <v>7</v>
      </c>
      <c r="E1045">
        <v>945484</v>
      </c>
      <c r="F1045">
        <v>9015884123</v>
      </c>
      <c r="G1045">
        <v>140</v>
      </c>
      <c r="H1045" t="s">
        <v>1397</v>
      </c>
      <c r="I1045">
        <v>0</v>
      </c>
      <c r="J1045" t="s">
        <v>1398</v>
      </c>
      <c r="K1045" t="s">
        <v>8</v>
      </c>
      <c r="L1045" t="s">
        <v>15</v>
      </c>
      <c r="M1045" t="s">
        <v>9</v>
      </c>
      <c r="N1045" t="s">
        <v>14</v>
      </c>
      <c r="O1045" s="2">
        <v>0</v>
      </c>
      <c r="P1045" s="3">
        <v>2155.5430000000001</v>
      </c>
      <c r="Q1045" s="1">
        <v>46033</v>
      </c>
      <c r="R1045" s="1">
        <v>45992</v>
      </c>
      <c r="S1045" s="1">
        <v>46022</v>
      </c>
      <c r="V1045" s="8">
        <v>1</v>
      </c>
      <c r="W1045" t="s">
        <v>24</v>
      </c>
      <c r="X1045" t="s">
        <v>1399</v>
      </c>
      <c r="Y1045" t="s">
        <v>10</v>
      </c>
      <c r="Z1045" t="s">
        <v>11</v>
      </c>
      <c r="AA1045">
        <v>62371</v>
      </c>
      <c r="AB1045">
        <v>21471849</v>
      </c>
      <c r="AC1045">
        <v>0</v>
      </c>
      <c r="AD1045" s="8"/>
    </row>
    <row r="1046" spans="1:30" x14ac:dyDescent="0.3">
      <c r="A1046" t="s">
        <v>1627</v>
      </c>
      <c r="B1046">
        <v>1359845</v>
      </c>
      <c r="D1046" t="s">
        <v>7</v>
      </c>
      <c r="E1046">
        <v>945896</v>
      </c>
      <c r="F1046">
        <v>9015884123</v>
      </c>
      <c r="G1046">
        <v>145</v>
      </c>
      <c r="H1046" t="s">
        <v>1400</v>
      </c>
      <c r="I1046">
        <v>0</v>
      </c>
      <c r="J1046" t="s">
        <v>1401</v>
      </c>
      <c r="K1046" t="s">
        <v>8</v>
      </c>
      <c r="L1046" t="s">
        <v>19</v>
      </c>
      <c r="M1046" t="s">
        <v>9</v>
      </c>
      <c r="N1046" t="s">
        <v>14</v>
      </c>
      <c r="O1046" s="2">
        <v>317333.73</v>
      </c>
      <c r="P1046" s="3">
        <v>1606.0070000000001</v>
      </c>
      <c r="Q1046" s="1">
        <v>46033</v>
      </c>
      <c r="R1046" s="1">
        <v>45992</v>
      </c>
      <c r="S1046" s="1">
        <v>46022</v>
      </c>
      <c r="V1046" s="8">
        <v>1</v>
      </c>
      <c r="W1046" t="s">
        <v>24</v>
      </c>
      <c r="X1046" t="s">
        <v>1402</v>
      </c>
      <c r="Y1046" t="s">
        <v>10</v>
      </c>
      <c r="Z1046" t="s">
        <v>11</v>
      </c>
      <c r="AA1046">
        <v>62371</v>
      </c>
      <c r="AB1046">
        <v>21442927</v>
      </c>
      <c r="AC1046">
        <v>0</v>
      </c>
      <c r="AD1046" s="8"/>
    </row>
    <row r="1047" spans="1:30" x14ac:dyDescent="0.3">
      <c r="A1047" t="s">
        <v>1627</v>
      </c>
      <c r="B1047">
        <v>1403983</v>
      </c>
      <c r="D1047" t="s">
        <v>7</v>
      </c>
      <c r="E1047">
        <v>946242</v>
      </c>
      <c r="F1047">
        <v>9015884123</v>
      </c>
      <c r="G1047">
        <v>299</v>
      </c>
      <c r="H1047" t="s">
        <v>1186</v>
      </c>
      <c r="I1047">
        <v>0</v>
      </c>
      <c r="J1047" t="s">
        <v>1187</v>
      </c>
      <c r="K1047" t="s">
        <v>8</v>
      </c>
      <c r="L1047" t="s">
        <v>67</v>
      </c>
      <c r="M1047" t="s">
        <v>9</v>
      </c>
      <c r="N1047" t="s">
        <v>14</v>
      </c>
      <c r="O1047" s="2">
        <v>228138.21</v>
      </c>
      <c r="P1047" s="3">
        <v>2112.4740000000002</v>
      </c>
      <c r="Q1047" s="1">
        <v>46033</v>
      </c>
      <c r="R1047" s="1">
        <v>45992</v>
      </c>
      <c r="S1047" s="1">
        <v>46022</v>
      </c>
      <c r="V1047" s="8">
        <v>1</v>
      </c>
      <c r="W1047" t="s">
        <v>24</v>
      </c>
      <c r="X1047" t="s">
        <v>1188</v>
      </c>
      <c r="Y1047" t="s">
        <v>17</v>
      </c>
      <c r="Z1047" t="s">
        <v>11</v>
      </c>
      <c r="AA1047">
        <v>62371</v>
      </c>
      <c r="AB1047">
        <v>19821470</v>
      </c>
      <c r="AC1047">
        <v>1</v>
      </c>
      <c r="AD1047" s="8"/>
    </row>
    <row r="1048" spans="1:30" x14ac:dyDescent="0.3">
      <c r="A1048" t="s">
        <v>1627</v>
      </c>
      <c r="B1048">
        <v>1408946</v>
      </c>
      <c r="D1048" t="s">
        <v>7</v>
      </c>
      <c r="E1048">
        <v>946352</v>
      </c>
      <c r="F1048">
        <v>9015884123</v>
      </c>
      <c r="G1048">
        <v>349</v>
      </c>
      <c r="H1048" t="s">
        <v>235</v>
      </c>
      <c r="I1048">
        <v>0</v>
      </c>
      <c r="J1048" t="s">
        <v>236</v>
      </c>
      <c r="K1048" t="s">
        <v>8</v>
      </c>
      <c r="L1048" t="s">
        <v>15</v>
      </c>
      <c r="M1048" t="s">
        <v>9</v>
      </c>
      <c r="N1048" t="s">
        <v>14</v>
      </c>
      <c r="O1048" s="2">
        <v>0</v>
      </c>
      <c r="P1048" s="3">
        <v>3712.3220000000001</v>
      </c>
      <c r="Q1048" s="1">
        <v>46033</v>
      </c>
      <c r="R1048" s="1">
        <v>45992</v>
      </c>
      <c r="S1048" s="1">
        <v>46022</v>
      </c>
      <c r="V1048" s="8">
        <v>1</v>
      </c>
      <c r="W1048" t="s">
        <v>24</v>
      </c>
      <c r="X1048" t="s">
        <v>237</v>
      </c>
      <c r="Y1048" t="s">
        <v>17</v>
      </c>
      <c r="Z1048" t="s">
        <v>11</v>
      </c>
      <c r="AA1048">
        <v>62371</v>
      </c>
      <c r="AB1048">
        <v>19966705</v>
      </c>
      <c r="AC1048">
        <v>1</v>
      </c>
      <c r="AD1048" s="8"/>
    </row>
    <row r="1049" spans="1:30" x14ac:dyDescent="0.3">
      <c r="A1049" t="s">
        <v>1627</v>
      </c>
      <c r="B1049">
        <v>1415364</v>
      </c>
      <c r="D1049" t="s">
        <v>7</v>
      </c>
      <c r="E1049">
        <v>946553</v>
      </c>
      <c r="F1049">
        <v>9015884123</v>
      </c>
      <c r="G1049">
        <v>421</v>
      </c>
      <c r="H1049" t="s">
        <v>1403</v>
      </c>
      <c r="I1049">
        <v>0</v>
      </c>
      <c r="J1049" t="s">
        <v>1404</v>
      </c>
      <c r="K1049" t="s">
        <v>8</v>
      </c>
      <c r="L1049" t="s">
        <v>18</v>
      </c>
      <c r="M1049" t="s">
        <v>9</v>
      </c>
      <c r="N1049" t="s">
        <v>14</v>
      </c>
      <c r="O1049" s="2">
        <v>-2.99</v>
      </c>
      <c r="P1049" s="3">
        <v>0</v>
      </c>
      <c r="Q1049" s="1">
        <v>46033</v>
      </c>
      <c r="R1049" s="1">
        <v>45992</v>
      </c>
      <c r="S1049" s="1">
        <v>46022</v>
      </c>
      <c r="V1049" s="8">
        <v>2</v>
      </c>
      <c r="W1049" t="s">
        <v>24</v>
      </c>
      <c r="X1049" t="s">
        <v>1405</v>
      </c>
      <c r="Y1049" t="s">
        <v>17</v>
      </c>
      <c r="Z1049" t="s">
        <v>11</v>
      </c>
      <c r="AA1049">
        <v>62371</v>
      </c>
      <c r="AB1049">
        <v>19570725</v>
      </c>
      <c r="AC1049">
        <v>1</v>
      </c>
      <c r="AD1049" s="8"/>
    </row>
    <row r="1050" spans="1:30" x14ac:dyDescent="0.3">
      <c r="A1050" t="s">
        <v>1627</v>
      </c>
      <c r="B1050">
        <v>1417722</v>
      </c>
      <c r="D1050" t="s">
        <v>7</v>
      </c>
      <c r="E1050">
        <v>946606</v>
      </c>
      <c r="F1050">
        <v>9015884123</v>
      </c>
      <c r="G1050">
        <v>437</v>
      </c>
      <c r="H1050" t="s">
        <v>277</v>
      </c>
      <c r="I1050">
        <v>0</v>
      </c>
      <c r="J1050" t="s">
        <v>278</v>
      </c>
      <c r="K1050" t="s">
        <v>8</v>
      </c>
      <c r="L1050" t="s">
        <v>19</v>
      </c>
      <c r="M1050" t="s">
        <v>9</v>
      </c>
      <c r="N1050" t="s">
        <v>14</v>
      </c>
      <c r="O1050" s="2">
        <v>13843.08</v>
      </c>
      <c r="P1050" s="3">
        <v>70.058999999999997</v>
      </c>
      <c r="Q1050" s="1">
        <v>46033</v>
      </c>
      <c r="R1050" s="1">
        <v>45992</v>
      </c>
      <c r="S1050" s="1">
        <v>46022</v>
      </c>
      <c r="V1050" s="8">
        <v>1</v>
      </c>
      <c r="W1050" t="s">
        <v>24</v>
      </c>
      <c r="X1050" t="s">
        <v>279</v>
      </c>
      <c r="Y1050" t="s">
        <v>17</v>
      </c>
      <c r="Z1050" t="s">
        <v>11</v>
      </c>
      <c r="AA1050">
        <v>62371</v>
      </c>
      <c r="AB1050">
        <v>17755319</v>
      </c>
      <c r="AC1050">
        <v>0</v>
      </c>
      <c r="AD1050" s="8"/>
    </row>
    <row r="1051" spans="1:30" x14ac:dyDescent="0.3">
      <c r="A1051" t="s">
        <v>1627</v>
      </c>
      <c r="B1051">
        <v>1377542</v>
      </c>
      <c r="D1051" t="s">
        <v>7</v>
      </c>
      <c r="E1051">
        <v>945952</v>
      </c>
      <c r="F1051">
        <v>9015884123</v>
      </c>
      <c r="G1051">
        <v>194</v>
      </c>
      <c r="H1051" t="s">
        <v>775</v>
      </c>
      <c r="I1051">
        <v>0</v>
      </c>
      <c r="J1051" t="s">
        <v>776</v>
      </c>
      <c r="K1051" t="s">
        <v>8</v>
      </c>
      <c r="L1051" t="s">
        <v>67</v>
      </c>
      <c r="M1051" t="s">
        <v>9</v>
      </c>
      <c r="N1051" t="s">
        <v>14</v>
      </c>
      <c r="O1051" s="2">
        <v>897390.58</v>
      </c>
      <c r="P1051" s="3">
        <v>8309.4989999999998</v>
      </c>
      <c r="Q1051" s="1">
        <v>46033</v>
      </c>
      <c r="R1051" s="1">
        <v>45992</v>
      </c>
      <c r="S1051" s="1">
        <v>46022</v>
      </c>
      <c r="V1051" s="8">
        <v>1</v>
      </c>
      <c r="W1051" t="s">
        <v>24</v>
      </c>
      <c r="X1051" t="s">
        <v>777</v>
      </c>
      <c r="Y1051" t="s">
        <v>17</v>
      </c>
      <c r="Z1051" t="s">
        <v>11</v>
      </c>
      <c r="AA1051">
        <v>62371</v>
      </c>
      <c r="AB1051">
        <v>19453123</v>
      </c>
      <c r="AC1051">
        <v>1</v>
      </c>
      <c r="AD1051" s="8"/>
    </row>
    <row r="1052" spans="1:30" x14ac:dyDescent="0.3">
      <c r="A1052" t="s">
        <v>1627</v>
      </c>
      <c r="B1052">
        <v>1428478</v>
      </c>
      <c r="D1052" t="s">
        <v>7</v>
      </c>
      <c r="E1052">
        <v>946781</v>
      </c>
      <c r="F1052">
        <v>9015884123</v>
      </c>
      <c r="G1052">
        <v>495</v>
      </c>
      <c r="H1052" t="s">
        <v>1533</v>
      </c>
      <c r="I1052">
        <v>0</v>
      </c>
      <c r="J1052" t="s">
        <v>1534</v>
      </c>
      <c r="K1052" t="s">
        <v>8</v>
      </c>
      <c r="L1052" t="s">
        <v>67</v>
      </c>
      <c r="M1052" t="s">
        <v>9</v>
      </c>
      <c r="N1052" t="s">
        <v>14</v>
      </c>
      <c r="O1052" s="2">
        <v>246360.34</v>
      </c>
      <c r="P1052" s="3">
        <v>2281.2040000000002</v>
      </c>
      <c r="Q1052" s="1">
        <v>46033</v>
      </c>
      <c r="R1052" s="1">
        <v>45992</v>
      </c>
      <c r="S1052" s="1">
        <v>46022</v>
      </c>
      <c r="V1052" s="8">
        <v>1</v>
      </c>
      <c r="W1052" t="s">
        <v>24</v>
      </c>
      <c r="X1052" t="s">
        <v>1535</v>
      </c>
      <c r="Y1052" t="s">
        <v>17</v>
      </c>
      <c r="Z1052" t="s">
        <v>11</v>
      </c>
      <c r="AA1052">
        <v>62371</v>
      </c>
      <c r="AB1052">
        <v>18330078</v>
      </c>
      <c r="AC1052">
        <v>1</v>
      </c>
      <c r="AD1052" s="8"/>
    </row>
    <row r="1053" spans="1:30" x14ac:dyDescent="0.3">
      <c r="A1053" t="s">
        <v>1627</v>
      </c>
      <c r="B1053">
        <v>1380542</v>
      </c>
      <c r="D1053" t="s">
        <v>7</v>
      </c>
      <c r="E1053">
        <v>945982</v>
      </c>
      <c r="F1053">
        <v>9015884123</v>
      </c>
      <c r="G1053">
        <v>210</v>
      </c>
      <c r="H1053" t="s">
        <v>208</v>
      </c>
      <c r="I1053">
        <v>0</v>
      </c>
      <c r="J1053" t="s">
        <v>209</v>
      </c>
      <c r="K1053" t="s">
        <v>8</v>
      </c>
      <c r="L1053" t="s">
        <v>18</v>
      </c>
      <c r="M1053" t="s">
        <v>9</v>
      </c>
      <c r="N1053" t="s">
        <v>14</v>
      </c>
      <c r="O1053" s="2">
        <v>0.56000000000000005</v>
      </c>
      <c r="P1053" s="3">
        <v>0</v>
      </c>
      <c r="Q1053" s="1">
        <v>46033</v>
      </c>
      <c r="R1053" s="1">
        <v>45992</v>
      </c>
      <c r="S1053" s="1">
        <v>46022</v>
      </c>
      <c r="V1053" s="8">
        <v>1</v>
      </c>
      <c r="W1053" t="s">
        <v>24</v>
      </c>
      <c r="X1053" t="s">
        <v>210</v>
      </c>
      <c r="Y1053" t="s">
        <v>17</v>
      </c>
      <c r="Z1053" t="s">
        <v>11</v>
      </c>
      <c r="AA1053">
        <v>62371</v>
      </c>
      <c r="AB1053">
        <v>18186253</v>
      </c>
      <c r="AC1053">
        <v>0</v>
      </c>
      <c r="AD1053" s="8"/>
    </row>
    <row r="1054" spans="1:30" x14ac:dyDescent="0.3">
      <c r="A1054" t="s">
        <v>1627</v>
      </c>
      <c r="B1054">
        <v>1448586</v>
      </c>
      <c r="D1054" t="s">
        <v>7</v>
      </c>
      <c r="E1054">
        <v>949190</v>
      </c>
      <c r="F1054">
        <v>9015884123</v>
      </c>
      <c r="G1054">
        <v>536</v>
      </c>
      <c r="H1054" t="s">
        <v>1192</v>
      </c>
      <c r="I1054">
        <v>0</v>
      </c>
      <c r="J1054" t="s">
        <v>1193</v>
      </c>
      <c r="K1054" t="s">
        <v>8</v>
      </c>
      <c r="L1054" t="s">
        <v>18</v>
      </c>
      <c r="M1054" t="s">
        <v>9</v>
      </c>
      <c r="N1054" t="s">
        <v>14</v>
      </c>
      <c r="O1054" s="2">
        <v>3.28</v>
      </c>
      <c r="P1054" s="3">
        <v>0</v>
      </c>
      <c r="Q1054" s="1">
        <v>46035</v>
      </c>
      <c r="R1054" s="1">
        <v>45995</v>
      </c>
      <c r="S1054" s="1">
        <v>46022</v>
      </c>
      <c r="V1054" s="8">
        <v>2</v>
      </c>
      <c r="W1054" t="s">
        <v>24</v>
      </c>
      <c r="X1054" t="s">
        <v>1194</v>
      </c>
      <c r="Y1054" t="s">
        <v>17</v>
      </c>
      <c r="Z1054" t="s">
        <v>11</v>
      </c>
      <c r="AA1054">
        <v>62371</v>
      </c>
      <c r="AB1054">
        <v>21418922</v>
      </c>
      <c r="AC1054">
        <v>1</v>
      </c>
      <c r="AD1054" s="8"/>
    </row>
    <row r="1055" spans="1:30" x14ac:dyDescent="0.3">
      <c r="A1055" t="s">
        <v>1627</v>
      </c>
      <c r="B1055">
        <v>1340403</v>
      </c>
      <c r="D1055" t="s">
        <v>7</v>
      </c>
      <c r="E1055">
        <v>945238</v>
      </c>
      <c r="F1055">
        <v>9015884123</v>
      </c>
      <c r="G1055">
        <v>63</v>
      </c>
      <c r="H1055" t="s">
        <v>836</v>
      </c>
      <c r="I1055">
        <v>0</v>
      </c>
      <c r="J1055" t="s">
        <v>837</v>
      </c>
      <c r="K1055" t="s">
        <v>8</v>
      </c>
      <c r="L1055" t="s">
        <v>15</v>
      </c>
      <c r="M1055" t="s">
        <v>9</v>
      </c>
      <c r="N1055" t="s">
        <v>14</v>
      </c>
      <c r="O1055" s="2">
        <v>0</v>
      </c>
      <c r="P1055" s="3">
        <v>2087.665</v>
      </c>
      <c r="Q1055" s="1">
        <v>46033</v>
      </c>
      <c r="R1055" s="1">
        <v>45992</v>
      </c>
      <c r="S1055" s="1">
        <v>46022</v>
      </c>
      <c r="V1055" s="8">
        <v>1</v>
      </c>
      <c r="W1055" t="s">
        <v>24</v>
      </c>
      <c r="X1055" t="s">
        <v>838</v>
      </c>
      <c r="Y1055" t="s">
        <v>17</v>
      </c>
      <c r="Z1055" t="s">
        <v>11</v>
      </c>
      <c r="AA1055">
        <v>62371</v>
      </c>
      <c r="AB1055">
        <v>18958210</v>
      </c>
      <c r="AC1055">
        <v>0</v>
      </c>
      <c r="AD1055" s="8"/>
    </row>
    <row r="1056" spans="1:30" x14ac:dyDescent="0.3">
      <c r="A1056" t="s">
        <v>1627</v>
      </c>
      <c r="B1056">
        <v>1418863</v>
      </c>
      <c r="D1056" t="s">
        <v>7</v>
      </c>
      <c r="E1056">
        <v>946641</v>
      </c>
      <c r="F1056">
        <v>9015884123</v>
      </c>
      <c r="G1056">
        <v>449</v>
      </c>
      <c r="H1056" t="s">
        <v>851</v>
      </c>
      <c r="I1056">
        <v>0</v>
      </c>
      <c r="J1056" t="s">
        <v>852</v>
      </c>
      <c r="K1056" t="s">
        <v>8</v>
      </c>
      <c r="L1056" t="s">
        <v>19</v>
      </c>
      <c r="M1056" t="s">
        <v>9</v>
      </c>
      <c r="N1056" t="s">
        <v>14</v>
      </c>
      <c r="O1056" s="2">
        <v>3811.74</v>
      </c>
      <c r="P1056" s="3">
        <v>19.291</v>
      </c>
      <c r="Q1056" s="1">
        <v>46033</v>
      </c>
      <c r="R1056" s="1">
        <v>45992</v>
      </c>
      <c r="S1056" s="1">
        <v>46022</v>
      </c>
      <c r="V1056" s="8">
        <v>1</v>
      </c>
      <c r="W1056" t="s">
        <v>24</v>
      </c>
      <c r="X1056" t="s">
        <v>853</v>
      </c>
      <c r="Y1056" t="s">
        <v>854</v>
      </c>
      <c r="Z1056" t="s">
        <v>11</v>
      </c>
      <c r="AA1056">
        <v>62371</v>
      </c>
      <c r="AB1056">
        <v>17627041</v>
      </c>
      <c r="AC1056">
        <v>0</v>
      </c>
      <c r="AD1056" s="8"/>
    </row>
    <row r="1057" spans="1:30" x14ac:dyDescent="0.3">
      <c r="A1057" t="s">
        <v>1627</v>
      </c>
      <c r="B1057">
        <v>1418863</v>
      </c>
      <c r="D1057" t="s">
        <v>7</v>
      </c>
      <c r="E1057">
        <v>946641</v>
      </c>
      <c r="F1057">
        <v>9015884123</v>
      </c>
      <c r="G1057">
        <v>449</v>
      </c>
      <c r="H1057" t="s">
        <v>851</v>
      </c>
      <c r="I1057">
        <v>0</v>
      </c>
      <c r="J1057" t="s">
        <v>852</v>
      </c>
      <c r="K1057" t="s">
        <v>8</v>
      </c>
      <c r="L1057" t="s">
        <v>15</v>
      </c>
      <c r="M1057" t="s">
        <v>9</v>
      </c>
      <c r="N1057" t="s">
        <v>14</v>
      </c>
      <c r="O1057" s="2">
        <v>0</v>
      </c>
      <c r="P1057" s="3">
        <v>895.755</v>
      </c>
      <c r="Q1057" s="1">
        <v>46033</v>
      </c>
      <c r="R1057" s="1">
        <v>45992</v>
      </c>
      <c r="S1057" s="1">
        <v>46022</v>
      </c>
      <c r="V1057" s="8">
        <v>1</v>
      </c>
      <c r="W1057" t="s">
        <v>24</v>
      </c>
      <c r="X1057" t="s">
        <v>853</v>
      </c>
      <c r="Y1057" t="s">
        <v>854</v>
      </c>
      <c r="Z1057" t="s">
        <v>11</v>
      </c>
      <c r="AA1057">
        <v>62371</v>
      </c>
      <c r="AB1057">
        <v>17627041</v>
      </c>
      <c r="AC1057">
        <v>0</v>
      </c>
      <c r="AD1057" s="8"/>
    </row>
    <row r="1058" spans="1:30" x14ac:dyDescent="0.3">
      <c r="A1058" t="s">
        <v>1627</v>
      </c>
      <c r="B1058">
        <v>1363524</v>
      </c>
      <c r="D1058" t="s">
        <v>7</v>
      </c>
      <c r="E1058">
        <v>945912</v>
      </c>
      <c r="F1058">
        <v>9015884123</v>
      </c>
      <c r="G1058">
        <v>161</v>
      </c>
      <c r="H1058" t="s">
        <v>1205</v>
      </c>
      <c r="I1058">
        <v>0</v>
      </c>
      <c r="J1058" t="s">
        <v>1206</v>
      </c>
      <c r="K1058" t="s">
        <v>8</v>
      </c>
      <c r="L1058" t="s">
        <v>15</v>
      </c>
      <c r="M1058" t="s">
        <v>9</v>
      </c>
      <c r="N1058" t="s">
        <v>14</v>
      </c>
      <c r="O1058" s="2">
        <v>0</v>
      </c>
      <c r="P1058" s="3">
        <v>3956.7069999999999</v>
      </c>
      <c r="Q1058" s="1">
        <v>46033</v>
      </c>
      <c r="R1058" s="1">
        <v>45992</v>
      </c>
      <c r="S1058" s="1">
        <v>46022</v>
      </c>
      <c r="V1058" s="8">
        <v>1</v>
      </c>
      <c r="W1058" t="s">
        <v>24</v>
      </c>
      <c r="X1058" t="s">
        <v>1207</v>
      </c>
      <c r="Y1058" t="s">
        <v>10</v>
      </c>
      <c r="Z1058" t="s">
        <v>11</v>
      </c>
      <c r="AA1058">
        <v>62371</v>
      </c>
      <c r="AB1058">
        <v>19398651</v>
      </c>
      <c r="AC1058">
        <v>0</v>
      </c>
      <c r="AD1058" s="8"/>
    </row>
    <row r="1059" spans="1:30" x14ac:dyDescent="0.3">
      <c r="A1059" t="s">
        <v>1627</v>
      </c>
      <c r="B1059">
        <v>1363527</v>
      </c>
      <c r="D1059" t="s">
        <v>7</v>
      </c>
      <c r="E1059">
        <v>945914</v>
      </c>
      <c r="F1059">
        <v>9015884123</v>
      </c>
      <c r="G1059">
        <v>165</v>
      </c>
      <c r="H1059" t="s">
        <v>294</v>
      </c>
      <c r="I1059">
        <v>0</v>
      </c>
      <c r="J1059" t="s">
        <v>295</v>
      </c>
      <c r="K1059" t="s">
        <v>8</v>
      </c>
      <c r="L1059" t="s">
        <v>67</v>
      </c>
      <c r="M1059" t="s">
        <v>9</v>
      </c>
      <c r="N1059" t="s">
        <v>14</v>
      </c>
      <c r="O1059" s="2">
        <v>573568.21</v>
      </c>
      <c r="P1059" s="3">
        <v>4026.9769999999999</v>
      </c>
      <c r="Q1059" s="1">
        <v>46033</v>
      </c>
      <c r="R1059" s="1">
        <v>45992</v>
      </c>
      <c r="S1059" s="1">
        <v>46022</v>
      </c>
      <c r="V1059" s="8">
        <v>1</v>
      </c>
      <c r="W1059" t="s">
        <v>24</v>
      </c>
      <c r="X1059" t="s">
        <v>296</v>
      </c>
      <c r="Y1059" t="s">
        <v>10</v>
      </c>
      <c r="Z1059" t="s">
        <v>11</v>
      </c>
      <c r="AA1059">
        <v>62371</v>
      </c>
      <c r="AB1059">
        <v>17523451</v>
      </c>
      <c r="AC1059">
        <v>0</v>
      </c>
      <c r="AD1059" s="8"/>
    </row>
    <row r="1060" spans="1:30" x14ac:dyDescent="0.3">
      <c r="A1060" t="s">
        <v>1627</v>
      </c>
      <c r="B1060">
        <v>1398092</v>
      </c>
      <c r="D1060" t="s">
        <v>7</v>
      </c>
      <c r="E1060">
        <v>946071</v>
      </c>
      <c r="F1060">
        <v>9015884123</v>
      </c>
      <c r="G1060">
        <v>244</v>
      </c>
      <c r="H1060" t="s">
        <v>1536</v>
      </c>
      <c r="I1060">
        <v>0</v>
      </c>
      <c r="J1060" t="s">
        <v>1537</v>
      </c>
      <c r="K1060" t="s">
        <v>8</v>
      </c>
      <c r="L1060" t="s">
        <v>18</v>
      </c>
      <c r="M1060" t="s">
        <v>9</v>
      </c>
      <c r="N1060" t="s">
        <v>14</v>
      </c>
      <c r="O1060" s="2">
        <v>-4.82</v>
      </c>
      <c r="P1060" s="3">
        <v>0</v>
      </c>
      <c r="Q1060" s="1">
        <v>46033</v>
      </c>
      <c r="R1060" s="1">
        <v>45992</v>
      </c>
      <c r="S1060" s="1">
        <v>46022</v>
      </c>
      <c r="V1060" s="8">
        <v>2</v>
      </c>
      <c r="W1060" t="s">
        <v>24</v>
      </c>
      <c r="X1060" t="s">
        <v>1538</v>
      </c>
      <c r="Y1060" t="s">
        <v>37</v>
      </c>
      <c r="Z1060" t="s">
        <v>11</v>
      </c>
      <c r="AA1060">
        <v>62371</v>
      </c>
      <c r="AB1060">
        <v>17921534</v>
      </c>
      <c r="AC1060">
        <v>1</v>
      </c>
      <c r="AD1060" s="8"/>
    </row>
    <row r="1061" spans="1:30" x14ac:dyDescent="0.3">
      <c r="A1061" t="s">
        <v>1627</v>
      </c>
      <c r="B1061">
        <v>1356208</v>
      </c>
      <c r="D1061" t="s">
        <v>7</v>
      </c>
      <c r="E1061">
        <v>945407</v>
      </c>
      <c r="F1061">
        <v>9015884123</v>
      </c>
      <c r="G1061">
        <v>114</v>
      </c>
      <c r="H1061" t="s">
        <v>1527</v>
      </c>
      <c r="I1061">
        <v>0</v>
      </c>
      <c r="J1061" t="s">
        <v>1528</v>
      </c>
      <c r="K1061" t="s">
        <v>8</v>
      </c>
      <c r="L1061" t="s">
        <v>15</v>
      </c>
      <c r="M1061" t="s">
        <v>9</v>
      </c>
      <c r="N1061" t="s">
        <v>14</v>
      </c>
      <c r="O1061" s="2">
        <v>0</v>
      </c>
      <c r="P1061" s="3">
        <v>5694.1180000000004</v>
      </c>
      <c r="Q1061" s="1">
        <v>46033</v>
      </c>
      <c r="R1061" s="1">
        <v>45992</v>
      </c>
      <c r="S1061" s="1">
        <v>46022</v>
      </c>
      <c r="V1061" s="8">
        <v>1</v>
      </c>
      <c r="W1061" t="s">
        <v>24</v>
      </c>
      <c r="X1061" t="s">
        <v>1529</v>
      </c>
      <c r="Y1061" t="s">
        <v>10</v>
      </c>
      <c r="Z1061" t="s">
        <v>11</v>
      </c>
      <c r="AA1061">
        <v>62371</v>
      </c>
      <c r="AB1061">
        <v>19380039</v>
      </c>
      <c r="AC1061">
        <v>1</v>
      </c>
      <c r="AD1061" s="8"/>
    </row>
    <row r="1062" spans="1:30" x14ac:dyDescent="0.3">
      <c r="A1062" t="s">
        <v>1627</v>
      </c>
      <c r="B1062">
        <v>1415559</v>
      </c>
      <c r="D1062" t="s">
        <v>7</v>
      </c>
      <c r="E1062">
        <v>946506</v>
      </c>
      <c r="F1062">
        <v>9015884123</v>
      </c>
      <c r="G1062">
        <v>407</v>
      </c>
      <c r="H1062" t="s">
        <v>1415</v>
      </c>
      <c r="I1062">
        <v>0</v>
      </c>
      <c r="J1062" t="s">
        <v>1416</v>
      </c>
      <c r="K1062" t="s">
        <v>8</v>
      </c>
      <c r="L1062" t="s">
        <v>67</v>
      </c>
      <c r="M1062" t="s">
        <v>9</v>
      </c>
      <c r="N1062" t="s">
        <v>14</v>
      </c>
      <c r="O1062" s="2">
        <v>148067.76</v>
      </c>
      <c r="P1062" s="3">
        <v>1039.5719999999999</v>
      </c>
      <c r="Q1062" s="1">
        <v>46033</v>
      </c>
      <c r="R1062" s="1">
        <v>45992</v>
      </c>
      <c r="S1062" s="1">
        <v>46022</v>
      </c>
      <c r="V1062" s="8">
        <v>1</v>
      </c>
      <c r="W1062" t="s">
        <v>24</v>
      </c>
      <c r="X1062" t="s">
        <v>1417</v>
      </c>
      <c r="Y1062" t="s">
        <v>1418</v>
      </c>
      <c r="Z1062" t="s">
        <v>11</v>
      </c>
      <c r="AA1062">
        <v>62371</v>
      </c>
      <c r="AB1062">
        <v>17423957</v>
      </c>
      <c r="AC1062">
        <v>0</v>
      </c>
      <c r="AD1062" s="8"/>
    </row>
    <row r="1063" spans="1:30" x14ac:dyDescent="0.3">
      <c r="A1063" t="s">
        <v>1627</v>
      </c>
      <c r="B1063">
        <v>1356148</v>
      </c>
      <c r="D1063" t="s">
        <v>7</v>
      </c>
      <c r="E1063">
        <v>945378</v>
      </c>
      <c r="F1063">
        <v>9015884123</v>
      </c>
      <c r="G1063">
        <v>105</v>
      </c>
      <c r="H1063" t="s">
        <v>1539</v>
      </c>
      <c r="I1063">
        <v>0</v>
      </c>
      <c r="J1063" t="s">
        <v>1540</v>
      </c>
      <c r="K1063" t="s">
        <v>8</v>
      </c>
      <c r="L1063" t="s">
        <v>67</v>
      </c>
      <c r="M1063" t="s">
        <v>9</v>
      </c>
      <c r="N1063" t="s">
        <v>14</v>
      </c>
      <c r="O1063" s="2">
        <v>557828.11</v>
      </c>
      <c r="P1063" s="3">
        <v>3916.4670000000001</v>
      </c>
      <c r="Q1063" s="1">
        <v>46033</v>
      </c>
      <c r="R1063" s="1">
        <v>45992</v>
      </c>
      <c r="S1063" s="1">
        <v>46022</v>
      </c>
      <c r="V1063" s="8">
        <v>1</v>
      </c>
      <c r="W1063" t="s">
        <v>24</v>
      </c>
      <c r="X1063" t="s">
        <v>1541</v>
      </c>
      <c r="Y1063" t="s">
        <v>10</v>
      </c>
      <c r="Z1063" t="s">
        <v>11</v>
      </c>
      <c r="AA1063">
        <v>62371</v>
      </c>
      <c r="AB1063">
        <v>17198395</v>
      </c>
      <c r="AC1063">
        <v>0</v>
      </c>
      <c r="AD1063" s="8"/>
    </row>
    <row r="1064" spans="1:30" x14ac:dyDescent="0.3">
      <c r="A1064" t="s">
        <v>1627</v>
      </c>
      <c r="B1064">
        <v>1356148</v>
      </c>
      <c r="D1064" t="s">
        <v>7</v>
      </c>
      <c r="E1064">
        <v>945378</v>
      </c>
      <c r="F1064">
        <v>9015884123</v>
      </c>
      <c r="G1064">
        <v>105</v>
      </c>
      <c r="H1064" t="s">
        <v>1539</v>
      </c>
      <c r="I1064">
        <v>0</v>
      </c>
      <c r="J1064" t="s">
        <v>1540</v>
      </c>
      <c r="K1064" t="s">
        <v>8</v>
      </c>
      <c r="L1064" t="s">
        <v>18</v>
      </c>
      <c r="M1064" t="s">
        <v>9</v>
      </c>
      <c r="N1064" t="s">
        <v>14</v>
      </c>
      <c r="O1064" s="2">
        <v>2</v>
      </c>
      <c r="P1064" s="3">
        <v>0</v>
      </c>
      <c r="Q1064" s="1">
        <v>46033</v>
      </c>
      <c r="R1064" s="1">
        <v>45992</v>
      </c>
      <c r="S1064" s="1">
        <v>46022</v>
      </c>
      <c r="V1064" s="8">
        <v>1</v>
      </c>
      <c r="W1064" t="s">
        <v>24</v>
      </c>
      <c r="X1064" t="s">
        <v>1541</v>
      </c>
      <c r="Y1064" t="s">
        <v>10</v>
      </c>
      <c r="Z1064" t="s">
        <v>11</v>
      </c>
      <c r="AA1064">
        <v>62371</v>
      </c>
      <c r="AB1064">
        <v>17198395</v>
      </c>
      <c r="AC1064">
        <v>0</v>
      </c>
      <c r="AD1064" s="8"/>
    </row>
    <row r="1065" spans="1:30" x14ac:dyDescent="0.3">
      <c r="A1065" t="s">
        <v>1627</v>
      </c>
      <c r="B1065">
        <v>1359846</v>
      </c>
      <c r="D1065" t="s">
        <v>7</v>
      </c>
      <c r="E1065">
        <v>945903</v>
      </c>
      <c r="F1065">
        <v>9015884123</v>
      </c>
      <c r="G1065">
        <v>152</v>
      </c>
      <c r="H1065" t="s">
        <v>229</v>
      </c>
      <c r="I1065">
        <v>0</v>
      </c>
      <c r="J1065" t="s">
        <v>230</v>
      </c>
      <c r="K1065" t="s">
        <v>8</v>
      </c>
      <c r="L1065" t="s">
        <v>19</v>
      </c>
      <c r="M1065" t="s">
        <v>9</v>
      </c>
      <c r="N1065" t="s">
        <v>14</v>
      </c>
      <c r="O1065" s="2">
        <v>2552.4899999999998</v>
      </c>
      <c r="P1065" s="3">
        <v>12.917999999999999</v>
      </c>
      <c r="Q1065" s="1">
        <v>46033</v>
      </c>
      <c r="R1065" s="1">
        <v>45992</v>
      </c>
      <c r="S1065" s="1">
        <v>46022</v>
      </c>
      <c r="V1065" s="8">
        <v>1</v>
      </c>
      <c r="W1065" t="s">
        <v>24</v>
      </c>
      <c r="X1065" t="s">
        <v>231</v>
      </c>
      <c r="Y1065" t="s">
        <v>10</v>
      </c>
      <c r="Z1065" t="s">
        <v>11</v>
      </c>
      <c r="AA1065">
        <v>62371</v>
      </c>
      <c r="AB1065">
        <v>19378174</v>
      </c>
      <c r="AC1065">
        <v>0</v>
      </c>
      <c r="AD1065" s="8"/>
    </row>
    <row r="1066" spans="1:30" x14ac:dyDescent="0.3">
      <c r="A1066" t="s">
        <v>1627</v>
      </c>
      <c r="B1066">
        <v>1418638</v>
      </c>
      <c r="D1066" t="s">
        <v>7</v>
      </c>
      <c r="E1066">
        <v>946651</v>
      </c>
      <c r="F1066">
        <v>9015884123</v>
      </c>
      <c r="G1066">
        <v>452</v>
      </c>
      <c r="H1066" t="s">
        <v>1419</v>
      </c>
      <c r="I1066">
        <v>0</v>
      </c>
      <c r="J1066" t="s">
        <v>1420</v>
      </c>
      <c r="K1066" t="s">
        <v>8</v>
      </c>
      <c r="L1066" t="s">
        <v>15</v>
      </c>
      <c r="M1066" t="s">
        <v>9</v>
      </c>
      <c r="N1066" t="s">
        <v>14</v>
      </c>
      <c r="O1066" s="2">
        <v>0</v>
      </c>
      <c r="P1066" s="3">
        <v>2360.105</v>
      </c>
      <c r="Q1066" s="1">
        <v>46033</v>
      </c>
      <c r="R1066" s="1">
        <v>45992</v>
      </c>
      <c r="S1066" s="1">
        <v>46022</v>
      </c>
      <c r="V1066" s="8">
        <v>1</v>
      </c>
      <c r="W1066" t="s">
        <v>24</v>
      </c>
      <c r="X1066" t="s">
        <v>1421</v>
      </c>
      <c r="Y1066" t="s">
        <v>37</v>
      </c>
      <c r="Z1066" t="s">
        <v>11</v>
      </c>
      <c r="AA1066">
        <v>62371</v>
      </c>
      <c r="AB1066">
        <v>21491085</v>
      </c>
      <c r="AC1066">
        <v>1</v>
      </c>
      <c r="AD1066" s="8"/>
    </row>
    <row r="1067" spans="1:30" x14ac:dyDescent="0.3">
      <c r="A1067" t="s">
        <v>1627</v>
      </c>
      <c r="B1067">
        <v>1418638</v>
      </c>
      <c r="D1067" t="s">
        <v>7</v>
      </c>
      <c r="E1067">
        <v>946651</v>
      </c>
      <c r="F1067">
        <v>9015884123</v>
      </c>
      <c r="G1067">
        <v>452</v>
      </c>
      <c r="H1067" t="s">
        <v>1419</v>
      </c>
      <c r="I1067">
        <v>0</v>
      </c>
      <c r="J1067" t="s">
        <v>1420</v>
      </c>
      <c r="K1067" t="s">
        <v>8</v>
      </c>
      <c r="L1067" t="s">
        <v>67</v>
      </c>
      <c r="M1067" t="s">
        <v>9</v>
      </c>
      <c r="N1067" t="s">
        <v>14</v>
      </c>
      <c r="O1067" s="2">
        <v>254881.31</v>
      </c>
      <c r="P1067" s="3">
        <v>2360.105</v>
      </c>
      <c r="Q1067" s="1">
        <v>46033</v>
      </c>
      <c r="R1067" s="1">
        <v>45992</v>
      </c>
      <c r="S1067" s="1">
        <v>46022</v>
      </c>
      <c r="V1067" s="8">
        <v>1</v>
      </c>
      <c r="W1067" t="s">
        <v>24</v>
      </c>
      <c r="X1067" t="s">
        <v>1421</v>
      </c>
      <c r="Y1067" t="s">
        <v>37</v>
      </c>
      <c r="Z1067" t="s">
        <v>11</v>
      </c>
      <c r="AA1067">
        <v>62371</v>
      </c>
      <c r="AB1067">
        <v>21491085</v>
      </c>
      <c r="AC1067">
        <v>1</v>
      </c>
      <c r="AD1067" s="8"/>
    </row>
    <row r="1068" spans="1:30" x14ac:dyDescent="0.3">
      <c r="A1068" t="s">
        <v>1627</v>
      </c>
      <c r="B1068">
        <v>1356250</v>
      </c>
      <c r="D1068" t="s">
        <v>7</v>
      </c>
      <c r="E1068">
        <v>945441</v>
      </c>
      <c r="F1068">
        <v>9015884123</v>
      </c>
      <c r="G1068">
        <v>125</v>
      </c>
      <c r="H1068" t="s">
        <v>1542</v>
      </c>
      <c r="I1068">
        <v>0</v>
      </c>
      <c r="J1068" t="s">
        <v>1543</v>
      </c>
      <c r="K1068" t="s">
        <v>8</v>
      </c>
      <c r="L1068" t="s">
        <v>67</v>
      </c>
      <c r="M1068" t="s">
        <v>9</v>
      </c>
      <c r="N1068" t="s">
        <v>14</v>
      </c>
      <c r="O1068" s="2">
        <v>2734230.1</v>
      </c>
      <c r="P1068" s="3">
        <v>19196.812999999998</v>
      </c>
      <c r="Q1068" s="1">
        <v>46033</v>
      </c>
      <c r="R1068" s="1">
        <v>45992</v>
      </c>
      <c r="S1068" s="1">
        <v>46022</v>
      </c>
      <c r="V1068" s="8">
        <v>1</v>
      </c>
      <c r="W1068" t="s">
        <v>24</v>
      </c>
      <c r="X1068" t="s">
        <v>1544</v>
      </c>
      <c r="Y1068" t="s">
        <v>10</v>
      </c>
      <c r="Z1068" t="s">
        <v>11</v>
      </c>
      <c r="AA1068">
        <v>62371</v>
      </c>
      <c r="AB1068">
        <v>19390712</v>
      </c>
      <c r="AC1068">
        <v>0</v>
      </c>
      <c r="AD1068" s="8"/>
    </row>
    <row r="1069" spans="1:30" x14ac:dyDescent="0.3">
      <c r="A1069" t="s">
        <v>1627</v>
      </c>
      <c r="B1069">
        <v>1356253</v>
      </c>
      <c r="D1069" t="s">
        <v>7</v>
      </c>
      <c r="E1069">
        <v>945447</v>
      </c>
      <c r="F1069">
        <v>9015884123</v>
      </c>
      <c r="G1069">
        <v>127</v>
      </c>
      <c r="H1069" t="s">
        <v>1177</v>
      </c>
      <c r="I1069">
        <v>0</v>
      </c>
      <c r="J1069" t="s">
        <v>1178</v>
      </c>
      <c r="K1069" t="s">
        <v>8</v>
      </c>
      <c r="L1069" t="s">
        <v>15</v>
      </c>
      <c r="M1069" t="s">
        <v>9</v>
      </c>
      <c r="N1069" t="s">
        <v>14</v>
      </c>
      <c r="O1069" s="2">
        <v>0</v>
      </c>
      <c r="P1069" s="3">
        <v>7947.7240000000002</v>
      </c>
      <c r="Q1069" s="1">
        <v>46033</v>
      </c>
      <c r="R1069" s="1">
        <v>45992</v>
      </c>
      <c r="S1069" s="1">
        <v>46022</v>
      </c>
      <c r="V1069" s="8">
        <v>1</v>
      </c>
      <c r="W1069" t="s">
        <v>24</v>
      </c>
      <c r="X1069" t="s">
        <v>1179</v>
      </c>
      <c r="Y1069" t="s">
        <v>10</v>
      </c>
      <c r="Z1069" t="s">
        <v>11</v>
      </c>
      <c r="AA1069">
        <v>62371</v>
      </c>
      <c r="AB1069">
        <v>17053509</v>
      </c>
      <c r="AC1069">
        <v>0</v>
      </c>
      <c r="AD1069" s="8"/>
    </row>
    <row r="1070" spans="1:30" x14ac:dyDescent="0.3">
      <c r="A1070" t="s">
        <v>1627</v>
      </c>
      <c r="B1070">
        <v>1356272</v>
      </c>
      <c r="D1070" t="s">
        <v>7</v>
      </c>
      <c r="E1070">
        <v>945472</v>
      </c>
      <c r="F1070">
        <v>9015884123</v>
      </c>
      <c r="G1070">
        <v>136</v>
      </c>
      <c r="H1070" t="s">
        <v>802</v>
      </c>
      <c r="I1070">
        <v>0</v>
      </c>
      <c r="J1070" t="s">
        <v>803</v>
      </c>
      <c r="K1070" t="s">
        <v>8</v>
      </c>
      <c r="L1070" t="s">
        <v>15</v>
      </c>
      <c r="M1070" t="s">
        <v>9</v>
      </c>
      <c r="N1070" t="s">
        <v>14</v>
      </c>
      <c r="O1070" s="2">
        <v>0</v>
      </c>
      <c r="P1070" s="3">
        <v>4511.6180000000004</v>
      </c>
      <c r="Q1070" s="1">
        <v>46033</v>
      </c>
      <c r="R1070" s="1">
        <v>45992</v>
      </c>
      <c r="S1070" s="1">
        <v>46022</v>
      </c>
      <c r="V1070" s="8">
        <v>1</v>
      </c>
      <c r="W1070" t="s">
        <v>24</v>
      </c>
      <c r="X1070" t="s">
        <v>804</v>
      </c>
      <c r="Y1070" t="s">
        <v>10</v>
      </c>
      <c r="Z1070" t="s">
        <v>11</v>
      </c>
      <c r="AA1070">
        <v>62371</v>
      </c>
      <c r="AB1070">
        <v>20071780</v>
      </c>
      <c r="AC1070">
        <v>1</v>
      </c>
      <c r="AD1070" s="8"/>
    </row>
    <row r="1071" spans="1:30" x14ac:dyDescent="0.3">
      <c r="A1071" t="s">
        <v>1627</v>
      </c>
      <c r="B1071">
        <v>1359833</v>
      </c>
      <c r="D1071" t="s">
        <v>7</v>
      </c>
      <c r="E1071">
        <v>945475</v>
      </c>
      <c r="F1071">
        <v>9015884123</v>
      </c>
      <c r="G1071">
        <v>137</v>
      </c>
      <c r="H1071" t="s">
        <v>232</v>
      </c>
      <c r="I1071">
        <v>0</v>
      </c>
      <c r="J1071" t="s">
        <v>233</v>
      </c>
      <c r="K1071" t="s">
        <v>8</v>
      </c>
      <c r="L1071" t="s">
        <v>67</v>
      </c>
      <c r="M1071" t="s">
        <v>9</v>
      </c>
      <c r="N1071" t="s">
        <v>14</v>
      </c>
      <c r="O1071" s="2">
        <v>25245.84</v>
      </c>
      <c r="P1071" s="3">
        <v>233.767</v>
      </c>
      <c r="Q1071" s="1">
        <v>46033</v>
      </c>
      <c r="R1071" s="1">
        <v>45992</v>
      </c>
      <c r="S1071" s="1">
        <v>46022</v>
      </c>
      <c r="V1071" s="8">
        <v>1</v>
      </c>
      <c r="W1071" t="s">
        <v>24</v>
      </c>
      <c r="X1071" t="s">
        <v>234</v>
      </c>
      <c r="Y1071" t="s">
        <v>10</v>
      </c>
      <c r="Z1071" t="s">
        <v>11</v>
      </c>
      <c r="AA1071">
        <v>62371</v>
      </c>
      <c r="AB1071">
        <v>21334311</v>
      </c>
      <c r="AC1071">
        <v>1</v>
      </c>
      <c r="AD1071" s="8"/>
    </row>
    <row r="1072" spans="1:30" x14ac:dyDescent="0.3">
      <c r="A1072" t="s">
        <v>1627</v>
      </c>
      <c r="B1072">
        <v>1364738</v>
      </c>
      <c r="D1072" t="s">
        <v>7</v>
      </c>
      <c r="E1072">
        <v>945930</v>
      </c>
      <c r="F1072">
        <v>9015884123</v>
      </c>
      <c r="G1072">
        <v>181</v>
      </c>
      <c r="H1072" t="s">
        <v>1545</v>
      </c>
      <c r="I1072">
        <v>0</v>
      </c>
      <c r="J1072" t="s">
        <v>1546</v>
      </c>
      <c r="K1072" t="s">
        <v>8</v>
      </c>
      <c r="L1072" t="s">
        <v>15</v>
      </c>
      <c r="M1072" t="s">
        <v>9</v>
      </c>
      <c r="N1072" t="s">
        <v>14</v>
      </c>
      <c r="O1072" s="2">
        <v>0</v>
      </c>
      <c r="P1072" s="3">
        <v>9381.9969999999994</v>
      </c>
      <c r="Q1072" s="1">
        <v>46033</v>
      </c>
      <c r="R1072" s="1">
        <v>45992</v>
      </c>
      <c r="S1072" s="1">
        <v>46022</v>
      </c>
      <c r="V1072" s="8">
        <v>1</v>
      </c>
      <c r="W1072" t="s">
        <v>24</v>
      </c>
      <c r="X1072" t="s">
        <v>1547</v>
      </c>
      <c r="Y1072" t="s">
        <v>10</v>
      </c>
      <c r="Z1072" t="s">
        <v>11</v>
      </c>
      <c r="AA1072">
        <v>62371</v>
      </c>
      <c r="AB1072">
        <v>19385333</v>
      </c>
      <c r="AC1072">
        <v>0</v>
      </c>
      <c r="AD1072" s="8"/>
    </row>
    <row r="1073" spans="1:30" x14ac:dyDescent="0.3">
      <c r="A1073" t="s">
        <v>1627</v>
      </c>
      <c r="B1073">
        <v>1364738</v>
      </c>
      <c r="D1073" t="s">
        <v>7</v>
      </c>
      <c r="E1073">
        <v>945930</v>
      </c>
      <c r="F1073">
        <v>9015884123</v>
      </c>
      <c r="G1073">
        <v>181</v>
      </c>
      <c r="H1073" t="s">
        <v>1545</v>
      </c>
      <c r="I1073">
        <v>0</v>
      </c>
      <c r="J1073" t="s">
        <v>1546</v>
      </c>
      <c r="K1073" t="s">
        <v>8</v>
      </c>
      <c r="L1073" t="s">
        <v>18</v>
      </c>
      <c r="M1073" t="s">
        <v>9</v>
      </c>
      <c r="N1073" t="s">
        <v>14</v>
      </c>
      <c r="O1073" s="2">
        <v>2.09</v>
      </c>
      <c r="P1073" s="3">
        <v>0</v>
      </c>
      <c r="Q1073" s="1">
        <v>46033</v>
      </c>
      <c r="R1073" s="1">
        <v>45992</v>
      </c>
      <c r="S1073" s="1">
        <v>46022</v>
      </c>
      <c r="V1073" s="8">
        <v>1</v>
      </c>
      <c r="W1073" t="s">
        <v>24</v>
      </c>
      <c r="X1073" t="s">
        <v>1547</v>
      </c>
      <c r="Y1073" t="s">
        <v>10</v>
      </c>
      <c r="Z1073" t="s">
        <v>11</v>
      </c>
      <c r="AA1073">
        <v>62371</v>
      </c>
      <c r="AB1073">
        <v>19385333</v>
      </c>
      <c r="AC1073">
        <v>0</v>
      </c>
      <c r="AD1073" s="8"/>
    </row>
    <row r="1074" spans="1:30" x14ac:dyDescent="0.3">
      <c r="A1074" t="s">
        <v>1627</v>
      </c>
      <c r="B1074">
        <v>1364865</v>
      </c>
      <c r="D1074" t="s">
        <v>7</v>
      </c>
      <c r="E1074">
        <v>945934</v>
      </c>
      <c r="F1074">
        <v>9015884123</v>
      </c>
      <c r="G1074">
        <v>185</v>
      </c>
      <c r="H1074" t="s">
        <v>327</v>
      </c>
      <c r="I1074">
        <v>0</v>
      </c>
      <c r="J1074" t="s">
        <v>328</v>
      </c>
      <c r="K1074" t="s">
        <v>8</v>
      </c>
      <c r="L1074" t="s">
        <v>18</v>
      </c>
      <c r="M1074" t="s">
        <v>9</v>
      </c>
      <c r="N1074" t="s">
        <v>14</v>
      </c>
      <c r="O1074" s="2">
        <v>-0.43</v>
      </c>
      <c r="P1074" s="3">
        <v>0</v>
      </c>
      <c r="Q1074" s="1">
        <v>46033</v>
      </c>
      <c r="R1074" s="1">
        <v>45992</v>
      </c>
      <c r="S1074" s="1">
        <v>46022</v>
      </c>
      <c r="V1074" s="8">
        <v>1</v>
      </c>
      <c r="W1074" t="s">
        <v>24</v>
      </c>
      <c r="X1074" t="s">
        <v>329</v>
      </c>
      <c r="Y1074" t="s">
        <v>10</v>
      </c>
      <c r="Z1074" t="s">
        <v>11</v>
      </c>
      <c r="AA1074">
        <v>62371</v>
      </c>
      <c r="AB1074">
        <v>17031126</v>
      </c>
      <c r="AC1074">
        <v>0</v>
      </c>
      <c r="AD1074" s="8"/>
    </row>
    <row r="1075" spans="1:30" x14ac:dyDescent="0.3">
      <c r="A1075" t="s">
        <v>1627</v>
      </c>
      <c r="B1075">
        <v>1376596</v>
      </c>
      <c r="D1075" t="s">
        <v>7</v>
      </c>
      <c r="E1075">
        <v>945941</v>
      </c>
      <c r="F1075">
        <v>9015884123</v>
      </c>
      <c r="G1075">
        <v>188</v>
      </c>
      <c r="H1075" t="s">
        <v>1548</v>
      </c>
      <c r="I1075">
        <v>0</v>
      </c>
      <c r="J1075" t="s">
        <v>1549</v>
      </c>
      <c r="K1075" t="s">
        <v>8</v>
      </c>
      <c r="L1075" t="s">
        <v>18</v>
      </c>
      <c r="M1075" t="s">
        <v>9</v>
      </c>
      <c r="N1075" t="s">
        <v>14</v>
      </c>
      <c r="O1075" s="2">
        <v>0.36</v>
      </c>
      <c r="P1075" s="3">
        <v>0</v>
      </c>
      <c r="Q1075" s="1">
        <v>46033</v>
      </c>
      <c r="R1075" s="1">
        <v>45992</v>
      </c>
      <c r="S1075" s="1">
        <v>46022</v>
      </c>
      <c r="V1075" s="8">
        <v>1</v>
      </c>
      <c r="W1075" t="s">
        <v>24</v>
      </c>
      <c r="X1075" t="s">
        <v>1550</v>
      </c>
      <c r="Y1075" t="s">
        <v>10</v>
      </c>
      <c r="Z1075" t="s">
        <v>11</v>
      </c>
      <c r="AA1075">
        <v>62371</v>
      </c>
      <c r="AB1075">
        <v>17030471</v>
      </c>
      <c r="AC1075">
        <v>0</v>
      </c>
      <c r="AD1075" s="8"/>
    </row>
    <row r="1076" spans="1:30" x14ac:dyDescent="0.3">
      <c r="A1076" t="s">
        <v>1627</v>
      </c>
      <c r="B1076">
        <v>1377666</v>
      </c>
      <c r="D1076" t="s">
        <v>7</v>
      </c>
      <c r="E1076">
        <v>945950</v>
      </c>
      <c r="F1076">
        <v>9015884123</v>
      </c>
      <c r="G1076">
        <v>193</v>
      </c>
      <c r="H1076" t="s">
        <v>871</v>
      </c>
      <c r="I1076">
        <v>0</v>
      </c>
      <c r="J1076" t="s">
        <v>872</v>
      </c>
      <c r="K1076" t="s">
        <v>8</v>
      </c>
      <c r="L1076" t="s">
        <v>18</v>
      </c>
      <c r="M1076" t="s">
        <v>9</v>
      </c>
      <c r="N1076" t="s">
        <v>14</v>
      </c>
      <c r="O1076" s="2">
        <v>4.97</v>
      </c>
      <c r="P1076" s="3">
        <v>0</v>
      </c>
      <c r="Q1076" s="1">
        <v>46033</v>
      </c>
      <c r="R1076" s="1">
        <v>45992</v>
      </c>
      <c r="S1076" s="1">
        <v>46022</v>
      </c>
      <c r="V1076" s="8">
        <v>1</v>
      </c>
      <c r="W1076" t="s">
        <v>24</v>
      </c>
      <c r="X1076" t="s">
        <v>873</v>
      </c>
      <c r="Y1076" t="s">
        <v>10</v>
      </c>
      <c r="Z1076" t="s">
        <v>11</v>
      </c>
      <c r="AA1076">
        <v>62371</v>
      </c>
      <c r="AB1076">
        <v>19371215</v>
      </c>
      <c r="AC1076">
        <v>0</v>
      </c>
      <c r="AD1076" s="8"/>
    </row>
    <row r="1077" spans="1:30" x14ac:dyDescent="0.3">
      <c r="A1077" t="s">
        <v>1627</v>
      </c>
      <c r="B1077">
        <v>1411961</v>
      </c>
      <c r="D1077" t="s">
        <v>7</v>
      </c>
      <c r="E1077">
        <v>946371</v>
      </c>
      <c r="F1077">
        <v>9015884123</v>
      </c>
      <c r="G1077">
        <v>359</v>
      </c>
      <c r="H1077" t="s">
        <v>1551</v>
      </c>
      <c r="I1077">
        <v>0</v>
      </c>
      <c r="J1077" t="s">
        <v>1552</v>
      </c>
      <c r="K1077" t="s">
        <v>8</v>
      </c>
      <c r="L1077" t="s">
        <v>15</v>
      </c>
      <c r="M1077" t="s">
        <v>9</v>
      </c>
      <c r="N1077" t="s">
        <v>14</v>
      </c>
      <c r="O1077" s="2">
        <v>0</v>
      </c>
      <c r="P1077" s="3">
        <v>32.209000000000003</v>
      </c>
      <c r="Q1077" s="1">
        <v>46033</v>
      </c>
      <c r="R1077" s="1">
        <v>45992</v>
      </c>
      <c r="S1077" s="1">
        <v>46022</v>
      </c>
      <c r="V1077" s="8">
        <v>1</v>
      </c>
      <c r="W1077" t="s">
        <v>24</v>
      </c>
      <c r="X1077" t="s">
        <v>1553</v>
      </c>
      <c r="Y1077" t="s">
        <v>1554</v>
      </c>
      <c r="Z1077" t="s">
        <v>11</v>
      </c>
      <c r="AA1077">
        <v>62371</v>
      </c>
      <c r="AB1077">
        <v>19565052</v>
      </c>
      <c r="AC1077">
        <v>0</v>
      </c>
      <c r="AD1077" s="8"/>
    </row>
    <row r="1078" spans="1:30" x14ac:dyDescent="0.3">
      <c r="A1078" t="s">
        <v>1627</v>
      </c>
      <c r="B1078">
        <v>1399956</v>
      </c>
      <c r="D1078" t="s">
        <v>7</v>
      </c>
      <c r="E1078">
        <v>946099</v>
      </c>
      <c r="F1078">
        <v>9015884123</v>
      </c>
      <c r="G1078">
        <v>253</v>
      </c>
      <c r="H1078" t="s">
        <v>874</v>
      </c>
      <c r="I1078">
        <v>0</v>
      </c>
      <c r="J1078" t="s">
        <v>875</v>
      </c>
      <c r="K1078" t="s">
        <v>8</v>
      </c>
      <c r="L1078" t="s">
        <v>15</v>
      </c>
      <c r="M1078" t="s">
        <v>9</v>
      </c>
      <c r="N1078" t="s">
        <v>14</v>
      </c>
      <c r="O1078" s="2">
        <v>0</v>
      </c>
      <c r="P1078" s="3">
        <v>2399.864</v>
      </c>
      <c r="Q1078" s="1">
        <v>46033</v>
      </c>
      <c r="R1078" s="1">
        <v>45992</v>
      </c>
      <c r="S1078" s="1">
        <v>46022</v>
      </c>
      <c r="V1078" s="8">
        <v>1</v>
      </c>
      <c r="W1078" t="s">
        <v>24</v>
      </c>
      <c r="X1078" t="s">
        <v>876</v>
      </c>
      <c r="Y1078" t="s">
        <v>326</v>
      </c>
      <c r="Z1078" t="s">
        <v>11</v>
      </c>
      <c r="AA1078">
        <v>62371</v>
      </c>
      <c r="AB1078">
        <v>18436958</v>
      </c>
      <c r="AC1078">
        <v>1</v>
      </c>
      <c r="AD1078" s="8"/>
    </row>
    <row r="1079" spans="1:30" x14ac:dyDescent="0.3">
      <c r="A1079" t="s">
        <v>1627</v>
      </c>
      <c r="B1079">
        <v>1415558</v>
      </c>
      <c r="D1079" t="s">
        <v>7</v>
      </c>
      <c r="E1079">
        <v>946503</v>
      </c>
      <c r="F1079">
        <v>9015884123</v>
      </c>
      <c r="G1079">
        <v>406</v>
      </c>
      <c r="H1079" t="s">
        <v>1422</v>
      </c>
      <c r="I1079">
        <v>0</v>
      </c>
      <c r="J1079" t="s">
        <v>1423</v>
      </c>
      <c r="K1079" t="s">
        <v>8</v>
      </c>
      <c r="L1079" t="s">
        <v>67</v>
      </c>
      <c r="M1079" t="s">
        <v>9</v>
      </c>
      <c r="N1079" t="s">
        <v>14</v>
      </c>
      <c r="O1079" s="2">
        <v>36448.639999999999</v>
      </c>
      <c r="P1079" s="3">
        <v>255.90299999999999</v>
      </c>
      <c r="Q1079" s="1">
        <v>46033</v>
      </c>
      <c r="R1079" s="1">
        <v>45992</v>
      </c>
      <c r="S1079" s="1">
        <v>46022</v>
      </c>
      <c r="V1079" s="8">
        <v>1</v>
      </c>
      <c r="W1079" t="s">
        <v>24</v>
      </c>
      <c r="X1079" t="s">
        <v>1424</v>
      </c>
      <c r="Y1079" t="s">
        <v>45</v>
      </c>
      <c r="Z1079" t="s">
        <v>11</v>
      </c>
      <c r="AA1079">
        <v>62371</v>
      </c>
      <c r="AB1079">
        <v>18410124</v>
      </c>
      <c r="AC1079">
        <v>0</v>
      </c>
      <c r="AD1079" s="8"/>
    </row>
    <row r="1080" spans="1:30" x14ac:dyDescent="0.3">
      <c r="A1080" t="s">
        <v>1627</v>
      </c>
      <c r="B1080">
        <v>1408951</v>
      </c>
      <c r="D1080" t="s">
        <v>7</v>
      </c>
      <c r="E1080">
        <v>946367</v>
      </c>
      <c r="F1080">
        <v>9015884123</v>
      </c>
      <c r="G1080">
        <v>356</v>
      </c>
      <c r="H1080" t="s">
        <v>262</v>
      </c>
      <c r="I1080">
        <v>0</v>
      </c>
      <c r="J1080" t="s">
        <v>263</v>
      </c>
      <c r="K1080" t="s">
        <v>8</v>
      </c>
      <c r="L1080" t="s">
        <v>67</v>
      </c>
      <c r="M1080" t="s">
        <v>9</v>
      </c>
      <c r="N1080" t="s">
        <v>14</v>
      </c>
      <c r="O1080" s="2">
        <v>173387.51</v>
      </c>
      <c r="P1080" s="3">
        <v>1217.3399999999999</v>
      </c>
      <c r="Q1080" s="1">
        <v>46033</v>
      </c>
      <c r="R1080" s="1">
        <v>45992</v>
      </c>
      <c r="S1080" s="1">
        <v>46022</v>
      </c>
      <c r="V1080" s="8">
        <v>1</v>
      </c>
      <c r="W1080" t="s">
        <v>24</v>
      </c>
      <c r="X1080" t="s">
        <v>264</v>
      </c>
      <c r="Y1080" t="s">
        <v>17</v>
      </c>
      <c r="Z1080" t="s">
        <v>11</v>
      </c>
      <c r="AA1080">
        <v>62371</v>
      </c>
      <c r="AB1080">
        <v>17736438</v>
      </c>
      <c r="AC1080">
        <v>0</v>
      </c>
      <c r="AD1080" s="8"/>
    </row>
    <row r="1081" spans="1:30" x14ac:dyDescent="0.3">
      <c r="A1081" t="s">
        <v>1627</v>
      </c>
      <c r="B1081">
        <v>1408950</v>
      </c>
      <c r="D1081" t="s">
        <v>7</v>
      </c>
      <c r="E1081">
        <v>946365</v>
      </c>
      <c r="F1081">
        <v>9015884123</v>
      </c>
      <c r="G1081">
        <v>355</v>
      </c>
      <c r="H1081" t="s">
        <v>241</v>
      </c>
      <c r="I1081">
        <v>0</v>
      </c>
      <c r="J1081" t="s">
        <v>242</v>
      </c>
      <c r="K1081" t="s">
        <v>8</v>
      </c>
      <c r="L1081" t="s">
        <v>15</v>
      </c>
      <c r="M1081" t="s">
        <v>9</v>
      </c>
      <c r="N1081" t="s">
        <v>14</v>
      </c>
      <c r="O1081" s="2">
        <v>0</v>
      </c>
      <c r="P1081" s="3">
        <v>3531.3049999999998</v>
      </c>
      <c r="Q1081" s="1">
        <v>46033</v>
      </c>
      <c r="R1081" s="1">
        <v>45992</v>
      </c>
      <c r="S1081" s="1">
        <v>46022</v>
      </c>
      <c r="V1081" s="8">
        <v>1</v>
      </c>
      <c r="W1081" t="s">
        <v>24</v>
      </c>
      <c r="X1081" t="s">
        <v>243</v>
      </c>
      <c r="Y1081" t="s">
        <v>17</v>
      </c>
      <c r="Z1081" t="s">
        <v>11</v>
      </c>
      <c r="AA1081">
        <v>62371</v>
      </c>
      <c r="AB1081">
        <v>18414344</v>
      </c>
      <c r="AC1081">
        <v>0</v>
      </c>
      <c r="AD1081" s="8"/>
    </row>
    <row r="1082" spans="1:30" x14ac:dyDescent="0.3">
      <c r="A1082" t="s">
        <v>1627</v>
      </c>
      <c r="B1082">
        <v>1383087</v>
      </c>
      <c r="D1082" t="s">
        <v>7</v>
      </c>
      <c r="E1082">
        <v>946010</v>
      </c>
      <c r="F1082">
        <v>9015884123</v>
      </c>
      <c r="G1082">
        <v>222</v>
      </c>
      <c r="H1082" t="s">
        <v>1555</v>
      </c>
      <c r="I1082">
        <v>0</v>
      </c>
      <c r="J1082" t="s">
        <v>1556</v>
      </c>
      <c r="K1082" t="s">
        <v>8</v>
      </c>
      <c r="L1082" t="s">
        <v>67</v>
      </c>
      <c r="M1082" t="s">
        <v>9</v>
      </c>
      <c r="N1082" t="s">
        <v>14</v>
      </c>
      <c r="O1082" s="2">
        <v>226496.93</v>
      </c>
      <c r="P1082" s="3">
        <v>1590.2170000000001</v>
      </c>
      <c r="Q1082" s="1">
        <v>46033</v>
      </c>
      <c r="R1082" s="1">
        <v>45992</v>
      </c>
      <c r="S1082" s="1">
        <v>46022</v>
      </c>
      <c r="V1082" s="8">
        <v>1</v>
      </c>
      <c r="W1082" t="s">
        <v>24</v>
      </c>
      <c r="X1082" t="s">
        <v>1557</v>
      </c>
      <c r="Y1082" t="s">
        <v>10</v>
      </c>
      <c r="Z1082" t="s">
        <v>11</v>
      </c>
      <c r="AA1082">
        <v>62371</v>
      </c>
      <c r="AB1082">
        <v>18805630</v>
      </c>
      <c r="AC1082">
        <v>0</v>
      </c>
      <c r="AD1082" s="8"/>
    </row>
    <row r="1083" spans="1:30" x14ac:dyDescent="0.3">
      <c r="A1083" t="s">
        <v>1627</v>
      </c>
      <c r="B1083">
        <v>1383087</v>
      </c>
      <c r="D1083" t="s">
        <v>7</v>
      </c>
      <c r="E1083">
        <v>946010</v>
      </c>
      <c r="F1083">
        <v>9015884123</v>
      </c>
      <c r="G1083">
        <v>222</v>
      </c>
      <c r="H1083" t="s">
        <v>1555</v>
      </c>
      <c r="I1083">
        <v>0</v>
      </c>
      <c r="J1083" t="s">
        <v>1556</v>
      </c>
      <c r="K1083" t="s">
        <v>8</v>
      </c>
      <c r="L1083" t="s">
        <v>18</v>
      </c>
      <c r="M1083" t="s">
        <v>9</v>
      </c>
      <c r="N1083" t="s">
        <v>14</v>
      </c>
      <c r="O1083" s="2">
        <v>-1.43</v>
      </c>
      <c r="P1083" s="3">
        <v>0</v>
      </c>
      <c r="Q1083" s="1">
        <v>46033</v>
      </c>
      <c r="R1083" s="1">
        <v>45992</v>
      </c>
      <c r="S1083" s="1">
        <v>46022</v>
      </c>
      <c r="V1083" s="8">
        <v>1</v>
      </c>
      <c r="W1083" t="s">
        <v>24</v>
      </c>
      <c r="X1083" t="s">
        <v>1557</v>
      </c>
      <c r="Y1083" t="s">
        <v>10</v>
      </c>
      <c r="Z1083" t="s">
        <v>11</v>
      </c>
      <c r="AA1083">
        <v>62371</v>
      </c>
      <c r="AB1083">
        <v>18805630</v>
      </c>
      <c r="AC1083">
        <v>0</v>
      </c>
      <c r="AD1083" s="8"/>
    </row>
    <row r="1084" spans="1:30" x14ac:dyDescent="0.3">
      <c r="A1084" t="s">
        <v>1627</v>
      </c>
      <c r="B1084">
        <v>1444625</v>
      </c>
      <c r="D1084" t="s">
        <v>7</v>
      </c>
      <c r="E1084">
        <v>946871</v>
      </c>
      <c r="F1084">
        <v>9015884123</v>
      </c>
      <c r="G1084">
        <v>523</v>
      </c>
      <c r="H1084" t="s">
        <v>826</v>
      </c>
      <c r="I1084">
        <v>0</v>
      </c>
      <c r="J1084" t="s">
        <v>827</v>
      </c>
      <c r="K1084" t="s">
        <v>8</v>
      </c>
      <c r="L1084" t="s">
        <v>18</v>
      </c>
      <c r="M1084" t="s">
        <v>9</v>
      </c>
      <c r="N1084" t="s">
        <v>14</v>
      </c>
      <c r="O1084" s="2">
        <v>1.97</v>
      </c>
      <c r="P1084" s="3">
        <v>0</v>
      </c>
      <c r="Q1084" s="1">
        <v>46033</v>
      </c>
      <c r="R1084" s="1">
        <v>45992</v>
      </c>
      <c r="S1084" s="1">
        <v>46022</v>
      </c>
      <c r="V1084" s="8">
        <v>1</v>
      </c>
      <c r="W1084" t="s">
        <v>24</v>
      </c>
      <c r="X1084" t="s">
        <v>828</v>
      </c>
      <c r="Y1084" t="s">
        <v>17</v>
      </c>
      <c r="Z1084" t="s">
        <v>11</v>
      </c>
      <c r="AA1084">
        <v>62371</v>
      </c>
      <c r="AB1084">
        <v>19847786</v>
      </c>
      <c r="AC1084">
        <v>1</v>
      </c>
      <c r="AD1084" s="8"/>
    </row>
    <row r="1085" spans="1:30" x14ac:dyDescent="0.3">
      <c r="A1085" t="s">
        <v>1627</v>
      </c>
      <c r="B1085">
        <v>1386094</v>
      </c>
      <c r="D1085" t="s">
        <v>7</v>
      </c>
      <c r="E1085">
        <v>946049</v>
      </c>
      <c r="F1085">
        <v>9015884123</v>
      </c>
      <c r="G1085">
        <v>236</v>
      </c>
      <c r="H1085" t="s">
        <v>886</v>
      </c>
      <c r="I1085">
        <v>0</v>
      </c>
      <c r="J1085" t="s">
        <v>887</v>
      </c>
      <c r="K1085" t="s">
        <v>8</v>
      </c>
      <c r="L1085" t="s">
        <v>67</v>
      </c>
      <c r="M1085" t="s">
        <v>9</v>
      </c>
      <c r="N1085" t="s">
        <v>14</v>
      </c>
      <c r="O1085" s="2">
        <v>877135.94</v>
      </c>
      <c r="P1085" s="3">
        <v>6158.3019999999997</v>
      </c>
      <c r="Q1085" s="1">
        <v>46033</v>
      </c>
      <c r="R1085" s="1">
        <v>45992</v>
      </c>
      <c r="S1085" s="1">
        <v>46022</v>
      </c>
      <c r="V1085" s="8">
        <v>1</v>
      </c>
      <c r="W1085" t="s">
        <v>24</v>
      </c>
      <c r="X1085" t="s">
        <v>888</v>
      </c>
      <c r="Y1085" t="s">
        <v>10</v>
      </c>
      <c r="Z1085" t="s">
        <v>11</v>
      </c>
      <c r="AA1085">
        <v>62371</v>
      </c>
      <c r="AB1085">
        <v>17653498</v>
      </c>
      <c r="AC1085">
        <v>0</v>
      </c>
      <c r="AD1085" s="8"/>
    </row>
    <row r="1086" spans="1:30" x14ac:dyDescent="0.3">
      <c r="A1086" t="s">
        <v>1627</v>
      </c>
      <c r="B1086">
        <v>1303907</v>
      </c>
      <c r="D1086" t="s">
        <v>7</v>
      </c>
      <c r="E1086">
        <v>945160</v>
      </c>
      <c r="F1086">
        <v>9015884123</v>
      </c>
      <c r="G1086">
        <v>32</v>
      </c>
      <c r="H1086" t="s">
        <v>286</v>
      </c>
      <c r="I1086">
        <v>0</v>
      </c>
      <c r="J1086" t="s">
        <v>287</v>
      </c>
      <c r="K1086" t="s">
        <v>8</v>
      </c>
      <c r="L1086" t="s">
        <v>15</v>
      </c>
      <c r="M1086" t="s">
        <v>9</v>
      </c>
      <c r="N1086" t="s">
        <v>14</v>
      </c>
      <c r="O1086" s="2">
        <v>0</v>
      </c>
      <c r="P1086" s="3">
        <v>3061.1410000000001</v>
      </c>
      <c r="Q1086" s="1">
        <v>46033</v>
      </c>
      <c r="R1086" s="1">
        <v>45992</v>
      </c>
      <c r="S1086" s="1">
        <v>46022</v>
      </c>
      <c r="V1086" s="8">
        <v>1</v>
      </c>
      <c r="W1086" t="s">
        <v>24</v>
      </c>
      <c r="X1086" t="s">
        <v>288</v>
      </c>
      <c r="Y1086" t="s">
        <v>17</v>
      </c>
      <c r="Z1086" t="s">
        <v>11</v>
      </c>
      <c r="AA1086">
        <v>62371</v>
      </c>
      <c r="AB1086">
        <v>19971596</v>
      </c>
      <c r="AC1086">
        <v>1</v>
      </c>
      <c r="AD1086" s="8"/>
    </row>
    <row r="1087" spans="1:30" x14ac:dyDescent="0.3">
      <c r="A1087" t="s">
        <v>1627</v>
      </c>
      <c r="B1087">
        <v>1406119</v>
      </c>
      <c r="D1087" t="s">
        <v>7</v>
      </c>
      <c r="E1087">
        <v>946285</v>
      </c>
      <c r="F1087">
        <v>9015884123</v>
      </c>
      <c r="G1087">
        <v>315</v>
      </c>
      <c r="H1087" t="s">
        <v>848</v>
      </c>
      <c r="I1087">
        <v>0</v>
      </c>
      <c r="J1087" t="s">
        <v>849</v>
      </c>
      <c r="K1087" t="s">
        <v>8</v>
      </c>
      <c r="L1087" t="s">
        <v>19</v>
      </c>
      <c r="M1087" t="s">
        <v>9</v>
      </c>
      <c r="N1087" t="s">
        <v>14</v>
      </c>
      <c r="O1087" s="2">
        <v>364</v>
      </c>
      <c r="P1087" s="3">
        <v>2.2309999999999999</v>
      </c>
      <c r="Q1087" s="1">
        <v>46033</v>
      </c>
      <c r="R1087" s="1">
        <v>45992</v>
      </c>
      <c r="S1087" s="1">
        <v>46022</v>
      </c>
      <c r="V1087" s="8">
        <v>1</v>
      </c>
      <c r="W1087" t="s">
        <v>24</v>
      </c>
      <c r="X1087" t="s">
        <v>850</v>
      </c>
      <c r="Y1087" t="s">
        <v>289</v>
      </c>
      <c r="Z1087" t="s">
        <v>11</v>
      </c>
      <c r="AA1087">
        <v>62371</v>
      </c>
      <c r="AB1087">
        <v>18405658</v>
      </c>
      <c r="AC1087">
        <v>1</v>
      </c>
      <c r="AD1087" s="8"/>
    </row>
    <row r="1088" spans="1:30" x14ac:dyDescent="0.3">
      <c r="A1088" t="s">
        <v>1627</v>
      </c>
      <c r="B1088">
        <v>1363524</v>
      </c>
      <c r="D1088" t="s">
        <v>7</v>
      </c>
      <c r="E1088">
        <v>945912</v>
      </c>
      <c r="F1088">
        <v>9015884123</v>
      </c>
      <c r="G1088">
        <v>161</v>
      </c>
      <c r="H1088" t="s">
        <v>1205</v>
      </c>
      <c r="I1088">
        <v>0</v>
      </c>
      <c r="J1088" t="s">
        <v>1206</v>
      </c>
      <c r="K1088" t="s">
        <v>8</v>
      </c>
      <c r="L1088" t="s">
        <v>18</v>
      </c>
      <c r="M1088" t="s">
        <v>9</v>
      </c>
      <c r="N1088" t="s">
        <v>14</v>
      </c>
      <c r="O1088" s="2">
        <v>1.41</v>
      </c>
      <c r="P1088" s="3">
        <v>0</v>
      </c>
      <c r="Q1088" s="1">
        <v>46033</v>
      </c>
      <c r="R1088" s="1">
        <v>45992</v>
      </c>
      <c r="S1088" s="1">
        <v>46022</v>
      </c>
      <c r="V1088" s="8">
        <v>1</v>
      </c>
      <c r="W1088" t="s">
        <v>24</v>
      </c>
      <c r="X1088" t="s">
        <v>1207</v>
      </c>
      <c r="Y1088" t="s">
        <v>10</v>
      </c>
      <c r="Z1088" t="s">
        <v>11</v>
      </c>
      <c r="AA1088">
        <v>62371</v>
      </c>
      <c r="AB1088">
        <v>19398651</v>
      </c>
      <c r="AC1088">
        <v>0</v>
      </c>
      <c r="AD1088" s="8"/>
    </row>
    <row r="1089" spans="1:30" x14ac:dyDescent="0.3">
      <c r="A1089" t="s">
        <v>1627</v>
      </c>
      <c r="B1089">
        <v>1363498</v>
      </c>
      <c r="D1089" t="s">
        <v>7</v>
      </c>
      <c r="E1089">
        <v>945908</v>
      </c>
      <c r="F1089">
        <v>9015884123</v>
      </c>
      <c r="G1089">
        <v>157</v>
      </c>
      <c r="H1089" t="s">
        <v>833</v>
      </c>
      <c r="I1089">
        <v>0</v>
      </c>
      <c r="J1089" t="s">
        <v>834</v>
      </c>
      <c r="K1089" t="s">
        <v>8</v>
      </c>
      <c r="L1089" t="s">
        <v>15</v>
      </c>
      <c r="M1089" t="s">
        <v>9</v>
      </c>
      <c r="N1089" t="s">
        <v>14</v>
      </c>
      <c r="O1089" s="2">
        <v>0</v>
      </c>
      <c r="P1089" s="3">
        <v>7163.9989999999998</v>
      </c>
      <c r="Q1089" s="1">
        <v>46033</v>
      </c>
      <c r="R1089" s="1">
        <v>45992</v>
      </c>
      <c r="S1089" s="1">
        <v>46022</v>
      </c>
      <c r="V1089" s="8">
        <v>1</v>
      </c>
      <c r="W1089" t="s">
        <v>24</v>
      </c>
      <c r="X1089" t="s">
        <v>835</v>
      </c>
      <c r="Y1089" t="s">
        <v>10</v>
      </c>
      <c r="Z1089" t="s">
        <v>11</v>
      </c>
      <c r="AA1089">
        <v>62371</v>
      </c>
      <c r="AB1089">
        <v>21247627</v>
      </c>
      <c r="AC1089">
        <v>1</v>
      </c>
      <c r="AD1089" s="8"/>
    </row>
    <row r="1090" spans="1:30" x14ac:dyDescent="0.3">
      <c r="A1090" t="s">
        <v>1627</v>
      </c>
      <c r="B1090">
        <v>1363498</v>
      </c>
      <c r="D1090" t="s">
        <v>7</v>
      </c>
      <c r="E1090">
        <v>945908</v>
      </c>
      <c r="F1090">
        <v>9015884123</v>
      </c>
      <c r="G1090">
        <v>157</v>
      </c>
      <c r="H1090" t="s">
        <v>833</v>
      </c>
      <c r="I1090">
        <v>0</v>
      </c>
      <c r="J1090" t="s">
        <v>834</v>
      </c>
      <c r="K1090" t="s">
        <v>8</v>
      </c>
      <c r="L1090" t="s">
        <v>67</v>
      </c>
      <c r="M1090" t="s">
        <v>9</v>
      </c>
      <c r="N1090" t="s">
        <v>14</v>
      </c>
      <c r="O1090" s="2">
        <v>773681.45</v>
      </c>
      <c r="P1090" s="3">
        <v>7163.9989999999998</v>
      </c>
      <c r="Q1090" s="1">
        <v>46033</v>
      </c>
      <c r="R1090" s="1">
        <v>45992</v>
      </c>
      <c r="S1090" s="1">
        <v>46022</v>
      </c>
      <c r="V1090" s="8">
        <v>1</v>
      </c>
      <c r="W1090" t="s">
        <v>24</v>
      </c>
      <c r="X1090" t="s">
        <v>835</v>
      </c>
      <c r="Y1090" t="s">
        <v>10</v>
      </c>
      <c r="Z1090" t="s">
        <v>11</v>
      </c>
      <c r="AA1090">
        <v>62371</v>
      </c>
      <c r="AB1090">
        <v>21247627</v>
      </c>
      <c r="AC1090">
        <v>1</v>
      </c>
      <c r="AD1090" s="8"/>
    </row>
    <row r="1091" spans="1:30" x14ac:dyDescent="0.3">
      <c r="A1091" t="s">
        <v>1627</v>
      </c>
      <c r="B1091">
        <v>1363557</v>
      </c>
      <c r="D1091" t="s">
        <v>7</v>
      </c>
      <c r="E1091">
        <v>945926</v>
      </c>
      <c r="F1091">
        <v>9015884123</v>
      </c>
      <c r="G1091">
        <v>177</v>
      </c>
      <c r="H1091" t="s">
        <v>845</v>
      </c>
      <c r="I1091">
        <v>0</v>
      </c>
      <c r="J1091" t="s">
        <v>846</v>
      </c>
      <c r="K1091" t="s">
        <v>8</v>
      </c>
      <c r="L1091" t="s">
        <v>18</v>
      </c>
      <c r="M1091" t="s">
        <v>9</v>
      </c>
      <c r="N1091" t="s">
        <v>14</v>
      </c>
      <c r="O1091" s="2">
        <v>-2.85</v>
      </c>
      <c r="P1091" s="3">
        <v>0</v>
      </c>
      <c r="Q1091" s="1">
        <v>46033</v>
      </c>
      <c r="R1091" s="1">
        <v>45992</v>
      </c>
      <c r="S1091" s="1">
        <v>46022</v>
      </c>
      <c r="V1091" s="8">
        <v>1</v>
      </c>
      <c r="W1091" t="s">
        <v>24</v>
      </c>
      <c r="X1091" t="s">
        <v>847</v>
      </c>
      <c r="Y1091" t="s">
        <v>10</v>
      </c>
      <c r="Z1091" t="s">
        <v>11</v>
      </c>
      <c r="AA1091">
        <v>62371</v>
      </c>
      <c r="AB1091">
        <v>17682333</v>
      </c>
      <c r="AC1091">
        <v>0</v>
      </c>
      <c r="AD1091" s="8"/>
    </row>
    <row r="1092" spans="1:30" x14ac:dyDescent="0.3">
      <c r="A1092" t="s">
        <v>1627</v>
      </c>
      <c r="B1092">
        <v>1408311</v>
      </c>
      <c r="D1092" t="s">
        <v>7</v>
      </c>
      <c r="E1092">
        <v>946329</v>
      </c>
      <c r="F1092">
        <v>9015884123</v>
      </c>
      <c r="G1092">
        <v>337</v>
      </c>
      <c r="H1092" t="s">
        <v>304</v>
      </c>
      <c r="I1092">
        <v>0</v>
      </c>
      <c r="J1092" t="s">
        <v>305</v>
      </c>
      <c r="K1092" t="s">
        <v>8</v>
      </c>
      <c r="L1092" t="s">
        <v>15</v>
      </c>
      <c r="M1092" t="s">
        <v>9</v>
      </c>
      <c r="N1092" t="s">
        <v>14</v>
      </c>
      <c r="O1092" s="2">
        <v>0</v>
      </c>
      <c r="P1092" s="3">
        <v>2421.2550000000001</v>
      </c>
      <c r="Q1092" s="1">
        <v>46033</v>
      </c>
      <c r="R1092" s="1">
        <v>45992</v>
      </c>
      <c r="S1092" s="1">
        <v>46022</v>
      </c>
      <c r="V1092" s="8">
        <v>1</v>
      </c>
      <c r="W1092" t="s">
        <v>24</v>
      </c>
      <c r="X1092" t="s">
        <v>306</v>
      </c>
      <c r="Y1092" t="s">
        <v>39</v>
      </c>
      <c r="Z1092" t="s">
        <v>11</v>
      </c>
      <c r="AA1092">
        <v>62371</v>
      </c>
      <c r="AB1092">
        <v>17901029</v>
      </c>
      <c r="AC1092">
        <v>0</v>
      </c>
      <c r="AD1092" s="8"/>
    </row>
    <row r="1093" spans="1:30" x14ac:dyDescent="0.3">
      <c r="A1093" t="s">
        <v>1627</v>
      </c>
      <c r="B1093">
        <v>1408949</v>
      </c>
      <c r="D1093" t="s">
        <v>7</v>
      </c>
      <c r="E1093">
        <v>946361</v>
      </c>
      <c r="F1093">
        <v>9015884123</v>
      </c>
      <c r="G1093">
        <v>353</v>
      </c>
      <c r="H1093" t="s">
        <v>307</v>
      </c>
      <c r="I1093">
        <v>0</v>
      </c>
      <c r="J1093" t="s">
        <v>308</v>
      </c>
      <c r="K1093" t="s">
        <v>8</v>
      </c>
      <c r="L1093" t="s">
        <v>19</v>
      </c>
      <c r="M1093" t="s">
        <v>9</v>
      </c>
      <c r="N1093" t="s">
        <v>14</v>
      </c>
      <c r="O1093" s="2">
        <v>336.3</v>
      </c>
      <c r="P1093" s="3">
        <v>1.702</v>
      </c>
      <c r="Q1093" s="1">
        <v>46033</v>
      </c>
      <c r="R1093" s="1">
        <v>45992</v>
      </c>
      <c r="S1093" s="1">
        <v>46022</v>
      </c>
      <c r="V1093" s="8">
        <v>1</v>
      </c>
      <c r="W1093" t="s">
        <v>24</v>
      </c>
      <c r="X1093" t="s">
        <v>309</v>
      </c>
      <c r="Y1093" t="s">
        <v>310</v>
      </c>
      <c r="Z1093" t="s">
        <v>11</v>
      </c>
      <c r="AA1093">
        <v>62371</v>
      </c>
      <c r="AB1093">
        <v>17797455</v>
      </c>
      <c r="AC1093">
        <v>0</v>
      </c>
      <c r="AD1093" s="8"/>
    </row>
    <row r="1094" spans="1:30" x14ac:dyDescent="0.3">
      <c r="A1094" t="s">
        <v>1627</v>
      </c>
      <c r="B1094">
        <v>1418638</v>
      </c>
      <c r="D1094" t="s">
        <v>7</v>
      </c>
      <c r="E1094">
        <v>946651</v>
      </c>
      <c r="F1094">
        <v>9015884123</v>
      </c>
      <c r="G1094">
        <v>452</v>
      </c>
      <c r="H1094" t="s">
        <v>1419</v>
      </c>
      <c r="I1094">
        <v>0</v>
      </c>
      <c r="J1094" t="s">
        <v>1420</v>
      </c>
      <c r="K1094" t="s">
        <v>8</v>
      </c>
      <c r="L1094" t="s">
        <v>19</v>
      </c>
      <c r="M1094" t="s">
        <v>9</v>
      </c>
      <c r="N1094" t="s">
        <v>14</v>
      </c>
      <c r="O1094" s="2">
        <v>8871.1200000000008</v>
      </c>
      <c r="P1094" s="3">
        <v>54.372</v>
      </c>
      <c r="Q1094" s="1">
        <v>46033</v>
      </c>
      <c r="R1094" s="1">
        <v>45992</v>
      </c>
      <c r="S1094" s="1">
        <v>46022</v>
      </c>
      <c r="V1094" s="8">
        <v>1</v>
      </c>
      <c r="W1094" t="s">
        <v>24</v>
      </c>
      <c r="X1094" t="s">
        <v>1421</v>
      </c>
      <c r="Y1094" t="s">
        <v>37</v>
      </c>
      <c r="Z1094" t="s">
        <v>11</v>
      </c>
      <c r="AA1094">
        <v>62371</v>
      </c>
      <c r="AB1094">
        <v>21491085</v>
      </c>
      <c r="AC1094">
        <v>1</v>
      </c>
      <c r="AD1094" s="8"/>
    </row>
    <row r="1095" spans="1:30" x14ac:dyDescent="0.3">
      <c r="A1095" t="s">
        <v>1627</v>
      </c>
      <c r="B1095">
        <v>1450127</v>
      </c>
      <c r="D1095" t="s">
        <v>7</v>
      </c>
      <c r="E1095">
        <v>949232</v>
      </c>
      <c r="F1095">
        <v>9015884123</v>
      </c>
      <c r="G1095">
        <v>538</v>
      </c>
      <c r="H1095" t="s">
        <v>865</v>
      </c>
      <c r="I1095">
        <v>0</v>
      </c>
      <c r="J1095" t="s">
        <v>866</v>
      </c>
      <c r="K1095" t="s">
        <v>8</v>
      </c>
      <c r="L1095" t="s">
        <v>15</v>
      </c>
      <c r="M1095" t="s">
        <v>9</v>
      </c>
      <c r="N1095" t="s">
        <v>14</v>
      </c>
      <c r="O1095" s="2">
        <v>0</v>
      </c>
      <c r="P1095" s="3">
        <v>806.60199999999998</v>
      </c>
      <c r="Q1095" s="1">
        <v>46035</v>
      </c>
      <c r="R1095" s="1">
        <v>46020</v>
      </c>
      <c r="S1095" s="1">
        <v>46022</v>
      </c>
      <c r="V1095" s="8">
        <v>2</v>
      </c>
      <c r="W1095" t="s">
        <v>24</v>
      </c>
      <c r="X1095" t="s">
        <v>867</v>
      </c>
      <c r="Y1095" t="s">
        <v>37</v>
      </c>
      <c r="Z1095" t="s">
        <v>11</v>
      </c>
      <c r="AA1095">
        <v>62371</v>
      </c>
      <c r="AB1095">
        <v>21142284</v>
      </c>
      <c r="AC1095">
        <v>0</v>
      </c>
      <c r="AD1095" s="8"/>
    </row>
    <row r="1096" spans="1:30" x14ac:dyDescent="0.3">
      <c r="A1096" t="s">
        <v>1627</v>
      </c>
      <c r="B1096">
        <v>1376593</v>
      </c>
      <c r="D1096" t="s">
        <v>7</v>
      </c>
      <c r="E1096">
        <v>945938</v>
      </c>
      <c r="F1096">
        <v>9015884123</v>
      </c>
      <c r="G1096">
        <v>187</v>
      </c>
      <c r="H1096" t="s">
        <v>855</v>
      </c>
      <c r="I1096">
        <v>0</v>
      </c>
      <c r="J1096" t="s">
        <v>856</v>
      </c>
      <c r="K1096" t="s">
        <v>8</v>
      </c>
      <c r="L1096" t="s">
        <v>67</v>
      </c>
      <c r="M1096" t="s">
        <v>9</v>
      </c>
      <c r="N1096" t="s">
        <v>14</v>
      </c>
      <c r="O1096" s="2">
        <v>3073058.12</v>
      </c>
      <c r="P1096" s="3">
        <v>37401.47</v>
      </c>
      <c r="Q1096" s="1">
        <v>46033</v>
      </c>
      <c r="R1096" s="1">
        <v>45992</v>
      </c>
      <c r="S1096" s="1">
        <v>46022</v>
      </c>
      <c r="V1096" s="8">
        <v>2</v>
      </c>
      <c r="W1096" t="s">
        <v>24</v>
      </c>
      <c r="X1096" t="s">
        <v>857</v>
      </c>
      <c r="Y1096" t="s">
        <v>10</v>
      </c>
      <c r="Z1096" t="s">
        <v>11</v>
      </c>
      <c r="AA1096">
        <v>62371</v>
      </c>
      <c r="AB1096">
        <v>19812239</v>
      </c>
      <c r="AC1096">
        <v>1</v>
      </c>
      <c r="AD1096" s="8"/>
    </row>
    <row r="1097" spans="1:30" x14ac:dyDescent="0.3">
      <c r="A1097" t="s">
        <v>1627</v>
      </c>
      <c r="B1097">
        <v>1411961</v>
      </c>
      <c r="D1097" t="s">
        <v>7</v>
      </c>
      <c r="E1097">
        <v>946371</v>
      </c>
      <c r="F1097">
        <v>9015884123</v>
      </c>
      <c r="G1097">
        <v>359</v>
      </c>
      <c r="H1097" t="s">
        <v>1551</v>
      </c>
      <c r="I1097">
        <v>0</v>
      </c>
      <c r="J1097" t="s">
        <v>1552</v>
      </c>
      <c r="K1097" t="s">
        <v>8</v>
      </c>
      <c r="L1097" t="s">
        <v>67</v>
      </c>
      <c r="M1097" t="s">
        <v>9</v>
      </c>
      <c r="N1097" t="s">
        <v>14</v>
      </c>
      <c r="O1097" s="2">
        <v>4587.57</v>
      </c>
      <c r="P1097" s="3">
        <v>32.209000000000003</v>
      </c>
      <c r="Q1097" s="1">
        <v>46033</v>
      </c>
      <c r="R1097" s="1">
        <v>45992</v>
      </c>
      <c r="S1097" s="1">
        <v>46022</v>
      </c>
      <c r="V1097" s="8">
        <v>1</v>
      </c>
      <c r="W1097" t="s">
        <v>24</v>
      </c>
      <c r="X1097" t="s">
        <v>1553</v>
      </c>
      <c r="Y1097" t="s">
        <v>1554</v>
      </c>
      <c r="Z1097" t="s">
        <v>11</v>
      </c>
      <c r="AA1097">
        <v>62371</v>
      </c>
      <c r="AB1097">
        <v>19565052</v>
      </c>
      <c r="AC1097">
        <v>0</v>
      </c>
      <c r="AD1097" s="8"/>
    </row>
    <row r="1098" spans="1:30" x14ac:dyDescent="0.3">
      <c r="A1098" t="s">
        <v>1627</v>
      </c>
      <c r="B1098">
        <v>1420049</v>
      </c>
      <c r="D1098" t="s">
        <v>7</v>
      </c>
      <c r="E1098">
        <v>946668</v>
      </c>
      <c r="F1098">
        <v>9015884123</v>
      </c>
      <c r="G1098">
        <v>458</v>
      </c>
      <c r="H1098" t="s">
        <v>343</v>
      </c>
      <c r="I1098">
        <v>0</v>
      </c>
      <c r="J1098" t="s">
        <v>344</v>
      </c>
      <c r="K1098" t="s">
        <v>8</v>
      </c>
      <c r="L1098" t="s">
        <v>19</v>
      </c>
      <c r="M1098" t="s">
        <v>9</v>
      </c>
      <c r="N1098" t="s">
        <v>14</v>
      </c>
      <c r="O1098" s="2">
        <v>6293.3</v>
      </c>
      <c r="P1098" s="3">
        <v>31.85</v>
      </c>
      <c r="Q1098" s="1">
        <v>46033</v>
      </c>
      <c r="R1098" s="1">
        <v>45992</v>
      </c>
      <c r="S1098" s="1">
        <v>46022</v>
      </c>
      <c r="V1098" s="8">
        <v>1</v>
      </c>
      <c r="W1098" t="s">
        <v>24</v>
      </c>
      <c r="X1098" t="s">
        <v>345</v>
      </c>
      <c r="Y1098" t="s">
        <v>41</v>
      </c>
      <c r="Z1098" t="s">
        <v>11</v>
      </c>
      <c r="AA1098">
        <v>62371</v>
      </c>
      <c r="AB1098">
        <v>17723762</v>
      </c>
      <c r="AC1098">
        <v>0</v>
      </c>
      <c r="AD1098" s="8"/>
    </row>
    <row r="1099" spans="1:30" x14ac:dyDescent="0.3">
      <c r="A1099" t="s">
        <v>1627</v>
      </c>
      <c r="B1099">
        <v>1360642</v>
      </c>
      <c r="D1099" t="s">
        <v>7</v>
      </c>
      <c r="E1099">
        <v>945492</v>
      </c>
      <c r="F1099">
        <v>9015884123</v>
      </c>
      <c r="G1099">
        <v>144</v>
      </c>
      <c r="H1099" t="s">
        <v>340</v>
      </c>
      <c r="I1099">
        <v>0</v>
      </c>
      <c r="J1099" t="s">
        <v>341</v>
      </c>
      <c r="K1099" t="s">
        <v>8</v>
      </c>
      <c r="L1099" t="s">
        <v>18</v>
      </c>
      <c r="M1099" t="s">
        <v>9</v>
      </c>
      <c r="N1099" t="s">
        <v>14</v>
      </c>
      <c r="O1099" s="2">
        <v>-1.54</v>
      </c>
      <c r="P1099" s="3">
        <v>0</v>
      </c>
      <c r="Q1099" s="1">
        <v>46033</v>
      </c>
      <c r="R1099" s="1">
        <v>45992</v>
      </c>
      <c r="S1099" s="1">
        <v>46022</v>
      </c>
      <c r="V1099" s="8">
        <v>1</v>
      </c>
      <c r="W1099" t="s">
        <v>24</v>
      </c>
      <c r="X1099" t="s">
        <v>342</v>
      </c>
      <c r="Y1099" t="s">
        <v>45</v>
      </c>
      <c r="Z1099" t="s">
        <v>11</v>
      </c>
      <c r="AA1099">
        <v>62371</v>
      </c>
      <c r="AB1099">
        <v>18375411</v>
      </c>
      <c r="AC1099">
        <v>0</v>
      </c>
      <c r="AD1099" s="8"/>
    </row>
    <row r="1100" spans="1:30" x14ac:dyDescent="0.3">
      <c r="A1100" t="s">
        <v>1627</v>
      </c>
      <c r="B1100">
        <v>1364682</v>
      </c>
      <c r="D1100" t="s">
        <v>7</v>
      </c>
      <c r="E1100">
        <v>945928</v>
      </c>
      <c r="F1100">
        <v>9015884123</v>
      </c>
      <c r="G1100">
        <v>179</v>
      </c>
      <c r="H1100" t="s">
        <v>357</v>
      </c>
      <c r="I1100">
        <v>0</v>
      </c>
      <c r="J1100" t="s">
        <v>358</v>
      </c>
      <c r="K1100" t="s">
        <v>8</v>
      </c>
      <c r="L1100" t="s">
        <v>18</v>
      </c>
      <c r="M1100" t="s">
        <v>9</v>
      </c>
      <c r="N1100" t="s">
        <v>14</v>
      </c>
      <c r="O1100" s="2">
        <v>1.32</v>
      </c>
      <c r="P1100" s="3">
        <v>0</v>
      </c>
      <c r="Q1100" s="1">
        <v>46033</v>
      </c>
      <c r="R1100" s="1">
        <v>45992</v>
      </c>
      <c r="S1100" s="1">
        <v>46022</v>
      </c>
      <c r="V1100" s="8">
        <v>1</v>
      </c>
      <c r="W1100" t="s">
        <v>24</v>
      </c>
      <c r="X1100" t="s">
        <v>359</v>
      </c>
      <c r="Y1100" t="s">
        <v>46</v>
      </c>
      <c r="Z1100" t="s">
        <v>11</v>
      </c>
      <c r="AA1100">
        <v>62371</v>
      </c>
      <c r="AB1100">
        <v>18120873</v>
      </c>
      <c r="AC1100">
        <v>0</v>
      </c>
      <c r="AD1100" s="8"/>
    </row>
    <row r="1101" spans="1:30" x14ac:dyDescent="0.3">
      <c r="A1101" t="s">
        <v>1627</v>
      </c>
      <c r="B1101">
        <v>1383084</v>
      </c>
      <c r="D1101" t="s">
        <v>7</v>
      </c>
      <c r="E1101">
        <v>946003</v>
      </c>
      <c r="F1101">
        <v>9015884123</v>
      </c>
      <c r="G1101">
        <v>219</v>
      </c>
      <c r="H1101" t="s">
        <v>877</v>
      </c>
      <c r="I1101">
        <v>0</v>
      </c>
      <c r="J1101" t="s">
        <v>878</v>
      </c>
      <c r="K1101" t="s">
        <v>8</v>
      </c>
      <c r="L1101" t="s">
        <v>18</v>
      </c>
      <c r="M1101" t="s">
        <v>9</v>
      </c>
      <c r="N1101" t="s">
        <v>14</v>
      </c>
      <c r="O1101" s="2">
        <v>-4.75</v>
      </c>
      <c r="P1101" s="3">
        <v>0</v>
      </c>
      <c r="Q1101" s="1">
        <v>46033</v>
      </c>
      <c r="R1101" s="1">
        <v>45992</v>
      </c>
      <c r="S1101" s="1">
        <v>46022</v>
      </c>
      <c r="V1101" s="8">
        <v>1</v>
      </c>
      <c r="W1101" t="s">
        <v>24</v>
      </c>
      <c r="X1101" t="s">
        <v>879</v>
      </c>
      <c r="Y1101" t="s">
        <v>10</v>
      </c>
      <c r="Z1101" t="s">
        <v>11</v>
      </c>
      <c r="AA1101">
        <v>62371</v>
      </c>
      <c r="AB1101">
        <v>19781239</v>
      </c>
      <c r="AC1101">
        <v>1</v>
      </c>
      <c r="AD1101" s="8"/>
    </row>
    <row r="1102" spans="1:30" x14ac:dyDescent="0.3">
      <c r="A1102" t="s">
        <v>1627</v>
      </c>
      <c r="B1102">
        <v>1379385</v>
      </c>
      <c r="D1102" t="s">
        <v>7</v>
      </c>
      <c r="E1102">
        <v>945969</v>
      </c>
      <c r="F1102">
        <v>9015884123</v>
      </c>
      <c r="G1102">
        <v>203</v>
      </c>
      <c r="H1102" t="s">
        <v>1214</v>
      </c>
      <c r="I1102">
        <v>0</v>
      </c>
      <c r="J1102" t="s">
        <v>1215</v>
      </c>
      <c r="K1102" t="s">
        <v>8</v>
      </c>
      <c r="L1102" t="s">
        <v>19</v>
      </c>
      <c r="M1102" t="s">
        <v>9</v>
      </c>
      <c r="N1102" t="s">
        <v>14</v>
      </c>
      <c r="O1102" s="2">
        <v>0.16</v>
      </c>
      <c r="P1102" s="3">
        <v>1E-3</v>
      </c>
      <c r="Q1102" s="1">
        <v>46033</v>
      </c>
      <c r="R1102" s="1">
        <v>45992</v>
      </c>
      <c r="S1102" s="1">
        <v>46022</v>
      </c>
      <c r="V1102" s="8">
        <v>1</v>
      </c>
      <c r="W1102" t="s">
        <v>24</v>
      </c>
      <c r="X1102" t="s">
        <v>1216</v>
      </c>
      <c r="Y1102" t="s">
        <v>10</v>
      </c>
      <c r="Z1102" t="s">
        <v>11</v>
      </c>
      <c r="AA1102">
        <v>62371</v>
      </c>
      <c r="AB1102">
        <v>19369206</v>
      </c>
      <c r="AC1102">
        <v>1</v>
      </c>
      <c r="AD1102" s="8"/>
    </row>
    <row r="1103" spans="1:30" x14ac:dyDescent="0.3">
      <c r="A1103" t="s">
        <v>1627</v>
      </c>
      <c r="B1103">
        <v>1395796</v>
      </c>
      <c r="D1103" t="s">
        <v>7</v>
      </c>
      <c r="E1103">
        <v>946064</v>
      </c>
      <c r="F1103">
        <v>9015884123</v>
      </c>
      <c r="G1103">
        <v>243</v>
      </c>
      <c r="H1103" t="s">
        <v>1425</v>
      </c>
      <c r="I1103">
        <v>0</v>
      </c>
      <c r="J1103" t="s">
        <v>1426</v>
      </c>
      <c r="K1103" t="s">
        <v>8</v>
      </c>
      <c r="L1103" t="s">
        <v>67</v>
      </c>
      <c r="M1103" t="s">
        <v>9</v>
      </c>
      <c r="N1103" t="s">
        <v>14</v>
      </c>
      <c r="O1103" s="2">
        <v>241071.14</v>
      </c>
      <c r="P1103" s="3">
        <v>2232.2280000000001</v>
      </c>
      <c r="Q1103" s="1">
        <v>46033</v>
      </c>
      <c r="R1103" s="1">
        <v>45992</v>
      </c>
      <c r="S1103" s="1">
        <v>46022</v>
      </c>
      <c r="V1103" s="8">
        <v>1</v>
      </c>
      <c r="W1103" t="s">
        <v>24</v>
      </c>
      <c r="X1103" t="s">
        <v>1427</v>
      </c>
      <c r="Y1103" t="s">
        <v>10</v>
      </c>
      <c r="Z1103" t="s">
        <v>11</v>
      </c>
      <c r="AA1103">
        <v>62371</v>
      </c>
      <c r="AB1103">
        <v>17032604</v>
      </c>
      <c r="AC1103">
        <v>1</v>
      </c>
      <c r="AD1103" s="8"/>
    </row>
    <row r="1104" spans="1:30" x14ac:dyDescent="0.3">
      <c r="A1104" t="s">
        <v>1627</v>
      </c>
      <c r="B1104">
        <v>1395796</v>
      </c>
      <c r="D1104" t="s">
        <v>7</v>
      </c>
      <c r="E1104">
        <v>946064</v>
      </c>
      <c r="F1104">
        <v>9015884123</v>
      </c>
      <c r="G1104">
        <v>243</v>
      </c>
      <c r="H1104" t="s">
        <v>1425</v>
      </c>
      <c r="I1104">
        <v>0</v>
      </c>
      <c r="J1104" t="s">
        <v>1426</v>
      </c>
      <c r="K1104" t="s">
        <v>8</v>
      </c>
      <c r="L1104" t="s">
        <v>18</v>
      </c>
      <c r="M1104" t="s">
        <v>9</v>
      </c>
      <c r="N1104" t="s">
        <v>14</v>
      </c>
      <c r="O1104" s="2">
        <v>-1.51</v>
      </c>
      <c r="P1104" s="3">
        <v>0</v>
      </c>
      <c r="Q1104" s="1">
        <v>46033</v>
      </c>
      <c r="R1104" s="1">
        <v>45992</v>
      </c>
      <c r="S1104" s="1">
        <v>46022</v>
      </c>
      <c r="V1104" s="8">
        <v>1</v>
      </c>
      <c r="W1104" t="s">
        <v>24</v>
      </c>
      <c r="X1104" t="s">
        <v>1427</v>
      </c>
      <c r="Y1104" t="s">
        <v>10</v>
      </c>
      <c r="Z1104" t="s">
        <v>11</v>
      </c>
      <c r="AA1104">
        <v>62371</v>
      </c>
      <c r="AB1104">
        <v>17032604</v>
      </c>
      <c r="AC1104">
        <v>1</v>
      </c>
      <c r="AD1104" s="8"/>
    </row>
    <row r="1105" spans="1:30" x14ac:dyDescent="0.3">
      <c r="A1105" t="s">
        <v>1627</v>
      </c>
      <c r="B1105">
        <v>1395801</v>
      </c>
      <c r="D1105" t="s">
        <v>7</v>
      </c>
      <c r="E1105">
        <v>946086</v>
      </c>
      <c r="F1105">
        <v>9015884123</v>
      </c>
      <c r="G1105">
        <v>248</v>
      </c>
      <c r="H1105" t="s">
        <v>376</v>
      </c>
      <c r="I1105">
        <v>0</v>
      </c>
      <c r="J1105" t="s">
        <v>377</v>
      </c>
      <c r="K1105" t="s">
        <v>8</v>
      </c>
      <c r="L1105" t="s">
        <v>18</v>
      </c>
      <c r="M1105" t="s">
        <v>9</v>
      </c>
      <c r="N1105" t="s">
        <v>14</v>
      </c>
      <c r="O1105" s="2">
        <v>-2.66</v>
      </c>
      <c r="P1105" s="3">
        <v>0</v>
      </c>
      <c r="Q1105" s="1">
        <v>46033</v>
      </c>
      <c r="R1105" s="1">
        <v>45992</v>
      </c>
      <c r="S1105" s="1">
        <v>46022</v>
      </c>
      <c r="V1105" s="8">
        <v>1</v>
      </c>
      <c r="W1105" t="s">
        <v>24</v>
      </c>
      <c r="X1105" t="s">
        <v>378</v>
      </c>
      <c r="Y1105" t="s">
        <v>10</v>
      </c>
      <c r="Z1105" t="s">
        <v>11</v>
      </c>
      <c r="AA1105">
        <v>62371</v>
      </c>
      <c r="AB1105">
        <v>19392498</v>
      </c>
      <c r="AC1105">
        <v>0</v>
      </c>
      <c r="AD1105" s="8"/>
    </row>
    <row r="1106" spans="1:30" x14ac:dyDescent="0.3">
      <c r="A1106" t="s">
        <v>1627</v>
      </c>
      <c r="B1106">
        <v>1386094</v>
      </c>
      <c r="D1106" t="s">
        <v>7</v>
      </c>
      <c r="E1106">
        <v>946049</v>
      </c>
      <c r="F1106">
        <v>9015884123</v>
      </c>
      <c r="G1106">
        <v>236</v>
      </c>
      <c r="H1106" t="s">
        <v>886</v>
      </c>
      <c r="I1106">
        <v>0</v>
      </c>
      <c r="J1106" t="s">
        <v>887</v>
      </c>
      <c r="K1106" t="s">
        <v>8</v>
      </c>
      <c r="L1106" t="s">
        <v>19</v>
      </c>
      <c r="M1106" t="s">
        <v>9</v>
      </c>
      <c r="N1106" t="s">
        <v>14</v>
      </c>
      <c r="O1106" s="2">
        <v>5088.38</v>
      </c>
      <c r="P1106" s="3">
        <v>25.751999999999999</v>
      </c>
      <c r="Q1106" s="1">
        <v>46033</v>
      </c>
      <c r="R1106" s="1">
        <v>45992</v>
      </c>
      <c r="S1106" s="1">
        <v>46022</v>
      </c>
      <c r="V1106" s="8">
        <v>1</v>
      </c>
      <c r="W1106" t="s">
        <v>24</v>
      </c>
      <c r="X1106" t="s">
        <v>888</v>
      </c>
      <c r="Y1106" t="s">
        <v>10</v>
      </c>
      <c r="Z1106" t="s">
        <v>11</v>
      </c>
      <c r="AA1106">
        <v>62371</v>
      </c>
      <c r="AB1106">
        <v>17653498</v>
      </c>
      <c r="AC1106">
        <v>0</v>
      </c>
      <c r="AD1106" s="8"/>
    </row>
    <row r="1107" spans="1:30" x14ac:dyDescent="0.3">
      <c r="A1107" t="s">
        <v>1627</v>
      </c>
      <c r="B1107">
        <v>1400918</v>
      </c>
      <c r="D1107" t="s">
        <v>7</v>
      </c>
      <c r="E1107">
        <v>946102</v>
      </c>
      <c r="F1107">
        <v>9015884123</v>
      </c>
      <c r="G1107">
        <v>254</v>
      </c>
      <c r="H1107" t="s">
        <v>1558</v>
      </c>
      <c r="I1107">
        <v>0</v>
      </c>
      <c r="J1107" t="s">
        <v>1559</v>
      </c>
      <c r="K1107" t="s">
        <v>8</v>
      </c>
      <c r="L1107" t="s">
        <v>15</v>
      </c>
      <c r="M1107" t="s">
        <v>9</v>
      </c>
      <c r="N1107" t="s">
        <v>14</v>
      </c>
      <c r="O1107" s="2">
        <v>0</v>
      </c>
      <c r="P1107" s="3">
        <v>1522.038</v>
      </c>
      <c r="Q1107" s="1">
        <v>46033</v>
      </c>
      <c r="R1107" s="1">
        <v>45992</v>
      </c>
      <c r="S1107" s="1">
        <v>46022</v>
      </c>
      <c r="V1107" s="8">
        <v>1</v>
      </c>
      <c r="W1107" t="s">
        <v>24</v>
      </c>
      <c r="X1107" t="s">
        <v>1560</v>
      </c>
      <c r="Y1107" t="s">
        <v>10</v>
      </c>
      <c r="Z1107" t="s">
        <v>11</v>
      </c>
      <c r="AA1107">
        <v>62371</v>
      </c>
      <c r="AB1107">
        <v>18604234</v>
      </c>
      <c r="AC1107">
        <v>1</v>
      </c>
      <c r="AD1107" s="8"/>
    </row>
    <row r="1108" spans="1:30" x14ac:dyDescent="0.3">
      <c r="A1108" t="s">
        <v>1627</v>
      </c>
      <c r="B1108">
        <v>1403729</v>
      </c>
      <c r="D1108" t="s">
        <v>7</v>
      </c>
      <c r="E1108">
        <v>946162</v>
      </c>
      <c r="F1108">
        <v>9015884123</v>
      </c>
      <c r="G1108">
        <v>272</v>
      </c>
      <c r="H1108" t="s">
        <v>1434</v>
      </c>
      <c r="I1108">
        <v>0</v>
      </c>
      <c r="J1108" t="s">
        <v>1435</v>
      </c>
      <c r="K1108" t="s">
        <v>8</v>
      </c>
      <c r="L1108" t="s">
        <v>19</v>
      </c>
      <c r="M1108" t="s">
        <v>9</v>
      </c>
      <c r="N1108" t="s">
        <v>14</v>
      </c>
      <c r="O1108" s="2">
        <v>10947.57</v>
      </c>
      <c r="P1108" s="3">
        <v>55.405000000000001</v>
      </c>
      <c r="Q1108" s="1">
        <v>46033</v>
      </c>
      <c r="R1108" s="1">
        <v>45992</v>
      </c>
      <c r="S1108" s="1">
        <v>46022</v>
      </c>
      <c r="V1108" s="8">
        <v>1</v>
      </c>
      <c r="W1108" t="s">
        <v>24</v>
      </c>
      <c r="X1108" t="s">
        <v>1436</v>
      </c>
      <c r="Y1108" t="s">
        <v>10</v>
      </c>
      <c r="Z1108" t="s">
        <v>11</v>
      </c>
      <c r="AA1108">
        <v>62371</v>
      </c>
      <c r="AB1108">
        <v>17033700</v>
      </c>
      <c r="AC1108">
        <v>0</v>
      </c>
      <c r="AD1108" s="8"/>
    </row>
    <row r="1109" spans="1:30" x14ac:dyDescent="0.3">
      <c r="A1109" t="s">
        <v>1627</v>
      </c>
      <c r="B1109">
        <v>1403812</v>
      </c>
      <c r="D1109" t="s">
        <v>7</v>
      </c>
      <c r="E1109">
        <v>946214</v>
      </c>
      <c r="F1109">
        <v>9015884123</v>
      </c>
      <c r="G1109">
        <v>290</v>
      </c>
      <c r="H1109" t="s">
        <v>898</v>
      </c>
      <c r="I1109">
        <v>0</v>
      </c>
      <c r="J1109" t="s">
        <v>899</v>
      </c>
      <c r="K1109" t="s">
        <v>8</v>
      </c>
      <c r="L1109" t="s">
        <v>15</v>
      </c>
      <c r="M1109" t="s">
        <v>9</v>
      </c>
      <c r="N1109" t="s">
        <v>14</v>
      </c>
      <c r="O1109" s="2">
        <v>0</v>
      </c>
      <c r="P1109" s="3">
        <v>1070.1569999999999</v>
      </c>
      <c r="Q1109" s="1">
        <v>46033</v>
      </c>
      <c r="R1109" s="1">
        <v>45992</v>
      </c>
      <c r="S1109" s="1">
        <v>46022</v>
      </c>
      <c r="V1109" s="8">
        <v>1</v>
      </c>
      <c r="W1109" t="s">
        <v>24</v>
      </c>
      <c r="X1109" t="s">
        <v>900</v>
      </c>
      <c r="Y1109" t="s">
        <v>10</v>
      </c>
      <c r="Z1109" t="s">
        <v>11</v>
      </c>
      <c r="AA1109">
        <v>62371</v>
      </c>
      <c r="AB1109">
        <v>18547299</v>
      </c>
      <c r="AC1109">
        <v>1</v>
      </c>
      <c r="AD1109" s="8"/>
    </row>
    <row r="1110" spans="1:30" x14ac:dyDescent="0.3">
      <c r="A1110" t="s">
        <v>1627</v>
      </c>
      <c r="B1110">
        <v>1403721</v>
      </c>
      <c r="D1110" t="s">
        <v>7</v>
      </c>
      <c r="E1110">
        <v>946142</v>
      </c>
      <c r="F1110">
        <v>9015884123</v>
      </c>
      <c r="G1110">
        <v>267</v>
      </c>
      <c r="H1110" t="s">
        <v>391</v>
      </c>
      <c r="I1110">
        <v>0</v>
      </c>
      <c r="J1110" t="s">
        <v>392</v>
      </c>
      <c r="K1110" t="s">
        <v>8</v>
      </c>
      <c r="L1110" t="s">
        <v>67</v>
      </c>
      <c r="M1110" t="s">
        <v>9</v>
      </c>
      <c r="N1110" t="s">
        <v>14</v>
      </c>
      <c r="O1110" s="2">
        <v>225666.08</v>
      </c>
      <c r="P1110" s="3">
        <v>2089.5830000000001</v>
      </c>
      <c r="Q1110" s="1">
        <v>46033</v>
      </c>
      <c r="R1110" s="1">
        <v>45992</v>
      </c>
      <c r="S1110" s="1">
        <v>46022</v>
      </c>
      <c r="V1110" s="8">
        <v>1</v>
      </c>
      <c r="W1110" t="s">
        <v>24</v>
      </c>
      <c r="X1110" t="s">
        <v>393</v>
      </c>
      <c r="Y1110" t="s">
        <v>10</v>
      </c>
      <c r="Z1110" t="s">
        <v>11</v>
      </c>
      <c r="AA1110">
        <v>62371</v>
      </c>
      <c r="AB1110">
        <v>21113181</v>
      </c>
      <c r="AC1110">
        <v>1</v>
      </c>
      <c r="AD1110" s="8"/>
    </row>
    <row r="1111" spans="1:30" x14ac:dyDescent="0.3">
      <c r="A1111" t="s">
        <v>1627</v>
      </c>
      <c r="B1111">
        <v>1403726</v>
      </c>
      <c r="D1111" t="s">
        <v>7</v>
      </c>
      <c r="E1111">
        <v>946154</v>
      </c>
      <c r="F1111">
        <v>9015884123</v>
      </c>
      <c r="G1111">
        <v>270</v>
      </c>
      <c r="H1111" t="s">
        <v>892</v>
      </c>
      <c r="I1111">
        <v>0</v>
      </c>
      <c r="J1111" t="s">
        <v>893</v>
      </c>
      <c r="K1111" t="s">
        <v>8</v>
      </c>
      <c r="L1111" t="s">
        <v>15</v>
      </c>
      <c r="M1111" t="s">
        <v>9</v>
      </c>
      <c r="N1111" t="s">
        <v>14</v>
      </c>
      <c r="O1111" s="2">
        <v>0</v>
      </c>
      <c r="P1111" s="3">
        <v>1638.91</v>
      </c>
      <c r="Q1111" s="1">
        <v>46033</v>
      </c>
      <c r="R1111" s="1">
        <v>45992</v>
      </c>
      <c r="S1111" s="1">
        <v>46022</v>
      </c>
      <c r="V1111" s="8">
        <v>1</v>
      </c>
      <c r="W1111" t="s">
        <v>24</v>
      </c>
      <c r="X1111" t="s">
        <v>894</v>
      </c>
      <c r="Y1111" t="s">
        <v>10</v>
      </c>
      <c r="Z1111" t="s">
        <v>11</v>
      </c>
      <c r="AA1111">
        <v>62371</v>
      </c>
      <c r="AB1111">
        <v>19397223</v>
      </c>
      <c r="AC1111">
        <v>0</v>
      </c>
      <c r="AD1111" s="8"/>
    </row>
    <row r="1112" spans="1:30" x14ac:dyDescent="0.3">
      <c r="A1112" t="s">
        <v>1627</v>
      </c>
      <c r="B1112">
        <v>1405490</v>
      </c>
      <c r="D1112" t="s">
        <v>7</v>
      </c>
      <c r="E1112">
        <v>946259</v>
      </c>
      <c r="F1112">
        <v>9015884123</v>
      </c>
      <c r="G1112">
        <v>304</v>
      </c>
      <c r="H1112" t="s">
        <v>1437</v>
      </c>
      <c r="I1112">
        <v>0</v>
      </c>
      <c r="J1112" t="s">
        <v>1438</v>
      </c>
      <c r="K1112" t="s">
        <v>8</v>
      </c>
      <c r="L1112" t="s">
        <v>18</v>
      </c>
      <c r="M1112" t="s">
        <v>9</v>
      </c>
      <c r="N1112" t="s">
        <v>14</v>
      </c>
      <c r="O1112" s="2">
        <v>0</v>
      </c>
      <c r="P1112" s="3">
        <v>0</v>
      </c>
      <c r="Q1112" s="1">
        <v>46033</v>
      </c>
      <c r="R1112" s="1">
        <v>45992</v>
      </c>
      <c r="S1112" s="1">
        <v>46022</v>
      </c>
      <c r="V1112" s="8">
        <v>1</v>
      </c>
      <c r="W1112" t="s">
        <v>24</v>
      </c>
      <c r="X1112" t="s">
        <v>1439</v>
      </c>
      <c r="Y1112" t="s">
        <v>10</v>
      </c>
      <c r="Z1112" t="s">
        <v>11</v>
      </c>
      <c r="AA1112">
        <v>62371</v>
      </c>
      <c r="AB1112">
        <v>18530365</v>
      </c>
      <c r="AC1112">
        <v>1</v>
      </c>
      <c r="AD1112" s="8"/>
    </row>
    <row r="1113" spans="1:30" x14ac:dyDescent="0.3">
      <c r="A1113" t="s">
        <v>1627</v>
      </c>
      <c r="B1113">
        <v>1403807</v>
      </c>
      <c r="D1113" t="s">
        <v>7</v>
      </c>
      <c r="E1113">
        <v>946200</v>
      </c>
      <c r="F1113">
        <v>9015884123</v>
      </c>
      <c r="G1113">
        <v>285</v>
      </c>
      <c r="H1113" t="s">
        <v>1238</v>
      </c>
      <c r="I1113">
        <v>0</v>
      </c>
      <c r="J1113" t="s">
        <v>1239</v>
      </c>
      <c r="K1113" t="s">
        <v>8</v>
      </c>
      <c r="L1113" t="s">
        <v>15</v>
      </c>
      <c r="M1113" t="s">
        <v>9</v>
      </c>
      <c r="N1113" t="s">
        <v>14</v>
      </c>
      <c r="O1113" s="2">
        <v>0</v>
      </c>
      <c r="P1113" s="3">
        <v>1133.3530000000001</v>
      </c>
      <c r="Q1113" s="1">
        <v>46033</v>
      </c>
      <c r="R1113" s="1">
        <v>45992</v>
      </c>
      <c r="S1113" s="1">
        <v>46022</v>
      </c>
      <c r="V1113" s="8">
        <v>1</v>
      </c>
      <c r="W1113" t="s">
        <v>24</v>
      </c>
      <c r="X1113" t="s">
        <v>1240</v>
      </c>
      <c r="Y1113" t="s">
        <v>10</v>
      </c>
      <c r="Z1113" t="s">
        <v>11</v>
      </c>
      <c r="AA1113">
        <v>62371</v>
      </c>
      <c r="AB1113">
        <v>18472273</v>
      </c>
      <c r="AC1113">
        <v>1</v>
      </c>
      <c r="AD1113" s="8"/>
    </row>
    <row r="1114" spans="1:30" x14ac:dyDescent="0.3">
      <c r="A1114" t="s">
        <v>1627</v>
      </c>
      <c r="B1114">
        <v>1405493</v>
      </c>
      <c r="D1114" t="s">
        <v>7</v>
      </c>
      <c r="E1114">
        <v>946262</v>
      </c>
      <c r="F1114">
        <v>9015884123</v>
      </c>
      <c r="G1114">
        <v>306</v>
      </c>
      <c r="H1114" t="s">
        <v>1561</v>
      </c>
      <c r="I1114">
        <v>0</v>
      </c>
      <c r="J1114" t="s">
        <v>1562</v>
      </c>
      <c r="K1114" t="s">
        <v>8</v>
      </c>
      <c r="L1114" t="s">
        <v>15</v>
      </c>
      <c r="M1114" t="s">
        <v>9</v>
      </c>
      <c r="N1114" t="s">
        <v>14</v>
      </c>
      <c r="O1114" s="2">
        <v>0</v>
      </c>
      <c r="P1114" s="3">
        <v>4232.5609999999997</v>
      </c>
      <c r="Q1114" s="1">
        <v>46033</v>
      </c>
      <c r="R1114" s="1">
        <v>45992</v>
      </c>
      <c r="S1114" s="1">
        <v>46022</v>
      </c>
      <c r="V1114" s="8">
        <v>1</v>
      </c>
      <c r="W1114" t="s">
        <v>24</v>
      </c>
      <c r="X1114" t="s">
        <v>1563</v>
      </c>
      <c r="Y1114" t="s">
        <v>10</v>
      </c>
      <c r="Z1114" t="s">
        <v>11</v>
      </c>
      <c r="AA1114">
        <v>62371</v>
      </c>
      <c r="AB1114">
        <v>19402782</v>
      </c>
      <c r="AC1114">
        <v>0</v>
      </c>
      <c r="AD1114" s="8"/>
    </row>
    <row r="1115" spans="1:30" x14ac:dyDescent="0.3">
      <c r="A1115" t="s">
        <v>1627</v>
      </c>
      <c r="B1115">
        <v>1406204</v>
      </c>
      <c r="D1115" t="s">
        <v>7</v>
      </c>
      <c r="E1115">
        <v>946300</v>
      </c>
      <c r="F1115">
        <v>9015884123</v>
      </c>
      <c r="G1115">
        <v>322</v>
      </c>
      <c r="H1115" t="s">
        <v>415</v>
      </c>
      <c r="I1115">
        <v>0</v>
      </c>
      <c r="J1115" t="s">
        <v>416</v>
      </c>
      <c r="K1115" t="s">
        <v>8</v>
      </c>
      <c r="L1115" t="s">
        <v>18</v>
      </c>
      <c r="M1115" t="s">
        <v>9</v>
      </c>
      <c r="N1115" t="s">
        <v>14</v>
      </c>
      <c r="O1115" s="2">
        <v>1.03</v>
      </c>
      <c r="P1115" s="3">
        <v>0</v>
      </c>
      <c r="Q1115" s="1">
        <v>46033</v>
      </c>
      <c r="R1115" s="1">
        <v>45992</v>
      </c>
      <c r="S1115" s="1">
        <v>46022</v>
      </c>
      <c r="V1115" s="8">
        <v>1</v>
      </c>
      <c r="W1115" t="s">
        <v>24</v>
      </c>
      <c r="X1115" t="s">
        <v>417</v>
      </c>
      <c r="Y1115" t="s">
        <v>10</v>
      </c>
      <c r="Z1115" t="s">
        <v>11</v>
      </c>
      <c r="AA1115">
        <v>62371</v>
      </c>
      <c r="AB1115">
        <v>21431607</v>
      </c>
      <c r="AC1115">
        <v>1</v>
      </c>
      <c r="AD1115" s="8"/>
    </row>
    <row r="1116" spans="1:30" x14ac:dyDescent="0.3">
      <c r="A1116" t="s">
        <v>1627</v>
      </c>
      <c r="B1116">
        <v>1406170</v>
      </c>
      <c r="D1116" t="s">
        <v>7</v>
      </c>
      <c r="E1116">
        <v>946276</v>
      </c>
      <c r="F1116">
        <v>9015884123</v>
      </c>
      <c r="G1116">
        <v>311</v>
      </c>
      <c r="H1116" t="s">
        <v>1431</v>
      </c>
      <c r="I1116">
        <v>0</v>
      </c>
      <c r="J1116" t="s">
        <v>1432</v>
      </c>
      <c r="K1116" t="s">
        <v>8</v>
      </c>
      <c r="L1116" t="s">
        <v>15</v>
      </c>
      <c r="M1116" t="s">
        <v>9</v>
      </c>
      <c r="N1116" t="s">
        <v>14</v>
      </c>
      <c r="O1116" s="2">
        <v>0</v>
      </c>
      <c r="P1116" s="3">
        <v>5202.4690000000001</v>
      </c>
      <c r="Q1116" s="1">
        <v>46033</v>
      </c>
      <c r="R1116" s="1">
        <v>45992</v>
      </c>
      <c r="S1116" s="1">
        <v>46022</v>
      </c>
      <c r="V1116" s="8">
        <v>1</v>
      </c>
      <c r="W1116" t="s">
        <v>24</v>
      </c>
      <c r="X1116" t="s">
        <v>1433</v>
      </c>
      <c r="Y1116" t="s">
        <v>10</v>
      </c>
      <c r="Z1116" t="s">
        <v>11</v>
      </c>
      <c r="AA1116">
        <v>62371</v>
      </c>
      <c r="AB1116">
        <v>19391038</v>
      </c>
      <c r="AC1116">
        <v>0</v>
      </c>
      <c r="AD1116" s="8"/>
    </row>
    <row r="1117" spans="1:30" x14ac:dyDescent="0.3">
      <c r="A1117" t="s">
        <v>1627</v>
      </c>
      <c r="B1117">
        <v>1406179</v>
      </c>
      <c r="D1117" t="s">
        <v>7</v>
      </c>
      <c r="E1117">
        <v>946287</v>
      </c>
      <c r="F1117">
        <v>9015884123</v>
      </c>
      <c r="G1117">
        <v>316</v>
      </c>
      <c r="H1117" t="s">
        <v>1247</v>
      </c>
      <c r="I1117">
        <v>0</v>
      </c>
      <c r="J1117" t="s">
        <v>1248</v>
      </c>
      <c r="K1117" t="s">
        <v>8</v>
      </c>
      <c r="L1117" t="s">
        <v>19</v>
      </c>
      <c r="M1117" t="s">
        <v>9</v>
      </c>
      <c r="N1117" t="s">
        <v>14</v>
      </c>
      <c r="O1117" s="2">
        <v>88.52</v>
      </c>
      <c r="P1117" s="3">
        <v>0.44800000000000001</v>
      </c>
      <c r="Q1117" s="1">
        <v>46033</v>
      </c>
      <c r="R1117" s="1">
        <v>45992</v>
      </c>
      <c r="S1117" s="1">
        <v>46022</v>
      </c>
      <c r="V1117" s="8">
        <v>1</v>
      </c>
      <c r="W1117" t="s">
        <v>24</v>
      </c>
      <c r="X1117" t="s">
        <v>1249</v>
      </c>
      <c r="Y1117" t="s">
        <v>10</v>
      </c>
      <c r="Z1117" t="s">
        <v>11</v>
      </c>
      <c r="AA1117">
        <v>62371</v>
      </c>
      <c r="AB1117">
        <v>19395700</v>
      </c>
      <c r="AC1117">
        <v>0</v>
      </c>
      <c r="AD1117" s="8"/>
    </row>
    <row r="1118" spans="1:30" x14ac:dyDescent="0.3">
      <c r="A1118" t="s">
        <v>1627</v>
      </c>
      <c r="B1118">
        <v>1395787</v>
      </c>
      <c r="D1118" t="s">
        <v>7</v>
      </c>
      <c r="E1118">
        <v>946061</v>
      </c>
      <c r="F1118">
        <v>9015884123</v>
      </c>
      <c r="G1118">
        <v>241</v>
      </c>
      <c r="H1118" t="s">
        <v>1564</v>
      </c>
      <c r="I1118">
        <v>0</v>
      </c>
      <c r="J1118" t="s">
        <v>1565</v>
      </c>
      <c r="K1118" t="s">
        <v>8</v>
      </c>
      <c r="L1118" t="s">
        <v>15</v>
      </c>
      <c r="M1118" t="s">
        <v>9</v>
      </c>
      <c r="N1118" t="s">
        <v>14</v>
      </c>
      <c r="O1118" s="2">
        <v>0</v>
      </c>
      <c r="P1118" s="3">
        <v>8611.4220000000005</v>
      </c>
      <c r="Q1118" s="1">
        <v>46033</v>
      </c>
      <c r="R1118" s="1">
        <v>45992</v>
      </c>
      <c r="S1118" s="1">
        <v>46022</v>
      </c>
      <c r="V1118" s="8">
        <v>1</v>
      </c>
      <c r="W1118" t="s">
        <v>24</v>
      </c>
      <c r="X1118" t="s">
        <v>1566</v>
      </c>
      <c r="Y1118" t="s">
        <v>10</v>
      </c>
      <c r="Z1118" t="s">
        <v>11</v>
      </c>
      <c r="AA1118">
        <v>62371</v>
      </c>
      <c r="AB1118">
        <v>17549054</v>
      </c>
      <c r="AC1118">
        <v>1</v>
      </c>
      <c r="AD1118" s="8"/>
    </row>
    <row r="1119" spans="1:30" x14ac:dyDescent="0.3">
      <c r="A1119" t="s">
        <v>1627</v>
      </c>
      <c r="B1119">
        <v>1395799</v>
      </c>
      <c r="D1119" t="s">
        <v>7</v>
      </c>
      <c r="E1119">
        <v>946078</v>
      </c>
      <c r="F1119">
        <v>9015884123</v>
      </c>
      <c r="G1119">
        <v>246</v>
      </c>
      <c r="H1119" t="s">
        <v>379</v>
      </c>
      <c r="I1119">
        <v>0</v>
      </c>
      <c r="J1119" t="s">
        <v>380</v>
      </c>
      <c r="K1119" t="s">
        <v>8</v>
      </c>
      <c r="L1119" t="s">
        <v>67</v>
      </c>
      <c r="M1119" t="s">
        <v>9</v>
      </c>
      <c r="N1119" t="s">
        <v>14</v>
      </c>
      <c r="O1119" s="2">
        <v>877808.08</v>
      </c>
      <c r="P1119" s="3">
        <v>6163.0209999999997</v>
      </c>
      <c r="Q1119" s="1">
        <v>46033</v>
      </c>
      <c r="R1119" s="1">
        <v>45992</v>
      </c>
      <c r="S1119" s="1">
        <v>46022</v>
      </c>
      <c r="V1119" s="8">
        <v>1</v>
      </c>
      <c r="W1119" t="s">
        <v>24</v>
      </c>
      <c r="X1119" t="s">
        <v>381</v>
      </c>
      <c r="Y1119" t="s">
        <v>10</v>
      </c>
      <c r="Z1119" t="s">
        <v>11</v>
      </c>
      <c r="AA1119">
        <v>62371</v>
      </c>
      <c r="AB1119">
        <v>19392504</v>
      </c>
      <c r="AC1119">
        <v>0</v>
      </c>
      <c r="AD1119" s="8"/>
    </row>
    <row r="1120" spans="1:30" x14ac:dyDescent="0.3">
      <c r="A1120" t="s">
        <v>1627</v>
      </c>
      <c r="B1120">
        <v>1395799</v>
      </c>
      <c r="D1120" t="s">
        <v>7</v>
      </c>
      <c r="E1120">
        <v>946078</v>
      </c>
      <c r="F1120">
        <v>9015884123</v>
      </c>
      <c r="G1120">
        <v>246</v>
      </c>
      <c r="H1120" t="s">
        <v>379</v>
      </c>
      <c r="I1120">
        <v>0</v>
      </c>
      <c r="J1120" t="s">
        <v>380</v>
      </c>
      <c r="K1120" t="s">
        <v>8</v>
      </c>
      <c r="L1120" t="s">
        <v>18</v>
      </c>
      <c r="M1120" t="s">
        <v>9</v>
      </c>
      <c r="N1120" t="s">
        <v>14</v>
      </c>
      <c r="O1120" s="2">
        <v>4.2</v>
      </c>
      <c r="P1120" s="3">
        <v>0</v>
      </c>
      <c r="Q1120" s="1">
        <v>46033</v>
      </c>
      <c r="R1120" s="1">
        <v>45992</v>
      </c>
      <c r="S1120" s="1">
        <v>46022</v>
      </c>
      <c r="V1120" s="8">
        <v>1</v>
      </c>
      <c r="W1120" t="s">
        <v>24</v>
      </c>
      <c r="X1120" t="s">
        <v>381</v>
      </c>
      <c r="Y1120" t="s">
        <v>10</v>
      </c>
      <c r="Z1120" t="s">
        <v>11</v>
      </c>
      <c r="AA1120">
        <v>62371</v>
      </c>
      <c r="AB1120">
        <v>19392504</v>
      </c>
      <c r="AC1120">
        <v>0</v>
      </c>
      <c r="AD1120" s="8"/>
    </row>
    <row r="1121" spans="1:30" x14ac:dyDescent="0.3">
      <c r="A1121" t="s">
        <v>1627</v>
      </c>
      <c r="B1121">
        <v>1395834</v>
      </c>
      <c r="D1121" t="s">
        <v>7</v>
      </c>
      <c r="E1121">
        <v>946089</v>
      </c>
      <c r="F1121">
        <v>9015884123</v>
      </c>
      <c r="G1121">
        <v>249</v>
      </c>
      <c r="H1121" t="s">
        <v>1223</v>
      </c>
      <c r="I1121">
        <v>0</v>
      </c>
      <c r="J1121" t="s">
        <v>1224</v>
      </c>
      <c r="K1121" t="s">
        <v>8</v>
      </c>
      <c r="L1121" t="s">
        <v>15</v>
      </c>
      <c r="M1121" t="s">
        <v>9</v>
      </c>
      <c r="N1121" t="s">
        <v>14</v>
      </c>
      <c r="O1121" s="2">
        <v>0</v>
      </c>
      <c r="P1121" s="3">
        <v>2804.6849999999999</v>
      </c>
      <c r="Q1121" s="1">
        <v>46033</v>
      </c>
      <c r="R1121" s="1">
        <v>45992</v>
      </c>
      <c r="S1121" s="1">
        <v>46022</v>
      </c>
      <c r="V1121" s="8">
        <v>1</v>
      </c>
      <c r="W1121" t="s">
        <v>24</v>
      </c>
      <c r="X1121" t="s">
        <v>1225</v>
      </c>
      <c r="Y1121" t="s">
        <v>10</v>
      </c>
      <c r="Z1121" t="s">
        <v>11</v>
      </c>
      <c r="AA1121">
        <v>62371</v>
      </c>
      <c r="AB1121">
        <v>17682335</v>
      </c>
      <c r="AC1121">
        <v>0</v>
      </c>
      <c r="AD1121" s="8"/>
    </row>
    <row r="1122" spans="1:30" x14ac:dyDescent="0.3">
      <c r="A1122" t="s">
        <v>1627</v>
      </c>
      <c r="B1122">
        <v>1403658</v>
      </c>
      <c r="D1122" t="s">
        <v>7</v>
      </c>
      <c r="E1122">
        <v>946133</v>
      </c>
      <c r="F1122">
        <v>9015884123</v>
      </c>
      <c r="G1122">
        <v>264</v>
      </c>
      <c r="H1122" t="s">
        <v>406</v>
      </c>
      <c r="I1122">
        <v>0</v>
      </c>
      <c r="J1122" t="s">
        <v>407</v>
      </c>
      <c r="K1122" t="s">
        <v>8</v>
      </c>
      <c r="L1122" t="s">
        <v>18</v>
      </c>
      <c r="M1122" t="s">
        <v>9</v>
      </c>
      <c r="N1122" t="s">
        <v>14</v>
      </c>
      <c r="O1122" s="2">
        <v>-3.75</v>
      </c>
      <c r="P1122" s="3">
        <v>0</v>
      </c>
      <c r="Q1122" s="1">
        <v>46033</v>
      </c>
      <c r="R1122" s="1">
        <v>45992</v>
      </c>
      <c r="S1122" s="1">
        <v>46022</v>
      </c>
      <c r="V1122" s="8">
        <v>2</v>
      </c>
      <c r="W1122" t="s">
        <v>24</v>
      </c>
      <c r="X1122" t="s">
        <v>408</v>
      </c>
      <c r="Y1122" t="s">
        <v>10</v>
      </c>
      <c r="Z1122" t="s">
        <v>11</v>
      </c>
      <c r="AA1122">
        <v>62371</v>
      </c>
      <c r="AB1122">
        <v>17187469</v>
      </c>
      <c r="AC1122">
        <v>1</v>
      </c>
      <c r="AD1122" s="8"/>
    </row>
    <row r="1123" spans="1:30" x14ac:dyDescent="0.3">
      <c r="A1123" t="s">
        <v>1627</v>
      </c>
      <c r="B1123">
        <v>1403647</v>
      </c>
      <c r="D1123" t="s">
        <v>7</v>
      </c>
      <c r="E1123">
        <v>946114</v>
      </c>
      <c r="F1123">
        <v>9015884123</v>
      </c>
      <c r="G1123">
        <v>258</v>
      </c>
      <c r="H1123" t="s">
        <v>385</v>
      </c>
      <c r="I1123">
        <v>0</v>
      </c>
      <c r="J1123" t="s">
        <v>386</v>
      </c>
      <c r="K1123" t="s">
        <v>8</v>
      </c>
      <c r="L1123" t="s">
        <v>18</v>
      </c>
      <c r="M1123" t="s">
        <v>9</v>
      </c>
      <c r="N1123" t="s">
        <v>14</v>
      </c>
      <c r="O1123" s="2">
        <v>4</v>
      </c>
      <c r="P1123" s="3">
        <v>0</v>
      </c>
      <c r="Q1123" s="1">
        <v>46033</v>
      </c>
      <c r="R1123" s="1">
        <v>45992</v>
      </c>
      <c r="S1123" s="1">
        <v>46022</v>
      </c>
      <c r="V1123" s="8">
        <v>1</v>
      </c>
      <c r="W1123" t="s">
        <v>24</v>
      </c>
      <c r="X1123" t="s">
        <v>387</v>
      </c>
      <c r="Y1123" t="s">
        <v>10</v>
      </c>
      <c r="Z1123" t="s">
        <v>11</v>
      </c>
      <c r="AA1123">
        <v>62371</v>
      </c>
      <c r="AB1123">
        <v>18575550</v>
      </c>
      <c r="AC1123">
        <v>0</v>
      </c>
      <c r="AD1123" s="8"/>
    </row>
    <row r="1124" spans="1:30" x14ac:dyDescent="0.3">
      <c r="A1124" t="s">
        <v>1627</v>
      </c>
      <c r="B1124">
        <v>1403649</v>
      </c>
      <c r="D1124" t="s">
        <v>7</v>
      </c>
      <c r="E1124">
        <v>946120</v>
      </c>
      <c r="F1124">
        <v>9015884123</v>
      </c>
      <c r="G1124">
        <v>260</v>
      </c>
      <c r="H1124" t="s">
        <v>1428</v>
      </c>
      <c r="I1124">
        <v>0</v>
      </c>
      <c r="J1124" t="s">
        <v>1429</v>
      </c>
      <c r="K1124" t="s">
        <v>8</v>
      </c>
      <c r="L1124" t="s">
        <v>15</v>
      </c>
      <c r="M1124" t="s">
        <v>9</v>
      </c>
      <c r="N1124" t="s">
        <v>14</v>
      </c>
      <c r="O1124" s="2">
        <v>0</v>
      </c>
      <c r="P1124" s="3">
        <v>2044.2470000000001</v>
      </c>
      <c r="Q1124" s="1">
        <v>46033</v>
      </c>
      <c r="R1124" s="1">
        <v>45992</v>
      </c>
      <c r="S1124" s="1">
        <v>46022</v>
      </c>
      <c r="V1124" s="8">
        <v>1</v>
      </c>
      <c r="W1124" t="s">
        <v>24</v>
      </c>
      <c r="X1124" t="s">
        <v>1430</v>
      </c>
      <c r="Y1124" t="s">
        <v>10</v>
      </c>
      <c r="Z1124" t="s">
        <v>11</v>
      </c>
      <c r="AA1124">
        <v>62371</v>
      </c>
      <c r="AB1124">
        <v>19394686</v>
      </c>
      <c r="AC1124">
        <v>0</v>
      </c>
      <c r="AD1124" s="8"/>
    </row>
    <row r="1125" spans="1:30" x14ac:dyDescent="0.3">
      <c r="A1125" t="s">
        <v>1627</v>
      </c>
      <c r="B1125">
        <v>1405493</v>
      </c>
      <c r="D1125" t="s">
        <v>7</v>
      </c>
      <c r="E1125">
        <v>946262</v>
      </c>
      <c r="F1125">
        <v>9015884123</v>
      </c>
      <c r="G1125">
        <v>306</v>
      </c>
      <c r="H1125" t="s">
        <v>1561</v>
      </c>
      <c r="I1125">
        <v>0</v>
      </c>
      <c r="J1125" t="s">
        <v>1562</v>
      </c>
      <c r="K1125" t="s">
        <v>8</v>
      </c>
      <c r="L1125" t="s">
        <v>18</v>
      </c>
      <c r="M1125" t="s">
        <v>9</v>
      </c>
      <c r="N1125" t="s">
        <v>14</v>
      </c>
      <c r="O1125" s="2">
        <v>0.16</v>
      </c>
      <c r="P1125" s="3">
        <v>0</v>
      </c>
      <c r="Q1125" s="1">
        <v>46033</v>
      </c>
      <c r="R1125" s="1">
        <v>45992</v>
      </c>
      <c r="S1125" s="1">
        <v>46022</v>
      </c>
      <c r="V1125" s="8">
        <v>1</v>
      </c>
      <c r="W1125" t="s">
        <v>24</v>
      </c>
      <c r="X1125" t="s">
        <v>1563</v>
      </c>
      <c r="Y1125" t="s">
        <v>10</v>
      </c>
      <c r="Z1125" t="s">
        <v>11</v>
      </c>
      <c r="AA1125">
        <v>62371</v>
      </c>
      <c r="AB1125">
        <v>19402782</v>
      </c>
      <c r="AC1125">
        <v>0</v>
      </c>
      <c r="AD1125" s="8"/>
    </row>
    <row r="1126" spans="1:30" x14ac:dyDescent="0.3">
      <c r="A1126" t="s">
        <v>1627</v>
      </c>
      <c r="B1126">
        <v>1406170</v>
      </c>
      <c r="D1126" t="s">
        <v>7</v>
      </c>
      <c r="E1126">
        <v>946276</v>
      </c>
      <c r="F1126">
        <v>9015884123</v>
      </c>
      <c r="G1126">
        <v>311</v>
      </c>
      <c r="H1126" t="s">
        <v>1431</v>
      </c>
      <c r="I1126">
        <v>0</v>
      </c>
      <c r="J1126" t="s">
        <v>1432</v>
      </c>
      <c r="K1126" t="s">
        <v>8</v>
      </c>
      <c r="L1126" t="s">
        <v>67</v>
      </c>
      <c r="M1126" t="s">
        <v>9</v>
      </c>
      <c r="N1126" t="s">
        <v>14</v>
      </c>
      <c r="O1126" s="2">
        <v>740995.26</v>
      </c>
      <c r="P1126" s="3">
        <v>5202.4690000000001</v>
      </c>
      <c r="Q1126" s="1">
        <v>46033</v>
      </c>
      <c r="R1126" s="1">
        <v>45992</v>
      </c>
      <c r="S1126" s="1">
        <v>46022</v>
      </c>
      <c r="V1126" s="8">
        <v>1</v>
      </c>
      <c r="W1126" t="s">
        <v>24</v>
      </c>
      <c r="X1126" t="s">
        <v>1433</v>
      </c>
      <c r="Y1126" t="s">
        <v>10</v>
      </c>
      <c r="Z1126" t="s">
        <v>11</v>
      </c>
      <c r="AA1126">
        <v>62371</v>
      </c>
      <c r="AB1126">
        <v>19391038</v>
      </c>
      <c r="AC1126">
        <v>0</v>
      </c>
      <c r="AD1126" s="8"/>
    </row>
    <row r="1127" spans="1:30" x14ac:dyDescent="0.3">
      <c r="A1127" t="s">
        <v>1627</v>
      </c>
      <c r="B1127">
        <v>1406170</v>
      </c>
      <c r="D1127" t="s">
        <v>7</v>
      </c>
      <c r="E1127">
        <v>946276</v>
      </c>
      <c r="F1127">
        <v>9015884123</v>
      </c>
      <c r="G1127">
        <v>311</v>
      </c>
      <c r="H1127" t="s">
        <v>1431</v>
      </c>
      <c r="I1127">
        <v>0</v>
      </c>
      <c r="J1127" t="s">
        <v>1432</v>
      </c>
      <c r="K1127" t="s">
        <v>8</v>
      </c>
      <c r="L1127" t="s">
        <v>19</v>
      </c>
      <c r="M1127" t="s">
        <v>9</v>
      </c>
      <c r="N1127" t="s">
        <v>14</v>
      </c>
      <c r="O1127" s="2">
        <v>44671.54</v>
      </c>
      <c r="P1127" s="3">
        <v>226.08</v>
      </c>
      <c r="Q1127" s="1">
        <v>46033</v>
      </c>
      <c r="R1127" s="1">
        <v>45992</v>
      </c>
      <c r="S1127" s="1">
        <v>46022</v>
      </c>
      <c r="V1127" s="8">
        <v>1</v>
      </c>
      <c r="W1127" t="s">
        <v>24</v>
      </c>
      <c r="X1127" t="s">
        <v>1433</v>
      </c>
      <c r="Y1127" t="s">
        <v>10</v>
      </c>
      <c r="Z1127" t="s">
        <v>11</v>
      </c>
      <c r="AA1127">
        <v>62371</v>
      </c>
      <c r="AB1127">
        <v>19391038</v>
      </c>
      <c r="AC1127">
        <v>0</v>
      </c>
      <c r="AD1127" s="8"/>
    </row>
    <row r="1128" spans="1:30" x14ac:dyDescent="0.3">
      <c r="A1128" t="s">
        <v>1627</v>
      </c>
      <c r="B1128">
        <v>1406179</v>
      </c>
      <c r="D1128" t="s">
        <v>7</v>
      </c>
      <c r="E1128">
        <v>946287</v>
      </c>
      <c r="F1128">
        <v>9015884123</v>
      </c>
      <c r="G1128">
        <v>316</v>
      </c>
      <c r="H1128" t="s">
        <v>1247</v>
      </c>
      <c r="I1128">
        <v>0</v>
      </c>
      <c r="J1128" t="s">
        <v>1248</v>
      </c>
      <c r="K1128" t="s">
        <v>8</v>
      </c>
      <c r="L1128" t="s">
        <v>15</v>
      </c>
      <c r="M1128" t="s">
        <v>9</v>
      </c>
      <c r="N1128" t="s">
        <v>14</v>
      </c>
      <c r="O1128" s="2">
        <v>0</v>
      </c>
      <c r="P1128" s="3">
        <v>10572.984</v>
      </c>
      <c r="Q1128" s="1">
        <v>46033</v>
      </c>
      <c r="R1128" s="1">
        <v>45992</v>
      </c>
      <c r="S1128" s="1">
        <v>46022</v>
      </c>
      <c r="V1128" s="8">
        <v>1</v>
      </c>
      <c r="W1128" t="s">
        <v>24</v>
      </c>
      <c r="X1128" t="s">
        <v>1249</v>
      </c>
      <c r="Y1128" t="s">
        <v>10</v>
      </c>
      <c r="Z1128" t="s">
        <v>11</v>
      </c>
      <c r="AA1128">
        <v>62371</v>
      </c>
      <c r="AB1128">
        <v>19395700</v>
      </c>
      <c r="AC1128">
        <v>0</v>
      </c>
      <c r="AD1128" s="8"/>
    </row>
    <row r="1129" spans="1:30" x14ac:dyDescent="0.3">
      <c r="A1129" t="s">
        <v>1627</v>
      </c>
      <c r="B1129">
        <v>1407508</v>
      </c>
      <c r="D1129" t="s">
        <v>7</v>
      </c>
      <c r="E1129">
        <v>946315</v>
      </c>
      <c r="F1129">
        <v>9015884123</v>
      </c>
      <c r="G1129">
        <v>330</v>
      </c>
      <c r="H1129" t="s">
        <v>1259</v>
      </c>
      <c r="I1129">
        <v>0</v>
      </c>
      <c r="J1129" t="s">
        <v>1260</v>
      </c>
      <c r="K1129" t="s">
        <v>8</v>
      </c>
      <c r="L1129" t="s">
        <v>15</v>
      </c>
      <c r="M1129" t="s">
        <v>9</v>
      </c>
      <c r="N1129" t="s">
        <v>14</v>
      </c>
      <c r="O1129" s="2">
        <v>0</v>
      </c>
      <c r="P1129" s="3">
        <v>1431.672</v>
      </c>
      <c r="Q1129" s="1">
        <v>46033</v>
      </c>
      <c r="R1129" s="1">
        <v>45992</v>
      </c>
      <c r="S1129" s="1">
        <v>46022</v>
      </c>
      <c r="V1129" s="8">
        <v>1</v>
      </c>
      <c r="W1129" t="s">
        <v>24</v>
      </c>
      <c r="X1129" t="s">
        <v>1261</v>
      </c>
      <c r="Y1129" t="s">
        <v>10</v>
      </c>
      <c r="Z1129" t="s">
        <v>11</v>
      </c>
      <c r="AA1129">
        <v>62371</v>
      </c>
      <c r="AB1129">
        <v>19844095</v>
      </c>
      <c r="AC1129">
        <v>1</v>
      </c>
      <c r="AD1129" s="8"/>
    </row>
    <row r="1130" spans="1:30" x14ac:dyDescent="0.3">
      <c r="A1130" t="s">
        <v>1627</v>
      </c>
      <c r="B1130">
        <v>1412143</v>
      </c>
      <c r="D1130" t="s">
        <v>7</v>
      </c>
      <c r="E1130">
        <v>946393</v>
      </c>
      <c r="F1130">
        <v>9015884123</v>
      </c>
      <c r="G1130">
        <v>370</v>
      </c>
      <c r="H1130" t="s">
        <v>433</v>
      </c>
      <c r="I1130">
        <v>0</v>
      </c>
      <c r="J1130" t="s">
        <v>434</v>
      </c>
      <c r="K1130" t="s">
        <v>8</v>
      </c>
      <c r="L1130" t="s">
        <v>15</v>
      </c>
      <c r="M1130" t="s">
        <v>9</v>
      </c>
      <c r="N1130" t="s">
        <v>14</v>
      </c>
      <c r="O1130" s="2">
        <v>0</v>
      </c>
      <c r="P1130" s="3">
        <v>15195.347</v>
      </c>
      <c r="Q1130" s="1">
        <v>46033</v>
      </c>
      <c r="R1130" s="1">
        <v>45992</v>
      </c>
      <c r="S1130" s="1">
        <v>46022</v>
      </c>
      <c r="V1130" s="8">
        <v>1</v>
      </c>
      <c r="W1130" t="s">
        <v>24</v>
      </c>
      <c r="X1130" t="s">
        <v>435</v>
      </c>
      <c r="Y1130" t="s">
        <v>10</v>
      </c>
      <c r="Z1130" t="s">
        <v>11</v>
      </c>
      <c r="AA1130">
        <v>62371</v>
      </c>
      <c r="AB1130">
        <v>19395077</v>
      </c>
      <c r="AC1130">
        <v>0</v>
      </c>
      <c r="AD1130" s="8"/>
    </row>
    <row r="1131" spans="1:30" x14ac:dyDescent="0.3">
      <c r="A1131" t="s">
        <v>1627</v>
      </c>
      <c r="B1131">
        <v>1412143</v>
      </c>
      <c r="D1131" t="s">
        <v>7</v>
      </c>
      <c r="E1131">
        <v>946393</v>
      </c>
      <c r="F1131">
        <v>9015884123</v>
      </c>
      <c r="G1131">
        <v>370</v>
      </c>
      <c r="H1131" t="s">
        <v>433</v>
      </c>
      <c r="I1131">
        <v>0</v>
      </c>
      <c r="J1131" t="s">
        <v>434</v>
      </c>
      <c r="K1131" t="s">
        <v>8</v>
      </c>
      <c r="L1131" t="s">
        <v>67</v>
      </c>
      <c r="M1131" t="s">
        <v>9</v>
      </c>
      <c r="N1131" t="s">
        <v>14</v>
      </c>
      <c r="O1131" s="2">
        <v>2164295.46</v>
      </c>
      <c r="P1131" s="3">
        <v>15195.347</v>
      </c>
      <c r="Q1131" s="1">
        <v>46033</v>
      </c>
      <c r="R1131" s="1">
        <v>45992</v>
      </c>
      <c r="S1131" s="1">
        <v>46022</v>
      </c>
      <c r="V1131" s="8">
        <v>1</v>
      </c>
      <c r="W1131" t="s">
        <v>24</v>
      </c>
      <c r="X1131" t="s">
        <v>435</v>
      </c>
      <c r="Y1131" t="s">
        <v>10</v>
      </c>
      <c r="Z1131" t="s">
        <v>11</v>
      </c>
      <c r="AA1131">
        <v>62371</v>
      </c>
      <c r="AB1131">
        <v>19395077</v>
      </c>
      <c r="AC1131">
        <v>0</v>
      </c>
      <c r="AD1131" s="8"/>
    </row>
    <row r="1132" spans="1:30" x14ac:dyDescent="0.3">
      <c r="A1132" t="s">
        <v>1627</v>
      </c>
      <c r="B1132">
        <v>1412140</v>
      </c>
      <c r="D1132" t="s">
        <v>7</v>
      </c>
      <c r="E1132">
        <v>946384</v>
      </c>
      <c r="F1132">
        <v>9015884123</v>
      </c>
      <c r="G1132">
        <v>366</v>
      </c>
      <c r="H1132" t="s">
        <v>1567</v>
      </c>
      <c r="I1132">
        <v>0</v>
      </c>
      <c r="J1132" t="s">
        <v>1568</v>
      </c>
      <c r="K1132" t="s">
        <v>8</v>
      </c>
      <c r="L1132" t="s">
        <v>18</v>
      </c>
      <c r="M1132" t="s">
        <v>9</v>
      </c>
      <c r="N1132" t="s">
        <v>14</v>
      </c>
      <c r="O1132" s="2">
        <v>-1.41</v>
      </c>
      <c r="P1132" s="3">
        <v>0</v>
      </c>
      <c r="Q1132" s="1">
        <v>46033</v>
      </c>
      <c r="R1132" s="1">
        <v>45992</v>
      </c>
      <c r="S1132" s="1">
        <v>46022</v>
      </c>
      <c r="V1132" s="8">
        <v>1</v>
      </c>
      <c r="W1132" t="s">
        <v>24</v>
      </c>
      <c r="X1132" t="s">
        <v>1569</v>
      </c>
      <c r="Y1132" t="s">
        <v>10</v>
      </c>
      <c r="Z1132" t="s">
        <v>11</v>
      </c>
      <c r="AA1132">
        <v>62371</v>
      </c>
      <c r="AB1132">
        <v>19402878</v>
      </c>
      <c r="AC1132">
        <v>0</v>
      </c>
      <c r="AD1132" s="8"/>
    </row>
    <row r="1133" spans="1:30" x14ac:dyDescent="0.3">
      <c r="A1133" t="s">
        <v>1627</v>
      </c>
      <c r="B1133">
        <v>1412643</v>
      </c>
      <c r="D1133" t="s">
        <v>7</v>
      </c>
      <c r="E1133">
        <v>946402</v>
      </c>
      <c r="F1133">
        <v>9015884123</v>
      </c>
      <c r="G1133">
        <v>374</v>
      </c>
      <c r="H1133" t="s">
        <v>1274</v>
      </c>
      <c r="I1133">
        <v>0</v>
      </c>
      <c r="J1133" t="s">
        <v>1275</v>
      </c>
      <c r="K1133" t="s">
        <v>8</v>
      </c>
      <c r="L1133" t="s">
        <v>67</v>
      </c>
      <c r="M1133" t="s">
        <v>9</v>
      </c>
      <c r="N1133" t="s">
        <v>14</v>
      </c>
      <c r="O1133" s="2">
        <v>0</v>
      </c>
      <c r="P1133" s="3">
        <v>0</v>
      </c>
      <c r="Q1133" s="1">
        <v>46033</v>
      </c>
      <c r="R1133" s="1">
        <v>45992</v>
      </c>
      <c r="S1133" s="1">
        <v>46022</v>
      </c>
      <c r="V1133" s="8">
        <v>1</v>
      </c>
      <c r="W1133" t="s">
        <v>24</v>
      </c>
      <c r="X1133" t="s">
        <v>1276</v>
      </c>
      <c r="Y1133" t="s">
        <v>10</v>
      </c>
      <c r="Z1133" t="s">
        <v>11</v>
      </c>
      <c r="AA1133">
        <v>62371</v>
      </c>
      <c r="AB1133">
        <v>21240554</v>
      </c>
      <c r="AC1133">
        <v>0</v>
      </c>
      <c r="AD1133" s="8"/>
    </row>
    <row r="1134" spans="1:30" x14ac:dyDescent="0.3">
      <c r="A1134" t="s">
        <v>1627</v>
      </c>
      <c r="B1134">
        <v>1412649</v>
      </c>
      <c r="D1134" t="s">
        <v>7</v>
      </c>
      <c r="E1134">
        <v>946408</v>
      </c>
      <c r="F1134">
        <v>9015884123</v>
      </c>
      <c r="G1134">
        <v>376</v>
      </c>
      <c r="H1134" t="s">
        <v>439</v>
      </c>
      <c r="I1134">
        <v>0</v>
      </c>
      <c r="J1134" t="s">
        <v>440</v>
      </c>
      <c r="K1134" t="s">
        <v>8</v>
      </c>
      <c r="L1134" t="s">
        <v>15</v>
      </c>
      <c r="M1134" t="s">
        <v>9</v>
      </c>
      <c r="N1134" t="s">
        <v>14</v>
      </c>
      <c r="O1134" s="2">
        <v>0</v>
      </c>
      <c r="P1134" s="3">
        <v>1429.48</v>
      </c>
      <c r="Q1134" s="1">
        <v>46033</v>
      </c>
      <c r="R1134" s="1">
        <v>45992</v>
      </c>
      <c r="S1134" s="1">
        <v>46022</v>
      </c>
      <c r="V1134" s="8">
        <v>1</v>
      </c>
      <c r="W1134" t="s">
        <v>24</v>
      </c>
      <c r="X1134" t="s">
        <v>441</v>
      </c>
      <c r="Y1134" t="s">
        <v>10</v>
      </c>
      <c r="Z1134" t="s">
        <v>11</v>
      </c>
      <c r="AA1134">
        <v>62371</v>
      </c>
      <c r="AB1134">
        <v>18577802</v>
      </c>
      <c r="AC1134">
        <v>1</v>
      </c>
      <c r="AD1134" s="8"/>
    </row>
    <row r="1135" spans="1:30" x14ac:dyDescent="0.3">
      <c r="A1135" t="s">
        <v>1627</v>
      </c>
      <c r="B1135">
        <v>1412656</v>
      </c>
      <c r="D1135" t="s">
        <v>7</v>
      </c>
      <c r="E1135">
        <v>946414</v>
      </c>
      <c r="F1135">
        <v>9015884123</v>
      </c>
      <c r="G1135">
        <v>378</v>
      </c>
      <c r="H1135" t="s">
        <v>1446</v>
      </c>
      <c r="I1135">
        <v>0</v>
      </c>
      <c r="J1135" t="s">
        <v>1447</v>
      </c>
      <c r="K1135" t="s">
        <v>8</v>
      </c>
      <c r="L1135" t="s">
        <v>15</v>
      </c>
      <c r="M1135" t="s">
        <v>9</v>
      </c>
      <c r="N1135" t="s">
        <v>14</v>
      </c>
      <c r="O1135" s="2">
        <v>0</v>
      </c>
      <c r="P1135" s="3">
        <v>2808.913</v>
      </c>
      <c r="Q1135" s="1">
        <v>46033</v>
      </c>
      <c r="R1135" s="1">
        <v>45992</v>
      </c>
      <c r="S1135" s="1">
        <v>46022</v>
      </c>
      <c r="V1135" s="8">
        <v>1</v>
      </c>
      <c r="W1135" t="s">
        <v>24</v>
      </c>
      <c r="X1135" t="s">
        <v>1448</v>
      </c>
      <c r="Y1135" t="s">
        <v>10</v>
      </c>
      <c r="Z1135" t="s">
        <v>11</v>
      </c>
      <c r="AA1135">
        <v>62371</v>
      </c>
      <c r="AB1135">
        <v>18365210</v>
      </c>
      <c r="AC1135">
        <v>1</v>
      </c>
      <c r="AD1135" s="8"/>
    </row>
    <row r="1136" spans="1:30" x14ac:dyDescent="0.3">
      <c r="A1136" t="s">
        <v>1627</v>
      </c>
      <c r="B1136">
        <v>1415509</v>
      </c>
      <c r="D1136" t="s">
        <v>7</v>
      </c>
      <c r="E1136">
        <v>946509</v>
      </c>
      <c r="F1136">
        <v>9015884123</v>
      </c>
      <c r="G1136">
        <v>408</v>
      </c>
      <c r="H1136" t="s">
        <v>916</v>
      </c>
      <c r="I1136">
        <v>0</v>
      </c>
      <c r="J1136" t="s">
        <v>917</v>
      </c>
      <c r="K1136" t="s">
        <v>8</v>
      </c>
      <c r="L1136" t="s">
        <v>19</v>
      </c>
      <c r="M1136" t="s">
        <v>9</v>
      </c>
      <c r="N1136" t="s">
        <v>14</v>
      </c>
      <c r="O1136" s="2">
        <v>1228.73</v>
      </c>
      <c r="P1136" s="3">
        <v>7.5309999999999997</v>
      </c>
      <c r="Q1136" s="1">
        <v>46033</v>
      </c>
      <c r="R1136" s="1">
        <v>45992</v>
      </c>
      <c r="S1136" s="1">
        <v>46022</v>
      </c>
      <c r="V1136" s="8">
        <v>1</v>
      </c>
      <c r="W1136" t="s">
        <v>24</v>
      </c>
      <c r="X1136" t="s">
        <v>918</v>
      </c>
      <c r="Y1136" t="s">
        <v>10</v>
      </c>
      <c r="Z1136" t="s">
        <v>11</v>
      </c>
      <c r="AA1136">
        <v>62371</v>
      </c>
      <c r="AB1136">
        <v>21493271</v>
      </c>
      <c r="AC1136">
        <v>1</v>
      </c>
      <c r="AD1136" s="8"/>
    </row>
    <row r="1137" spans="1:30" x14ac:dyDescent="0.3">
      <c r="A1137" t="s">
        <v>1627</v>
      </c>
      <c r="B1137">
        <v>1415526</v>
      </c>
      <c r="D1137" t="s">
        <v>7</v>
      </c>
      <c r="E1137">
        <v>946515</v>
      </c>
      <c r="F1137">
        <v>9015884123</v>
      </c>
      <c r="G1137">
        <v>410</v>
      </c>
      <c r="H1137" t="s">
        <v>922</v>
      </c>
      <c r="I1137">
        <v>0</v>
      </c>
      <c r="J1137" t="s">
        <v>923</v>
      </c>
      <c r="K1137" t="s">
        <v>8</v>
      </c>
      <c r="L1137" t="s">
        <v>67</v>
      </c>
      <c r="M1137" t="s">
        <v>9</v>
      </c>
      <c r="N1137" t="s">
        <v>14</v>
      </c>
      <c r="O1137" s="2">
        <v>100464.45</v>
      </c>
      <c r="P1137" s="3">
        <v>930.26300000000003</v>
      </c>
      <c r="Q1137" s="1">
        <v>46033</v>
      </c>
      <c r="R1137" s="1">
        <v>45992</v>
      </c>
      <c r="S1137" s="1">
        <v>46022</v>
      </c>
      <c r="V1137" s="8">
        <v>1</v>
      </c>
      <c r="W1137" t="s">
        <v>24</v>
      </c>
      <c r="X1137" t="s">
        <v>924</v>
      </c>
      <c r="Y1137" t="s">
        <v>189</v>
      </c>
      <c r="Z1137" t="s">
        <v>11</v>
      </c>
      <c r="AA1137">
        <v>62371</v>
      </c>
      <c r="AB1137">
        <v>21145461</v>
      </c>
      <c r="AC1137">
        <v>1</v>
      </c>
      <c r="AD1137" s="8"/>
    </row>
    <row r="1138" spans="1:30" x14ac:dyDescent="0.3">
      <c r="A1138" t="s">
        <v>1627</v>
      </c>
      <c r="B1138">
        <v>1418879</v>
      </c>
      <c r="D1138" t="s">
        <v>7</v>
      </c>
      <c r="E1138">
        <v>946655</v>
      </c>
      <c r="F1138">
        <v>9015884123</v>
      </c>
      <c r="G1138">
        <v>454</v>
      </c>
      <c r="H1138" t="s">
        <v>1570</v>
      </c>
      <c r="I1138">
        <v>0</v>
      </c>
      <c r="J1138" t="s">
        <v>1571</v>
      </c>
      <c r="K1138" t="s">
        <v>8</v>
      </c>
      <c r="L1138" t="s">
        <v>18</v>
      </c>
      <c r="M1138" t="s">
        <v>9</v>
      </c>
      <c r="N1138" t="s">
        <v>14</v>
      </c>
      <c r="O1138" s="2">
        <v>1.52</v>
      </c>
      <c r="P1138" s="3">
        <v>0</v>
      </c>
      <c r="Q1138" s="1">
        <v>46033</v>
      </c>
      <c r="R1138" s="1">
        <v>45992</v>
      </c>
      <c r="S1138" s="1">
        <v>46022</v>
      </c>
      <c r="V1138" s="8">
        <v>1</v>
      </c>
      <c r="W1138" t="s">
        <v>24</v>
      </c>
      <c r="X1138" t="s">
        <v>1572</v>
      </c>
      <c r="Y1138" t="s">
        <v>10</v>
      </c>
      <c r="Z1138" t="s">
        <v>11</v>
      </c>
      <c r="AA1138">
        <v>62371</v>
      </c>
      <c r="AB1138">
        <v>21185176</v>
      </c>
      <c r="AC1138">
        <v>0</v>
      </c>
      <c r="AD1138" s="8"/>
    </row>
    <row r="1139" spans="1:30" x14ac:dyDescent="0.3">
      <c r="A1139" t="s">
        <v>1627</v>
      </c>
      <c r="B1139">
        <v>1407503</v>
      </c>
      <c r="D1139" t="s">
        <v>7</v>
      </c>
      <c r="E1139">
        <v>946311</v>
      </c>
      <c r="F1139">
        <v>9015884123</v>
      </c>
      <c r="G1139">
        <v>327</v>
      </c>
      <c r="H1139" t="s">
        <v>907</v>
      </c>
      <c r="I1139">
        <v>0</v>
      </c>
      <c r="J1139" t="s">
        <v>908</v>
      </c>
      <c r="K1139" t="s">
        <v>8</v>
      </c>
      <c r="L1139" t="s">
        <v>18</v>
      </c>
      <c r="M1139" t="s">
        <v>9</v>
      </c>
      <c r="N1139" t="s">
        <v>14</v>
      </c>
      <c r="O1139" s="2">
        <v>-4.46</v>
      </c>
      <c r="P1139" s="3">
        <v>0</v>
      </c>
      <c r="Q1139" s="1">
        <v>46033</v>
      </c>
      <c r="R1139" s="1">
        <v>45992</v>
      </c>
      <c r="S1139" s="1">
        <v>46022</v>
      </c>
      <c r="V1139" s="8">
        <v>1</v>
      </c>
      <c r="W1139" t="s">
        <v>24</v>
      </c>
      <c r="X1139" t="s">
        <v>909</v>
      </c>
      <c r="Y1139" t="s">
        <v>10</v>
      </c>
      <c r="Z1139" t="s">
        <v>11</v>
      </c>
      <c r="AA1139">
        <v>62371</v>
      </c>
      <c r="AB1139">
        <v>19383328</v>
      </c>
      <c r="AC1139">
        <v>0</v>
      </c>
      <c r="AD1139" s="8"/>
    </row>
    <row r="1140" spans="1:30" x14ac:dyDescent="0.3">
      <c r="A1140" t="s">
        <v>1627</v>
      </c>
      <c r="B1140">
        <v>1426324</v>
      </c>
      <c r="D1140" t="s">
        <v>7</v>
      </c>
      <c r="E1140">
        <v>946715</v>
      </c>
      <c r="F1140">
        <v>9015884123</v>
      </c>
      <c r="G1140">
        <v>472</v>
      </c>
      <c r="H1140" t="s">
        <v>1452</v>
      </c>
      <c r="I1140">
        <v>0</v>
      </c>
      <c r="J1140" t="s">
        <v>1453</v>
      </c>
      <c r="K1140" t="s">
        <v>8</v>
      </c>
      <c r="L1140" t="s">
        <v>15</v>
      </c>
      <c r="M1140" t="s">
        <v>9</v>
      </c>
      <c r="N1140" t="s">
        <v>14</v>
      </c>
      <c r="O1140" s="2">
        <v>0</v>
      </c>
      <c r="P1140" s="3">
        <v>15699.027</v>
      </c>
      <c r="Q1140" s="1">
        <v>46033</v>
      </c>
      <c r="R1140" s="1">
        <v>45992</v>
      </c>
      <c r="S1140" s="1">
        <v>46022</v>
      </c>
      <c r="V1140" s="8">
        <v>1</v>
      </c>
      <c r="W1140" t="s">
        <v>24</v>
      </c>
      <c r="X1140" t="s">
        <v>1454</v>
      </c>
      <c r="Y1140" t="s">
        <v>10</v>
      </c>
      <c r="Z1140" t="s">
        <v>11</v>
      </c>
      <c r="AA1140">
        <v>62371</v>
      </c>
      <c r="AB1140">
        <v>17187451</v>
      </c>
      <c r="AC1140">
        <v>0</v>
      </c>
      <c r="AD1140" s="8"/>
    </row>
    <row r="1141" spans="1:30" x14ac:dyDescent="0.3">
      <c r="A1141" t="s">
        <v>1627</v>
      </c>
      <c r="B1141">
        <v>1428429</v>
      </c>
      <c r="D1141" t="s">
        <v>7</v>
      </c>
      <c r="E1141">
        <v>946741</v>
      </c>
      <c r="F1141">
        <v>9015884123</v>
      </c>
      <c r="G1141">
        <v>481</v>
      </c>
      <c r="H1141" t="s">
        <v>946</v>
      </c>
      <c r="I1141">
        <v>0</v>
      </c>
      <c r="J1141" t="s">
        <v>947</v>
      </c>
      <c r="K1141" t="s">
        <v>8</v>
      </c>
      <c r="L1141" t="s">
        <v>15</v>
      </c>
      <c r="M1141" t="s">
        <v>9</v>
      </c>
      <c r="N1141" t="s">
        <v>14</v>
      </c>
      <c r="O1141" s="2">
        <v>0</v>
      </c>
      <c r="P1141" s="3">
        <v>2533.3119999999999</v>
      </c>
      <c r="Q1141" s="1">
        <v>46033</v>
      </c>
      <c r="R1141" s="1">
        <v>45992</v>
      </c>
      <c r="S1141" s="1">
        <v>46022</v>
      </c>
      <c r="V1141" s="8">
        <v>1</v>
      </c>
      <c r="W1141" t="s">
        <v>24</v>
      </c>
      <c r="X1141" t="s">
        <v>948</v>
      </c>
      <c r="Y1141" t="s">
        <v>10</v>
      </c>
      <c r="Z1141" t="s">
        <v>11</v>
      </c>
      <c r="AA1141">
        <v>62371</v>
      </c>
      <c r="AB1141">
        <v>21491294</v>
      </c>
      <c r="AC1141">
        <v>1</v>
      </c>
      <c r="AD1141" s="8"/>
    </row>
    <row r="1142" spans="1:30" x14ac:dyDescent="0.3">
      <c r="A1142" t="s">
        <v>1627</v>
      </c>
      <c r="B1142">
        <v>1438082</v>
      </c>
      <c r="D1142" t="s">
        <v>7</v>
      </c>
      <c r="E1142">
        <v>946816</v>
      </c>
      <c r="F1142">
        <v>9015884123</v>
      </c>
      <c r="G1142">
        <v>506</v>
      </c>
      <c r="H1142" t="s">
        <v>1573</v>
      </c>
      <c r="I1142">
        <v>0</v>
      </c>
      <c r="J1142" t="s">
        <v>1574</v>
      </c>
      <c r="K1142" t="s">
        <v>8</v>
      </c>
      <c r="L1142" t="s">
        <v>19</v>
      </c>
      <c r="M1142" t="s">
        <v>9</v>
      </c>
      <c r="N1142" t="s">
        <v>14</v>
      </c>
      <c r="O1142" s="2">
        <v>17254.11</v>
      </c>
      <c r="P1142" s="3">
        <v>87.322000000000003</v>
      </c>
      <c r="Q1142" s="1">
        <v>46033</v>
      </c>
      <c r="R1142" s="1">
        <v>45992</v>
      </c>
      <c r="S1142" s="1">
        <v>46022</v>
      </c>
      <c r="V1142" s="8">
        <v>1</v>
      </c>
      <c r="W1142" t="s">
        <v>24</v>
      </c>
      <c r="X1142" t="s">
        <v>1575</v>
      </c>
      <c r="Y1142" t="s">
        <v>10</v>
      </c>
      <c r="Z1142" t="s">
        <v>11</v>
      </c>
      <c r="AA1142">
        <v>62371</v>
      </c>
      <c r="AB1142">
        <v>17528426</v>
      </c>
      <c r="AC1142">
        <v>0</v>
      </c>
      <c r="AD1142" s="8"/>
    </row>
    <row r="1143" spans="1:30" x14ac:dyDescent="0.3">
      <c r="A1143" t="s">
        <v>1627</v>
      </c>
      <c r="B1143">
        <v>1428431</v>
      </c>
      <c r="D1143" t="s">
        <v>7</v>
      </c>
      <c r="E1143">
        <v>946744</v>
      </c>
      <c r="F1143">
        <v>9015884123</v>
      </c>
      <c r="G1143">
        <v>482</v>
      </c>
      <c r="H1143" t="s">
        <v>1464</v>
      </c>
      <c r="I1143">
        <v>0</v>
      </c>
      <c r="J1143" t="s">
        <v>1465</v>
      </c>
      <c r="K1143" t="s">
        <v>8</v>
      </c>
      <c r="L1143" t="s">
        <v>18</v>
      </c>
      <c r="M1143" t="s">
        <v>9</v>
      </c>
      <c r="N1143" t="s">
        <v>14</v>
      </c>
      <c r="O1143" s="2">
        <v>4.7</v>
      </c>
      <c r="P1143" s="3">
        <v>0</v>
      </c>
      <c r="Q1143" s="1">
        <v>46033</v>
      </c>
      <c r="R1143" s="1">
        <v>45992</v>
      </c>
      <c r="S1143" s="1">
        <v>46022</v>
      </c>
      <c r="V1143" s="8">
        <v>1</v>
      </c>
      <c r="W1143" t="s">
        <v>24</v>
      </c>
      <c r="X1143" t="s">
        <v>1466</v>
      </c>
      <c r="Y1143" t="s">
        <v>10</v>
      </c>
      <c r="Z1143" t="s">
        <v>11</v>
      </c>
      <c r="AA1143">
        <v>62371</v>
      </c>
      <c r="AB1143">
        <v>21491303</v>
      </c>
      <c r="AC1143">
        <v>1</v>
      </c>
      <c r="AD1143" s="8"/>
    </row>
    <row r="1144" spans="1:30" x14ac:dyDescent="0.3">
      <c r="A1144" t="s">
        <v>1627</v>
      </c>
      <c r="B1144">
        <v>1428435</v>
      </c>
      <c r="D1144" t="s">
        <v>7</v>
      </c>
      <c r="E1144">
        <v>946769</v>
      </c>
      <c r="F1144">
        <v>9015884123</v>
      </c>
      <c r="G1144">
        <v>490</v>
      </c>
      <c r="H1144" t="s">
        <v>1576</v>
      </c>
      <c r="I1144">
        <v>0</v>
      </c>
      <c r="J1144" t="s">
        <v>1577</v>
      </c>
      <c r="K1144" t="s">
        <v>8</v>
      </c>
      <c r="L1144" t="s">
        <v>15</v>
      </c>
      <c r="M1144" t="s">
        <v>9</v>
      </c>
      <c r="N1144" t="s">
        <v>14</v>
      </c>
      <c r="O1144" s="2">
        <v>0</v>
      </c>
      <c r="P1144" s="3">
        <v>2297.0520000000001</v>
      </c>
      <c r="Q1144" s="1">
        <v>46033</v>
      </c>
      <c r="R1144" s="1">
        <v>45992</v>
      </c>
      <c r="S1144" s="1">
        <v>46022</v>
      </c>
      <c r="V1144" s="8">
        <v>1</v>
      </c>
      <c r="W1144" t="s">
        <v>24</v>
      </c>
      <c r="X1144" t="s">
        <v>1578</v>
      </c>
      <c r="Y1144" t="s">
        <v>10</v>
      </c>
      <c r="Z1144" t="s">
        <v>11</v>
      </c>
      <c r="AA1144">
        <v>62371</v>
      </c>
      <c r="AB1144">
        <v>21491295</v>
      </c>
      <c r="AC1144">
        <v>1</v>
      </c>
      <c r="AD1144" s="8"/>
    </row>
    <row r="1145" spans="1:30" x14ac:dyDescent="0.3">
      <c r="A1145" t="s">
        <v>1627</v>
      </c>
      <c r="B1145">
        <v>1412055</v>
      </c>
      <c r="D1145" t="s">
        <v>7</v>
      </c>
      <c r="E1145">
        <v>946334</v>
      </c>
      <c r="F1145">
        <v>9015884123</v>
      </c>
      <c r="G1145">
        <v>341</v>
      </c>
      <c r="H1145" t="s">
        <v>421</v>
      </c>
      <c r="I1145">
        <v>0</v>
      </c>
      <c r="J1145" t="s">
        <v>422</v>
      </c>
      <c r="K1145" t="s">
        <v>8</v>
      </c>
      <c r="L1145" t="s">
        <v>18</v>
      </c>
      <c r="M1145" t="s">
        <v>9</v>
      </c>
      <c r="N1145" t="s">
        <v>14</v>
      </c>
      <c r="O1145" s="2">
        <v>-1.07</v>
      </c>
      <c r="P1145" s="3">
        <v>0</v>
      </c>
      <c r="Q1145" s="1">
        <v>46033</v>
      </c>
      <c r="R1145" s="1">
        <v>45992</v>
      </c>
      <c r="S1145" s="1">
        <v>46022</v>
      </c>
      <c r="V1145" s="8">
        <v>1</v>
      </c>
      <c r="W1145" t="s">
        <v>24</v>
      </c>
      <c r="X1145" t="s">
        <v>423</v>
      </c>
      <c r="Y1145" t="s">
        <v>10</v>
      </c>
      <c r="Z1145" t="s">
        <v>11</v>
      </c>
      <c r="AA1145">
        <v>62371</v>
      </c>
      <c r="AB1145">
        <v>18412837</v>
      </c>
      <c r="AC1145">
        <v>1</v>
      </c>
      <c r="AD1145" s="8"/>
    </row>
    <row r="1146" spans="1:30" x14ac:dyDescent="0.3">
      <c r="A1146" t="s">
        <v>1627</v>
      </c>
      <c r="B1146">
        <v>1412130</v>
      </c>
      <c r="D1146" t="s">
        <v>7</v>
      </c>
      <c r="E1146">
        <v>946357</v>
      </c>
      <c r="F1146">
        <v>9015884123</v>
      </c>
      <c r="G1146">
        <v>351</v>
      </c>
      <c r="H1146" t="s">
        <v>1440</v>
      </c>
      <c r="I1146">
        <v>0</v>
      </c>
      <c r="J1146" t="s">
        <v>1441</v>
      </c>
      <c r="K1146" t="s">
        <v>8</v>
      </c>
      <c r="L1146" t="s">
        <v>67</v>
      </c>
      <c r="M1146" t="s">
        <v>9</v>
      </c>
      <c r="N1146" t="s">
        <v>14</v>
      </c>
      <c r="O1146" s="2">
        <v>226806.15</v>
      </c>
      <c r="P1146" s="3">
        <v>1592.3879999999999</v>
      </c>
      <c r="Q1146" s="1">
        <v>46033</v>
      </c>
      <c r="R1146" s="1">
        <v>45992</v>
      </c>
      <c r="S1146" s="1">
        <v>46022</v>
      </c>
      <c r="V1146" s="8">
        <v>1</v>
      </c>
      <c r="W1146" t="s">
        <v>24</v>
      </c>
      <c r="X1146" t="s">
        <v>1442</v>
      </c>
      <c r="Y1146" t="s">
        <v>10</v>
      </c>
      <c r="Z1146" t="s">
        <v>11</v>
      </c>
      <c r="AA1146">
        <v>62371</v>
      </c>
      <c r="AB1146">
        <v>18194184</v>
      </c>
      <c r="AC1146">
        <v>0</v>
      </c>
      <c r="AD1146" s="8"/>
    </row>
    <row r="1147" spans="1:30" x14ac:dyDescent="0.3">
      <c r="A1147" t="s">
        <v>1627</v>
      </c>
      <c r="B1147">
        <v>1412137</v>
      </c>
      <c r="D1147" t="s">
        <v>7</v>
      </c>
      <c r="E1147">
        <v>946377</v>
      </c>
      <c r="F1147">
        <v>9015884123</v>
      </c>
      <c r="G1147">
        <v>362</v>
      </c>
      <c r="H1147" t="s">
        <v>913</v>
      </c>
      <c r="I1147">
        <v>0</v>
      </c>
      <c r="J1147" t="s">
        <v>914</v>
      </c>
      <c r="K1147" t="s">
        <v>8</v>
      </c>
      <c r="L1147" t="s">
        <v>15</v>
      </c>
      <c r="M1147" t="s">
        <v>9</v>
      </c>
      <c r="N1147" t="s">
        <v>14</v>
      </c>
      <c r="O1147" s="2">
        <v>0</v>
      </c>
      <c r="P1147" s="3">
        <v>24602.367999999999</v>
      </c>
      <c r="Q1147" s="1">
        <v>46033</v>
      </c>
      <c r="R1147" s="1">
        <v>45992</v>
      </c>
      <c r="S1147" s="1">
        <v>46022</v>
      </c>
      <c r="V1147" s="8">
        <v>2</v>
      </c>
      <c r="W1147" t="s">
        <v>24</v>
      </c>
      <c r="X1147" t="s">
        <v>915</v>
      </c>
      <c r="Y1147" t="s">
        <v>10</v>
      </c>
      <c r="Z1147" t="s">
        <v>11</v>
      </c>
      <c r="AA1147">
        <v>62371</v>
      </c>
      <c r="AB1147">
        <v>19374742</v>
      </c>
      <c r="AC1147">
        <v>1</v>
      </c>
      <c r="AD1147" s="8"/>
    </row>
    <row r="1148" spans="1:30" x14ac:dyDescent="0.3">
      <c r="A1148" t="s">
        <v>1627</v>
      </c>
      <c r="B1148">
        <v>1412132</v>
      </c>
      <c r="D1148" t="s">
        <v>7</v>
      </c>
      <c r="E1148">
        <v>946363</v>
      </c>
      <c r="F1148">
        <v>9015884123</v>
      </c>
      <c r="G1148">
        <v>354</v>
      </c>
      <c r="H1148" t="s">
        <v>436</v>
      </c>
      <c r="I1148">
        <v>0</v>
      </c>
      <c r="J1148" t="s">
        <v>437</v>
      </c>
      <c r="K1148" t="s">
        <v>8</v>
      </c>
      <c r="L1148" t="s">
        <v>19</v>
      </c>
      <c r="M1148" t="s">
        <v>9</v>
      </c>
      <c r="N1148" t="s">
        <v>14</v>
      </c>
      <c r="O1148" s="2">
        <v>3179.65</v>
      </c>
      <c r="P1148" s="3">
        <v>16.091999999999999</v>
      </c>
      <c r="Q1148" s="1">
        <v>46033</v>
      </c>
      <c r="R1148" s="1">
        <v>45992</v>
      </c>
      <c r="S1148" s="1">
        <v>46022</v>
      </c>
      <c r="V1148" s="8">
        <v>1</v>
      </c>
      <c r="W1148" t="s">
        <v>24</v>
      </c>
      <c r="X1148" t="s">
        <v>438</v>
      </c>
      <c r="Y1148" t="s">
        <v>10</v>
      </c>
      <c r="Z1148" t="s">
        <v>11</v>
      </c>
      <c r="AA1148">
        <v>62371</v>
      </c>
      <c r="AB1148">
        <v>19389314</v>
      </c>
      <c r="AC1148">
        <v>0</v>
      </c>
      <c r="AD1148" s="8"/>
    </row>
    <row r="1149" spans="1:30" x14ac:dyDescent="0.3">
      <c r="A1149" t="s">
        <v>1627</v>
      </c>
      <c r="B1149">
        <v>1412140</v>
      </c>
      <c r="D1149" t="s">
        <v>7</v>
      </c>
      <c r="E1149">
        <v>946384</v>
      </c>
      <c r="F1149">
        <v>9015884123</v>
      </c>
      <c r="G1149">
        <v>366</v>
      </c>
      <c r="H1149" t="s">
        <v>1567</v>
      </c>
      <c r="I1149">
        <v>0</v>
      </c>
      <c r="J1149" t="s">
        <v>1568</v>
      </c>
      <c r="K1149" t="s">
        <v>8</v>
      </c>
      <c r="L1149" t="s">
        <v>67</v>
      </c>
      <c r="M1149" t="s">
        <v>9</v>
      </c>
      <c r="N1149" t="s">
        <v>14</v>
      </c>
      <c r="O1149" s="2">
        <v>304201.40999999997</v>
      </c>
      <c r="P1149" s="3">
        <v>2135.7739999999999</v>
      </c>
      <c r="Q1149" s="1">
        <v>46033</v>
      </c>
      <c r="R1149" s="1">
        <v>45992</v>
      </c>
      <c r="S1149" s="1">
        <v>46022</v>
      </c>
      <c r="V1149" s="8">
        <v>1</v>
      </c>
      <c r="W1149" t="s">
        <v>24</v>
      </c>
      <c r="X1149" t="s">
        <v>1569</v>
      </c>
      <c r="Y1149" t="s">
        <v>10</v>
      </c>
      <c r="Z1149" t="s">
        <v>11</v>
      </c>
      <c r="AA1149">
        <v>62371</v>
      </c>
      <c r="AB1149">
        <v>19402878</v>
      </c>
      <c r="AC1149">
        <v>0</v>
      </c>
      <c r="AD1149" s="8"/>
    </row>
    <row r="1150" spans="1:30" x14ac:dyDescent="0.3">
      <c r="A1150" t="s">
        <v>1627</v>
      </c>
      <c r="B1150">
        <v>1415542</v>
      </c>
      <c r="D1150" t="s">
        <v>7</v>
      </c>
      <c r="E1150">
        <v>946560</v>
      </c>
      <c r="F1150">
        <v>9015884123</v>
      </c>
      <c r="G1150">
        <v>423</v>
      </c>
      <c r="H1150" t="s">
        <v>454</v>
      </c>
      <c r="I1150">
        <v>0</v>
      </c>
      <c r="J1150" t="s">
        <v>455</v>
      </c>
      <c r="K1150" t="s">
        <v>8</v>
      </c>
      <c r="L1150" t="s">
        <v>15</v>
      </c>
      <c r="M1150" t="s">
        <v>9</v>
      </c>
      <c r="N1150" t="s">
        <v>14</v>
      </c>
      <c r="O1150" s="2">
        <v>0</v>
      </c>
      <c r="P1150" s="3">
        <v>29416.904999999999</v>
      </c>
      <c r="Q1150" s="1">
        <v>46033</v>
      </c>
      <c r="R1150" s="1">
        <v>45992</v>
      </c>
      <c r="S1150" s="1">
        <v>46022</v>
      </c>
      <c r="V1150" s="8">
        <v>1</v>
      </c>
      <c r="W1150" t="s">
        <v>24</v>
      </c>
      <c r="X1150" t="s">
        <v>456</v>
      </c>
      <c r="Y1150" t="s">
        <v>10</v>
      </c>
      <c r="Z1150" t="s">
        <v>11</v>
      </c>
      <c r="AA1150">
        <v>62371</v>
      </c>
      <c r="AB1150">
        <v>18539603</v>
      </c>
      <c r="AC1150">
        <v>1</v>
      </c>
      <c r="AD1150" s="8"/>
    </row>
    <row r="1151" spans="1:30" x14ac:dyDescent="0.3">
      <c r="A1151" t="s">
        <v>1627</v>
      </c>
      <c r="B1151">
        <v>1438071</v>
      </c>
      <c r="D1151" t="s">
        <v>7</v>
      </c>
      <c r="E1151">
        <v>946832</v>
      </c>
      <c r="F1151">
        <v>9015884123</v>
      </c>
      <c r="G1151">
        <v>511</v>
      </c>
      <c r="H1151" t="s">
        <v>1455</v>
      </c>
      <c r="I1151">
        <v>0</v>
      </c>
      <c r="J1151" t="s">
        <v>1456</v>
      </c>
      <c r="K1151" t="s">
        <v>8</v>
      </c>
      <c r="L1151" t="s">
        <v>19</v>
      </c>
      <c r="M1151" t="s">
        <v>9</v>
      </c>
      <c r="N1151" t="s">
        <v>14</v>
      </c>
      <c r="O1151" s="2">
        <v>29126.62</v>
      </c>
      <c r="P1151" s="3">
        <v>178.52</v>
      </c>
      <c r="Q1151" s="1">
        <v>46033</v>
      </c>
      <c r="R1151" s="1">
        <v>45992</v>
      </c>
      <c r="S1151" s="1">
        <v>46022</v>
      </c>
      <c r="V1151" s="8">
        <v>1</v>
      </c>
      <c r="W1151" t="s">
        <v>24</v>
      </c>
      <c r="X1151" t="s">
        <v>1457</v>
      </c>
      <c r="Y1151" t="s">
        <v>10</v>
      </c>
      <c r="Z1151" t="s">
        <v>11</v>
      </c>
      <c r="AA1151">
        <v>62371</v>
      </c>
      <c r="AB1151">
        <v>21376595</v>
      </c>
      <c r="AC1151">
        <v>1</v>
      </c>
      <c r="AD1151" s="8"/>
    </row>
    <row r="1152" spans="1:30" x14ac:dyDescent="0.3">
      <c r="A1152" t="s">
        <v>1627</v>
      </c>
      <c r="B1152">
        <v>1415379</v>
      </c>
      <c r="D1152" t="s">
        <v>7</v>
      </c>
      <c r="E1152">
        <v>946452</v>
      </c>
      <c r="F1152">
        <v>9015884123</v>
      </c>
      <c r="G1152">
        <v>390</v>
      </c>
      <c r="H1152" t="s">
        <v>460</v>
      </c>
      <c r="I1152">
        <v>0</v>
      </c>
      <c r="J1152" t="s">
        <v>461</v>
      </c>
      <c r="K1152" t="s">
        <v>8</v>
      </c>
      <c r="L1152" t="s">
        <v>19</v>
      </c>
      <c r="M1152" t="s">
        <v>9</v>
      </c>
      <c r="N1152" t="s">
        <v>14</v>
      </c>
      <c r="O1152" s="2">
        <v>5361.65</v>
      </c>
      <c r="P1152" s="3">
        <v>27.135000000000002</v>
      </c>
      <c r="Q1152" s="1">
        <v>46033</v>
      </c>
      <c r="R1152" s="1">
        <v>45992</v>
      </c>
      <c r="S1152" s="1">
        <v>46022</v>
      </c>
      <c r="V1152" s="8">
        <v>1</v>
      </c>
      <c r="W1152" t="s">
        <v>24</v>
      </c>
      <c r="X1152" t="s">
        <v>462</v>
      </c>
      <c r="Y1152" t="s">
        <v>10</v>
      </c>
      <c r="Z1152" t="s">
        <v>11</v>
      </c>
      <c r="AA1152">
        <v>62371</v>
      </c>
      <c r="AB1152">
        <v>17041405</v>
      </c>
      <c r="AC1152">
        <v>0</v>
      </c>
      <c r="AD1152" s="8"/>
    </row>
    <row r="1153" spans="1:30" x14ac:dyDescent="0.3">
      <c r="A1153" t="s">
        <v>1627</v>
      </c>
      <c r="B1153">
        <v>1413879</v>
      </c>
      <c r="D1153" t="s">
        <v>7</v>
      </c>
      <c r="E1153">
        <v>946572</v>
      </c>
      <c r="F1153">
        <v>9015884123</v>
      </c>
      <c r="G1153">
        <v>426</v>
      </c>
      <c r="H1153" t="s">
        <v>934</v>
      </c>
      <c r="I1153">
        <v>0</v>
      </c>
      <c r="J1153" t="s">
        <v>935</v>
      </c>
      <c r="K1153" t="s">
        <v>8</v>
      </c>
      <c r="L1153" t="s">
        <v>18</v>
      </c>
      <c r="M1153" t="s">
        <v>9</v>
      </c>
      <c r="N1153" t="s">
        <v>14</v>
      </c>
      <c r="O1153" s="2">
        <v>3.34</v>
      </c>
      <c r="P1153" s="3">
        <v>0</v>
      </c>
      <c r="Q1153" s="1">
        <v>46033</v>
      </c>
      <c r="R1153" s="1">
        <v>45992</v>
      </c>
      <c r="S1153" s="1">
        <v>46022</v>
      </c>
      <c r="V1153" s="8">
        <v>1</v>
      </c>
      <c r="W1153" t="s">
        <v>24</v>
      </c>
      <c r="X1153" t="s">
        <v>936</v>
      </c>
      <c r="Y1153" t="s">
        <v>369</v>
      </c>
      <c r="Z1153" t="s">
        <v>11</v>
      </c>
      <c r="AA1153">
        <v>62371</v>
      </c>
      <c r="AB1153">
        <v>18355282</v>
      </c>
      <c r="AC1153">
        <v>0</v>
      </c>
      <c r="AD1153" s="8"/>
    </row>
    <row r="1154" spans="1:30" x14ac:dyDescent="0.3">
      <c r="A1154" t="s">
        <v>1627</v>
      </c>
      <c r="B1154">
        <v>1416886</v>
      </c>
      <c r="D1154" t="s">
        <v>7</v>
      </c>
      <c r="E1154">
        <v>946594</v>
      </c>
      <c r="F1154">
        <v>9015884123</v>
      </c>
      <c r="G1154">
        <v>433</v>
      </c>
      <c r="H1154" t="s">
        <v>1289</v>
      </c>
      <c r="I1154">
        <v>0</v>
      </c>
      <c r="J1154" t="s">
        <v>1290</v>
      </c>
      <c r="K1154" t="s">
        <v>8</v>
      </c>
      <c r="L1154" t="s">
        <v>15</v>
      </c>
      <c r="M1154" t="s">
        <v>9</v>
      </c>
      <c r="N1154" t="s">
        <v>14</v>
      </c>
      <c r="O1154" s="2">
        <v>0</v>
      </c>
      <c r="P1154" s="3">
        <v>11678.05</v>
      </c>
      <c r="Q1154" s="1">
        <v>46033</v>
      </c>
      <c r="R1154" s="1">
        <v>45992</v>
      </c>
      <c r="S1154" s="1">
        <v>46022</v>
      </c>
      <c r="V1154" s="8">
        <v>1</v>
      </c>
      <c r="W1154" t="s">
        <v>24</v>
      </c>
      <c r="X1154" t="s">
        <v>1291</v>
      </c>
      <c r="Y1154" t="s">
        <v>10</v>
      </c>
      <c r="Z1154" t="s">
        <v>11</v>
      </c>
      <c r="AA1154">
        <v>62371</v>
      </c>
      <c r="AB1154">
        <v>21493322</v>
      </c>
      <c r="AC1154">
        <v>1</v>
      </c>
      <c r="AD1154" s="8"/>
    </row>
    <row r="1155" spans="1:30" x14ac:dyDescent="0.3">
      <c r="A1155" t="s">
        <v>1627</v>
      </c>
      <c r="B1155">
        <v>1426324</v>
      </c>
      <c r="D1155" t="s">
        <v>7</v>
      </c>
      <c r="E1155">
        <v>946715</v>
      </c>
      <c r="F1155">
        <v>9015884123</v>
      </c>
      <c r="G1155">
        <v>472</v>
      </c>
      <c r="H1155" t="s">
        <v>1452</v>
      </c>
      <c r="I1155">
        <v>0</v>
      </c>
      <c r="J1155" t="s">
        <v>1453</v>
      </c>
      <c r="K1155" t="s">
        <v>8</v>
      </c>
      <c r="L1155" t="s">
        <v>19</v>
      </c>
      <c r="M1155" t="s">
        <v>9</v>
      </c>
      <c r="N1155" t="s">
        <v>14</v>
      </c>
      <c r="O1155" s="2">
        <v>39759.019999999997</v>
      </c>
      <c r="P1155" s="3">
        <v>201.21799999999999</v>
      </c>
      <c r="Q1155" s="1">
        <v>46033</v>
      </c>
      <c r="R1155" s="1">
        <v>45992</v>
      </c>
      <c r="S1155" s="1">
        <v>46022</v>
      </c>
      <c r="V1155" s="8">
        <v>1</v>
      </c>
      <c r="W1155" t="s">
        <v>24</v>
      </c>
      <c r="X1155" t="s">
        <v>1454</v>
      </c>
      <c r="Y1155" t="s">
        <v>10</v>
      </c>
      <c r="Z1155" t="s">
        <v>11</v>
      </c>
      <c r="AA1155">
        <v>62371</v>
      </c>
      <c r="AB1155">
        <v>17187451</v>
      </c>
      <c r="AC1155">
        <v>0</v>
      </c>
      <c r="AD1155" s="8"/>
    </row>
    <row r="1156" spans="1:30" x14ac:dyDescent="0.3">
      <c r="A1156" t="s">
        <v>1627</v>
      </c>
      <c r="B1156">
        <v>1428403</v>
      </c>
      <c r="D1156" t="s">
        <v>7</v>
      </c>
      <c r="E1156">
        <v>946725</v>
      </c>
      <c r="F1156">
        <v>9015884123</v>
      </c>
      <c r="G1156">
        <v>476</v>
      </c>
      <c r="H1156" t="s">
        <v>496</v>
      </c>
      <c r="I1156">
        <v>0</v>
      </c>
      <c r="J1156" t="s">
        <v>497</v>
      </c>
      <c r="K1156" t="s">
        <v>8</v>
      </c>
      <c r="L1156" t="s">
        <v>67</v>
      </c>
      <c r="M1156" t="s">
        <v>9</v>
      </c>
      <c r="N1156" t="s">
        <v>14</v>
      </c>
      <c r="O1156" s="2">
        <v>130053.45</v>
      </c>
      <c r="P1156" s="3">
        <v>1204.2460000000001</v>
      </c>
      <c r="Q1156" s="1">
        <v>46033</v>
      </c>
      <c r="R1156" s="1">
        <v>45992</v>
      </c>
      <c r="S1156" s="1">
        <v>46022</v>
      </c>
      <c r="V1156" s="8">
        <v>1</v>
      </c>
      <c r="W1156" t="s">
        <v>24</v>
      </c>
      <c r="X1156" t="s">
        <v>498</v>
      </c>
      <c r="Y1156" t="s">
        <v>10</v>
      </c>
      <c r="Z1156" t="s">
        <v>11</v>
      </c>
      <c r="AA1156">
        <v>62371</v>
      </c>
      <c r="AB1156">
        <v>21376435</v>
      </c>
      <c r="AC1156">
        <v>1</v>
      </c>
      <c r="AD1156" s="8"/>
    </row>
    <row r="1157" spans="1:30" x14ac:dyDescent="0.3">
      <c r="A1157" t="s">
        <v>1627</v>
      </c>
      <c r="B1157">
        <v>1428434</v>
      </c>
      <c r="D1157" t="s">
        <v>7</v>
      </c>
      <c r="E1157">
        <v>946756</v>
      </c>
      <c r="F1157">
        <v>9015884123</v>
      </c>
      <c r="G1157">
        <v>486</v>
      </c>
      <c r="H1157" t="s">
        <v>961</v>
      </c>
      <c r="I1157">
        <v>0</v>
      </c>
      <c r="J1157" t="s">
        <v>962</v>
      </c>
      <c r="K1157" t="s">
        <v>8</v>
      </c>
      <c r="L1157" t="s">
        <v>18</v>
      </c>
      <c r="M1157" t="s">
        <v>9</v>
      </c>
      <c r="N1157" t="s">
        <v>14</v>
      </c>
      <c r="O1157" s="2">
        <v>0</v>
      </c>
      <c r="P1157" s="3">
        <v>0</v>
      </c>
      <c r="Q1157" s="1">
        <v>46033</v>
      </c>
      <c r="R1157" s="1">
        <v>45992</v>
      </c>
      <c r="S1157" s="1">
        <v>46022</v>
      </c>
      <c r="V1157" s="8">
        <v>1</v>
      </c>
      <c r="W1157" t="s">
        <v>24</v>
      </c>
      <c r="X1157" t="s">
        <v>963</v>
      </c>
      <c r="Y1157" t="s">
        <v>10</v>
      </c>
      <c r="Z1157" t="s">
        <v>11</v>
      </c>
      <c r="AA1157">
        <v>62371</v>
      </c>
      <c r="AB1157">
        <v>21491289</v>
      </c>
      <c r="AC1157">
        <v>1</v>
      </c>
      <c r="AD1157" s="8"/>
    </row>
    <row r="1158" spans="1:30" x14ac:dyDescent="0.3">
      <c r="A1158" t="s">
        <v>1627</v>
      </c>
      <c r="B1158">
        <v>1428420</v>
      </c>
      <c r="D1158" t="s">
        <v>7</v>
      </c>
      <c r="E1158">
        <v>946772</v>
      </c>
      <c r="F1158">
        <v>9015884123</v>
      </c>
      <c r="G1158">
        <v>491</v>
      </c>
      <c r="H1158" t="s">
        <v>1458</v>
      </c>
      <c r="I1158">
        <v>0</v>
      </c>
      <c r="J1158" t="s">
        <v>1459</v>
      </c>
      <c r="K1158" t="s">
        <v>8</v>
      </c>
      <c r="L1158" t="s">
        <v>15</v>
      </c>
      <c r="M1158" t="s">
        <v>9</v>
      </c>
      <c r="N1158" t="s">
        <v>14</v>
      </c>
      <c r="O1158" s="2">
        <v>0</v>
      </c>
      <c r="P1158" s="3">
        <v>937.32100000000003</v>
      </c>
      <c r="Q1158" s="1">
        <v>46033</v>
      </c>
      <c r="R1158" s="1">
        <v>45992</v>
      </c>
      <c r="S1158" s="1">
        <v>46022</v>
      </c>
      <c r="V1158" s="8">
        <v>1</v>
      </c>
      <c r="W1158" t="s">
        <v>24</v>
      </c>
      <c r="X1158" t="s">
        <v>1460</v>
      </c>
      <c r="Y1158" t="s">
        <v>10</v>
      </c>
      <c r="Z1158" t="s">
        <v>11</v>
      </c>
      <c r="AA1158">
        <v>62371</v>
      </c>
      <c r="AB1158">
        <v>21376437</v>
      </c>
      <c r="AC1158">
        <v>1</v>
      </c>
      <c r="AD1158" s="8"/>
    </row>
    <row r="1159" spans="1:30" x14ac:dyDescent="0.3">
      <c r="A1159" t="s">
        <v>1627</v>
      </c>
      <c r="B1159">
        <v>1438082</v>
      </c>
      <c r="D1159" t="s">
        <v>7</v>
      </c>
      <c r="E1159">
        <v>946816</v>
      </c>
      <c r="F1159">
        <v>9015884123</v>
      </c>
      <c r="G1159">
        <v>506</v>
      </c>
      <c r="H1159" t="s">
        <v>1573</v>
      </c>
      <c r="I1159">
        <v>0</v>
      </c>
      <c r="J1159" t="s">
        <v>1574</v>
      </c>
      <c r="K1159" t="s">
        <v>8</v>
      </c>
      <c r="L1159" t="s">
        <v>15</v>
      </c>
      <c r="M1159" t="s">
        <v>9</v>
      </c>
      <c r="N1159" t="s">
        <v>14</v>
      </c>
      <c r="O1159" s="2">
        <v>0</v>
      </c>
      <c r="P1159" s="3">
        <v>3418.212</v>
      </c>
      <c r="Q1159" s="1">
        <v>46033</v>
      </c>
      <c r="R1159" s="1">
        <v>45992</v>
      </c>
      <c r="S1159" s="1">
        <v>46022</v>
      </c>
      <c r="V1159" s="8">
        <v>1</v>
      </c>
      <c r="W1159" t="s">
        <v>24</v>
      </c>
      <c r="X1159" t="s">
        <v>1575</v>
      </c>
      <c r="Y1159" t="s">
        <v>10</v>
      </c>
      <c r="Z1159" t="s">
        <v>11</v>
      </c>
      <c r="AA1159">
        <v>62371</v>
      </c>
      <c r="AB1159">
        <v>17528426</v>
      </c>
      <c r="AC1159">
        <v>0</v>
      </c>
      <c r="AD1159" s="8"/>
    </row>
    <row r="1160" spans="1:30" x14ac:dyDescent="0.3">
      <c r="A1160" t="s">
        <v>1627</v>
      </c>
      <c r="B1160">
        <v>1428528</v>
      </c>
      <c r="D1160" t="s">
        <v>7</v>
      </c>
      <c r="E1160">
        <v>946806</v>
      </c>
      <c r="F1160">
        <v>9015884123</v>
      </c>
      <c r="G1160">
        <v>503</v>
      </c>
      <c r="H1160" t="s">
        <v>487</v>
      </c>
      <c r="I1160">
        <v>0</v>
      </c>
      <c r="J1160" t="s">
        <v>488</v>
      </c>
      <c r="K1160" t="s">
        <v>8</v>
      </c>
      <c r="L1160" t="s">
        <v>15</v>
      </c>
      <c r="M1160" t="s">
        <v>9</v>
      </c>
      <c r="N1160" t="s">
        <v>14</v>
      </c>
      <c r="O1160" s="2">
        <v>0</v>
      </c>
      <c r="P1160" s="3">
        <v>2532.6019999999999</v>
      </c>
      <c r="Q1160" s="1">
        <v>46033</v>
      </c>
      <c r="R1160" s="1">
        <v>45992</v>
      </c>
      <c r="S1160" s="1">
        <v>46022</v>
      </c>
      <c r="V1160" s="8">
        <v>1</v>
      </c>
      <c r="W1160" t="s">
        <v>24</v>
      </c>
      <c r="X1160" t="s">
        <v>489</v>
      </c>
      <c r="Y1160" t="s">
        <v>10</v>
      </c>
      <c r="Z1160" t="s">
        <v>11</v>
      </c>
      <c r="AA1160">
        <v>62371</v>
      </c>
      <c r="AB1160">
        <v>21376634</v>
      </c>
      <c r="AC1160">
        <v>1</v>
      </c>
      <c r="AD1160" s="8"/>
    </row>
    <row r="1161" spans="1:30" x14ac:dyDescent="0.3">
      <c r="A1161" t="s">
        <v>1627</v>
      </c>
      <c r="B1161">
        <v>1428409</v>
      </c>
      <c r="D1161" t="s">
        <v>7</v>
      </c>
      <c r="E1161">
        <v>946759</v>
      </c>
      <c r="F1161">
        <v>9015884123</v>
      </c>
      <c r="G1161">
        <v>487</v>
      </c>
      <c r="H1161" t="s">
        <v>511</v>
      </c>
      <c r="I1161">
        <v>0</v>
      </c>
      <c r="J1161" t="s">
        <v>512</v>
      </c>
      <c r="K1161" t="s">
        <v>8</v>
      </c>
      <c r="L1161" t="s">
        <v>67</v>
      </c>
      <c r="M1161" t="s">
        <v>9</v>
      </c>
      <c r="N1161" t="s">
        <v>14</v>
      </c>
      <c r="O1161" s="2">
        <v>275866.94</v>
      </c>
      <c r="P1161" s="3">
        <v>2554.424</v>
      </c>
      <c r="Q1161" s="1">
        <v>46033</v>
      </c>
      <c r="R1161" s="1">
        <v>45992</v>
      </c>
      <c r="S1161" s="1">
        <v>46022</v>
      </c>
      <c r="V1161" s="8">
        <v>1</v>
      </c>
      <c r="W1161" t="s">
        <v>24</v>
      </c>
      <c r="X1161" t="s">
        <v>513</v>
      </c>
      <c r="Y1161" t="s">
        <v>10</v>
      </c>
      <c r="Z1161" t="s">
        <v>11</v>
      </c>
      <c r="AA1161">
        <v>62371</v>
      </c>
      <c r="AB1161">
        <v>21376443</v>
      </c>
      <c r="AC1161">
        <v>1</v>
      </c>
      <c r="AD1161" s="8"/>
    </row>
    <row r="1162" spans="1:30" x14ac:dyDescent="0.3">
      <c r="A1162" t="s">
        <v>1627</v>
      </c>
      <c r="B1162">
        <v>1428409</v>
      </c>
      <c r="D1162" t="s">
        <v>7</v>
      </c>
      <c r="E1162">
        <v>946759</v>
      </c>
      <c r="F1162">
        <v>9015884123</v>
      </c>
      <c r="G1162">
        <v>487</v>
      </c>
      <c r="H1162" t="s">
        <v>511</v>
      </c>
      <c r="I1162">
        <v>0</v>
      </c>
      <c r="J1162" t="s">
        <v>512</v>
      </c>
      <c r="K1162" t="s">
        <v>8</v>
      </c>
      <c r="L1162" t="s">
        <v>19</v>
      </c>
      <c r="M1162" t="s">
        <v>9</v>
      </c>
      <c r="N1162" t="s">
        <v>14</v>
      </c>
      <c r="O1162" s="2">
        <v>9016.98</v>
      </c>
      <c r="P1162" s="3">
        <v>55.265999999999998</v>
      </c>
      <c r="Q1162" s="1">
        <v>46033</v>
      </c>
      <c r="R1162" s="1">
        <v>45992</v>
      </c>
      <c r="S1162" s="1">
        <v>46022</v>
      </c>
      <c r="V1162" s="8">
        <v>1</v>
      </c>
      <c r="W1162" t="s">
        <v>24</v>
      </c>
      <c r="X1162" t="s">
        <v>513</v>
      </c>
      <c r="Y1162" t="s">
        <v>10</v>
      </c>
      <c r="Z1162" t="s">
        <v>11</v>
      </c>
      <c r="AA1162">
        <v>62371</v>
      </c>
      <c r="AB1162">
        <v>21376443</v>
      </c>
      <c r="AC1162">
        <v>1</v>
      </c>
      <c r="AD1162" s="8"/>
    </row>
    <row r="1163" spans="1:30" x14ac:dyDescent="0.3">
      <c r="A1163" t="s">
        <v>1627</v>
      </c>
      <c r="B1163">
        <v>1428435</v>
      </c>
      <c r="D1163" t="s">
        <v>7</v>
      </c>
      <c r="E1163">
        <v>946769</v>
      </c>
      <c r="F1163">
        <v>9015884123</v>
      </c>
      <c r="G1163">
        <v>490</v>
      </c>
      <c r="H1163" t="s">
        <v>1576</v>
      </c>
      <c r="I1163">
        <v>0</v>
      </c>
      <c r="J1163" t="s">
        <v>1577</v>
      </c>
      <c r="K1163" t="s">
        <v>8</v>
      </c>
      <c r="L1163" t="s">
        <v>19</v>
      </c>
      <c r="M1163" t="s">
        <v>9</v>
      </c>
      <c r="N1163" t="s">
        <v>14</v>
      </c>
      <c r="O1163" s="2">
        <v>2356.9499999999998</v>
      </c>
      <c r="P1163" s="3">
        <v>14.446</v>
      </c>
      <c r="Q1163" s="1">
        <v>46033</v>
      </c>
      <c r="R1163" s="1">
        <v>45992</v>
      </c>
      <c r="S1163" s="1">
        <v>46022</v>
      </c>
      <c r="V1163" s="8">
        <v>1</v>
      </c>
      <c r="W1163" t="s">
        <v>24</v>
      </c>
      <c r="X1163" t="s">
        <v>1578</v>
      </c>
      <c r="Y1163" t="s">
        <v>10</v>
      </c>
      <c r="Z1163" t="s">
        <v>11</v>
      </c>
      <c r="AA1163">
        <v>62371</v>
      </c>
      <c r="AB1163">
        <v>21491295</v>
      </c>
      <c r="AC1163">
        <v>1</v>
      </c>
      <c r="AD1163" s="8"/>
    </row>
    <row r="1164" spans="1:30" x14ac:dyDescent="0.3">
      <c r="A1164" t="s">
        <v>1627</v>
      </c>
      <c r="B1164">
        <v>1443050</v>
      </c>
      <c r="D1164" t="s">
        <v>7</v>
      </c>
      <c r="E1164">
        <v>946838</v>
      </c>
      <c r="F1164">
        <v>9015884123</v>
      </c>
      <c r="G1164">
        <v>514</v>
      </c>
      <c r="H1164" t="s">
        <v>973</v>
      </c>
      <c r="I1164">
        <v>0</v>
      </c>
      <c r="J1164" t="s">
        <v>974</v>
      </c>
      <c r="K1164" t="s">
        <v>8</v>
      </c>
      <c r="L1164" t="s">
        <v>18</v>
      </c>
      <c r="M1164" t="s">
        <v>9</v>
      </c>
      <c r="N1164" t="s">
        <v>14</v>
      </c>
      <c r="O1164" s="2">
        <v>-2.75</v>
      </c>
      <c r="P1164" s="3">
        <v>0</v>
      </c>
      <c r="Q1164" s="1">
        <v>46033</v>
      </c>
      <c r="R1164" s="1">
        <v>45992</v>
      </c>
      <c r="S1164" s="1">
        <v>46022</v>
      </c>
      <c r="V1164" s="8">
        <v>1</v>
      </c>
      <c r="W1164" t="s">
        <v>24</v>
      </c>
      <c r="X1164" t="s">
        <v>975</v>
      </c>
      <c r="Y1164" t="s">
        <v>10</v>
      </c>
      <c r="Z1164" t="s">
        <v>11</v>
      </c>
      <c r="AA1164">
        <v>62371</v>
      </c>
      <c r="AB1164">
        <v>19897494</v>
      </c>
      <c r="AC1164">
        <v>1</v>
      </c>
      <c r="AD1164" s="8"/>
    </row>
    <row r="1165" spans="1:30" x14ac:dyDescent="0.3">
      <c r="A1165" t="s">
        <v>1627</v>
      </c>
      <c r="B1165">
        <v>1441789</v>
      </c>
      <c r="D1165" t="s">
        <v>7</v>
      </c>
      <c r="E1165">
        <v>946841</v>
      </c>
      <c r="F1165">
        <v>9015884123</v>
      </c>
      <c r="G1165">
        <v>515</v>
      </c>
      <c r="H1165" t="s">
        <v>1467</v>
      </c>
      <c r="I1165">
        <v>0</v>
      </c>
      <c r="J1165" t="s">
        <v>1468</v>
      </c>
      <c r="K1165" t="s">
        <v>8</v>
      </c>
      <c r="L1165" t="s">
        <v>18</v>
      </c>
      <c r="M1165" t="s">
        <v>9</v>
      </c>
      <c r="N1165" t="s">
        <v>14</v>
      </c>
      <c r="O1165" s="2">
        <v>-2.35</v>
      </c>
      <c r="P1165" s="3">
        <v>0</v>
      </c>
      <c r="Q1165" s="1">
        <v>46033</v>
      </c>
      <c r="R1165" s="1">
        <v>45992</v>
      </c>
      <c r="S1165" s="1">
        <v>46022</v>
      </c>
      <c r="V1165" s="8">
        <v>1</v>
      </c>
      <c r="W1165" t="s">
        <v>24</v>
      </c>
      <c r="X1165" t="s">
        <v>1469</v>
      </c>
      <c r="Y1165" t="s">
        <v>10</v>
      </c>
      <c r="Z1165" t="s">
        <v>11</v>
      </c>
      <c r="AA1165">
        <v>62371</v>
      </c>
      <c r="AB1165">
        <v>19890011</v>
      </c>
      <c r="AC1165">
        <v>1</v>
      </c>
      <c r="AD1165" s="8"/>
    </row>
    <row r="1166" spans="1:30" x14ac:dyDescent="0.3">
      <c r="A1166" t="s">
        <v>1627</v>
      </c>
      <c r="B1166">
        <v>1281726</v>
      </c>
      <c r="D1166" t="s">
        <v>7</v>
      </c>
      <c r="E1166">
        <v>945136</v>
      </c>
      <c r="F1166">
        <v>9015884123</v>
      </c>
      <c r="G1166">
        <v>2</v>
      </c>
      <c r="H1166" t="s">
        <v>985</v>
      </c>
      <c r="I1166">
        <v>0</v>
      </c>
      <c r="J1166" t="s">
        <v>986</v>
      </c>
      <c r="K1166" t="s">
        <v>8</v>
      </c>
      <c r="L1166" t="s">
        <v>67</v>
      </c>
      <c r="M1166" t="s">
        <v>9</v>
      </c>
      <c r="N1166" t="s">
        <v>14</v>
      </c>
      <c r="O1166" s="2">
        <v>20583.48</v>
      </c>
      <c r="P1166" s="3">
        <v>144.51499999999999</v>
      </c>
      <c r="Q1166" s="1">
        <v>46033</v>
      </c>
      <c r="R1166" s="1">
        <v>45992</v>
      </c>
      <c r="S1166" s="1">
        <v>46022</v>
      </c>
      <c r="V1166" s="8">
        <v>1</v>
      </c>
      <c r="W1166" t="s">
        <v>24</v>
      </c>
      <c r="X1166" t="s">
        <v>987</v>
      </c>
      <c r="Y1166" t="s">
        <v>10</v>
      </c>
      <c r="Z1166" t="s">
        <v>11</v>
      </c>
      <c r="AA1166">
        <v>62371</v>
      </c>
      <c r="AB1166">
        <v>19385918</v>
      </c>
      <c r="AC1166">
        <v>0</v>
      </c>
      <c r="AD1166" s="8"/>
    </row>
    <row r="1167" spans="1:30" x14ac:dyDescent="0.3">
      <c r="A1167" t="s">
        <v>1627</v>
      </c>
      <c r="B1167">
        <v>1444836</v>
      </c>
      <c r="D1167" t="s">
        <v>7</v>
      </c>
      <c r="E1167">
        <v>946867</v>
      </c>
      <c r="F1167">
        <v>9015884123</v>
      </c>
      <c r="G1167">
        <v>522</v>
      </c>
      <c r="H1167" t="s">
        <v>532</v>
      </c>
      <c r="I1167">
        <v>0</v>
      </c>
      <c r="J1167" t="s">
        <v>533</v>
      </c>
      <c r="K1167" t="s">
        <v>8</v>
      </c>
      <c r="L1167" t="s">
        <v>15</v>
      </c>
      <c r="M1167" t="s">
        <v>9</v>
      </c>
      <c r="N1167" t="s">
        <v>14</v>
      </c>
      <c r="O1167" s="2">
        <v>0</v>
      </c>
      <c r="P1167" s="3">
        <v>4124.2960000000003</v>
      </c>
      <c r="Q1167" s="1">
        <v>46033</v>
      </c>
      <c r="R1167" s="1">
        <v>45992</v>
      </c>
      <c r="S1167" s="1">
        <v>46022</v>
      </c>
      <c r="V1167" s="8">
        <v>1</v>
      </c>
      <c r="W1167" t="s">
        <v>24</v>
      </c>
      <c r="X1167" t="s">
        <v>534</v>
      </c>
      <c r="Y1167" t="s">
        <v>10</v>
      </c>
      <c r="Z1167" t="s">
        <v>11</v>
      </c>
      <c r="AA1167">
        <v>62371</v>
      </c>
      <c r="AB1167">
        <v>18615897</v>
      </c>
      <c r="AC1167">
        <v>0</v>
      </c>
      <c r="AD1167" s="8"/>
    </row>
    <row r="1168" spans="1:30" x14ac:dyDescent="0.3">
      <c r="A1168" t="s">
        <v>1627</v>
      </c>
      <c r="B1168">
        <v>1446203</v>
      </c>
      <c r="D1168" t="s">
        <v>7</v>
      </c>
      <c r="E1168">
        <v>946891</v>
      </c>
      <c r="F1168">
        <v>9015884123</v>
      </c>
      <c r="G1168">
        <v>528</v>
      </c>
      <c r="H1168" t="s">
        <v>1579</v>
      </c>
      <c r="I1168">
        <v>0</v>
      </c>
      <c r="J1168" t="s">
        <v>1580</v>
      </c>
      <c r="K1168" t="s">
        <v>8</v>
      </c>
      <c r="L1168" t="s">
        <v>67</v>
      </c>
      <c r="M1168" t="s">
        <v>9</v>
      </c>
      <c r="N1168" t="s">
        <v>14</v>
      </c>
      <c r="O1168" s="2">
        <v>414632.19</v>
      </c>
      <c r="P1168" s="3">
        <v>3839.3380000000002</v>
      </c>
      <c r="Q1168" s="1">
        <v>46033</v>
      </c>
      <c r="R1168" s="1">
        <v>45992</v>
      </c>
      <c r="S1168" s="1">
        <v>46022</v>
      </c>
      <c r="V1168" s="8">
        <v>1</v>
      </c>
      <c r="W1168" t="s">
        <v>24</v>
      </c>
      <c r="X1168" t="s">
        <v>1581</v>
      </c>
      <c r="Y1168" t="s">
        <v>10</v>
      </c>
      <c r="Z1168" t="s">
        <v>11</v>
      </c>
      <c r="AA1168">
        <v>62371</v>
      </c>
      <c r="AB1168">
        <v>18556949</v>
      </c>
      <c r="AC1168">
        <v>1</v>
      </c>
      <c r="AD1168" s="8"/>
    </row>
    <row r="1169" spans="1:30" x14ac:dyDescent="0.3">
      <c r="A1169" t="s">
        <v>1627</v>
      </c>
      <c r="B1169">
        <v>1446205</v>
      </c>
      <c r="D1169" t="s">
        <v>7</v>
      </c>
      <c r="E1169">
        <v>946898</v>
      </c>
      <c r="F1169">
        <v>9015884123</v>
      </c>
      <c r="G1169">
        <v>530</v>
      </c>
      <c r="H1169" t="s">
        <v>535</v>
      </c>
      <c r="I1169">
        <v>0</v>
      </c>
      <c r="J1169" t="s">
        <v>536</v>
      </c>
      <c r="K1169" t="s">
        <v>8</v>
      </c>
      <c r="L1169" t="s">
        <v>19</v>
      </c>
      <c r="M1169" t="s">
        <v>9</v>
      </c>
      <c r="N1169" t="s">
        <v>14</v>
      </c>
      <c r="O1169" s="2">
        <v>31554.38</v>
      </c>
      <c r="P1169" s="3">
        <v>193.4</v>
      </c>
      <c r="Q1169" s="1">
        <v>46033</v>
      </c>
      <c r="R1169" s="1">
        <v>45992</v>
      </c>
      <c r="S1169" s="1">
        <v>46022</v>
      </c>
      <c r="V1169" s="8">
        <v>1</v>
      </c>
      <c r="W1169" t="s">
        <v>24</v>
      </c>
      <c r="X1169" t="s">
        <v>537</v>
      </c>
      <c r="Y1169" t="s">
        <v>10</v>
      </c>
      <c r="Z1169" t="s">
        <v>11</v>
      </c>
      <c r="AA1169">
        <v>62371</v>
      </c>
      <c r="AB1169">
        <v>21127206</v>
      </c>
      <c r="AC1169">
        <v>1</v>
      </c>
      <c r="AD1169" s="8"/>
    </row>
    <row r="1170" spans="1:30" x14ac:dyDescent="0.3">
      <c r="A1170" t="s">
        <v>1627</v>
      </c>
      <c r="B1170">
        <v>1449294</v>
      </c>
      <c r="D1170" t="s">
        <v>7</v>
      </c>
      <c r="E1170">
        <v>949191</v>
      </c>
      <c r="F1170">
        <v>9015884123</v>
      </c>
      <c r="G1170">
        <v>534</v>
      </c>
      <c r="H1170" t="s">
        <v>550</v>
      </c>
      <c r="I1170">
        <v>0</v>
      </c>
      <c r="J1170" t="s">
        <v>551</v>
      </c>
      <c r="K1170" t="s">
        <v>8</v>
      </c>
      <c r="L1170" t="s">
        <v>18</v>
      </c>
      <c r="M1170" t="s">
        <v>9</v>
      </c>
      <c r="N1170" t="s">
        <v>14</v>
      </c>
      <c r="O1170" s="2">
        <v>-2.1800000000000002</v>
      </c>
      <c r="P1170" s="3">
        <v>0</v>
      </c>
      <c r="Q1170" s="1">
        <v>46035</v>
      </c>
      <c r="R1170" s="1">
        <v>46011</v>
      </c>
      <c r="S1170" s="1">
        <v>46022</v>
      </c>
      <c r="V1170" s="8">
        <v>1</v>
      </c>
      <c r="W1170" t="s">
        <v>24</v>
      </c>
      <c r="X1170" t="s">
        <v>552</v>
      </c>
      <c r="Y1170" t="s">
        <v>10</v>
      </c>
      <c r="Z1170" t="s">
        <v>11</v>
      </c>
      <c r="AA1170">
        <v>62371</v>
      </c>
      <c r="AB1170">
        <v>19552434</v>
      </c>
      <c r="AC1170">
        <v>1</v>
      </c>
      <c r="AD1170" s="8"/>
    </row>
    <row r="1171" spans="1:30" x14ac:dyDescent="0.3">
      <c r="A1171" t="s">
        <v>1627</v>
      </c>
      <c r="B1171">
        <v>1303705</v>
      </c>
      <c r="D1171" t="s">
        <v>7</v>
      </c>
      <c r="E1171">
        <v>945146</v>
      </c>
      <c r="F1171">
        <v>9015884123</v>
      </c>
      <c r="G1171">
        <v>25</v>
      </c>
      <c r="H1171" t="s">
        <v>1313</v>
      </c>
      <c r="I1171">
        <v>0</v>
      </c>
      <c r="J1171" t="s">
        <v>1314</v>
      </c>
      <c r="K1171" t="s">
        <v>8</v>
      </c>
      <c r="L1171" t="s">
        <v>15</v>
      </c>
      <c r="M1171" t="s">
        <v>9</v>
      </c>
      <c r="N1171" t="s">
        <v>14</v>
      </c>
      <c r="O1171" s="2">
        <v>0</v>
      </c>
      <c r="P1171" s="3">
        <v>6134.3689999999997</v>
      </c>
      <c r="Q1171" s="1">
        <v>46033</v>
      </c>
      <c r="R1171" s="1">
        <v>45992</v>
      </c>
      <c r="S1171" s="1">
        <v>46022</v>
      </c>
      <c r="V1171" s="8">
        <v>1</v>
      </c>
      <c r="W1171" t="s">
        <v>24</v>
      </c>
      <c r="X1171" t="s">
        <v>1315</v>
      </c>
      <c r="Y1171" t="s">
        <v>10</v>
      </c>
      <c r="Z1171" t="s">
        <v>11</v>
      </c>
      <c r="AA1171">
        <v>62371</v>
      </c>
      <c r="AB1171">
        <v>17053721</v>
      </c>
      <c r="AC1171">
        <v>1</v>
      </c>
      <c r="AD1171" s="8"/>
    </row>
    <row r="1172" spans="1:30" x14ac:dyDescent="0.3">
      <c r="A1172" t="s">
        <v>1627</v>
      </c>
      <c r="B1172">
        <v>1303708</v>
      </c>
      <c r="D1172" t="s">
        <v>7</v>
      </c>
      <c r="E1172">
        <v>945148</v>
      </c>
      <c r="F1172">
        <v>9015884123</v>
      </c>
      <c r="G1172">
        <v>26</v>
      </c>
      <c r="H1172" t="s">
        <v>1322</v>
      </c>
      <c r="I1172">
        <v>0</v>
      </c>
      <c r="J1172" t="s">
        <v>1323</v>
      </c>
      <c r="K1172" t="s">
        <v>8</v>
      </c>
      <c r="L1172" t="s">
        <v>67</v>
      </c>
      <c r="M1172" t="s">
        <v>9</v>
      </c>
      <c r="N1172" t="s">
        <v>14</v>
      </c>
      <c r="O1172" s="2">
        <v>521774.23</v>
      </c>
      <c r="P1172" s="3">
        <v>4831.433</v>
      </c>
      <c r="Q1172" s="1">
        <v>46033</v>
      </c>
      <c r="R1172" s="1">
        <v>45992</v>
      </c>
      <c r="S1172" s="1">
        <v>46022</v>
      </c>
      <c r="V1172" s="8">
        <v>1</v>
      </c>
      <c r="W1172" t="s">
        <v>24</v>
      </c>
      <c r="X1172" t="s">
        <v>1324</v>
      </c>
      <c r="Y1172" t="s">
        <v>10</v>
      </c>
      <c r="Z1172" t="s">
        <v>11</v>
      </c>
      <c r="AA1172">
        <v>62371</v>
      </c>
      <c r="AB1172">
        <v>17060389</v>
      </c>
      <c r="AC1172">
        <v>1</v>
      </c>
      <c r="AD1172" s="8"/>
    </row>
    <row r="1173" spans="1:30" x14ac:dyDescent="0.3">
      <c r="A1173" t="s">
        <v>1627</v>
      </c>
      <c r="B1173">
        <v>1308500</v>
      </c>
      <c r="D1173" t="s">
        <v>7</v>
      </c>
      <c r="E1173">
        <v>945178</v>
      </c>
      <c r="F1173">
        <v>9015884123</v>
      </c>
      <c r="G1173">
        <v>41</v>
      </c>
      <c r="H1173" t="s">
        <v>562</v>
      </c>
      <c r="I1173">
        <v>0</v>
      </c>
      <c r="J1173" t="s">
        <v>563</v>
      </c>
      <c r="K1173" t="s">
        <v>8</v>
      </c>
      <c r="L1173" t="s">
        <v>67</v>
      </c>
      <c r="M1173" t="s">
        <v>9</v>
      </c>
      <c r="N1173" t="s">
        <v>14</v>
      </c>
      <c r="O1173" s="2">
        <v>2976477.51</v>
      </c>
      <c r="P1173" s="3">
        <v>36226.01</v>
      </c>
      <c r="Q1173" s="1">
        <v>46033</v>
      </c>
      <c r="R1173" s="1">
        <v>45992</v>
      </c>
      <c r="S1173" s="1">
        <v>46022</v>
      </c>
      <c r="V1173" s="8">
        <v>2</v>
      </c>
      <c r="W1173" t="s">
        <v>24</v>
      </c>
      <c r="X1173" t="s">
        <v>564</v>
      </c>
      <c r="Y1173" t="s">
        <v>10</v>
      </c>
      <c r="Z1173" t="s">
        <v>11</v>
      </c>
      <c r="AA1173">
        <v>62371</v>
      </c>
      <c r="AB1173">
        <v>18069004</v>
      </c>
      <c r="AC1173">
        <v>1</v>
      </c>
      <c r="AD1173" s="8"/>
    </row>
    <row r="1174" spans="1:30" x14ac:dyDescent="0.3">
      <c r="A1174" t="s">
        <v>1627</v>
      </c>
      <c r="B1174">
        <v>1297678</v>
      </c>
      <c r="D1174" t="s">
        <v>7</v>
      </c>
      <c r="E1174">
        <v>945127</v>
      </c>
      <c r="F1174">
        <v>9015884123</v>
      </c>
      <c r="G1174">
        <v>16</v>
      </c>
      <c r="H1174" t="s">
        <v>1003</v>
      </c>
      <c r="I1174">
        <v>0</v>
      </c>
      <c r="J1174" t="s">
        <v>1004</v>
      </c>
      <c r="K1174" t="s">
        <v>8</v>
      </c>
      <c r="L1174" t="s">
        <v>67</v>
      </c>
      <c r="M1174" t="s">
        <v>9</v>
      </c>
      <c r="N1174" t="s">
        <v>14</v>
      </c>
      <c r="O1174" s="2">
        <v>54805.04</v>
      </c>
      <c r="P1174" s="3">
        <v>507.47399999999999</v>
      </c>
      <c r="Q1174" s="1">
        <v>46033</v>
      </c>
      <c r="R1174" s="1">
        <v>45992</v>
      </c>
      <c r="S1174" s="1">
        <v>46022</v>
      </c>
      <c r="V1174" s="8">
        <v>1</v>
      </c>
      <c r="W1174" t="s">
        <v>24</v>
      </c>
      <c r="X1174" t="s">
        <v>1005</v>
      </c>
      <c r="Y1174" t="s">
        <v>10</v>
      </c>
      <c r="Z1174" t="s">
        <v>11</v>
      </c>
      <c r="AA1174">
        <v>62371</v>
      </c>
      <c r="AB1174">
        <v>21394687</v>
      </c>
      <c r="AC1174">
        <v>1</v>
      </c>
      <c r="AD1174" s="8"/>
    </row>
    <row r="1175" spans="1:30" x14ac:dyDescent="0.3">
      <c r="A1175" t="s">
        <v>1627</v>
      </c>
      <c r="B1175">
        <v>1296994</v>
      </c>
      <c r="D1175" t="s">
        <v>7</v>
      </c>
      <c r="E1175">
        <v>945131</v>
      </c>
      <c r="F1175">
        <v>9015884123</v>
      </c>
      <c r="G1175">
        <v>18</v>
      </c>
      <c r="H1175" t="s">
        <v>544</v>
      </c>
      <c r="I1175">
        <v>0</v>
      </c>
      <c r="J1175" t="s">
        <v>545</v>
      </c>
      <c r="K1175" t="s">
        <v>8</v>
      </c>
      <c r="L1175" t="s">
        <v>67</v>
      </c>
      <c r="M1175" t="s">
        <v>9</v>
      </c>
      <c r="N1175" t="s">
        <v>14</v>
      </c>
      <c r="O1175" s="2">
        <v>30890.560000000001</v>
      </c>
      <c r="P1175" s="3">
        <v>286.03500000000003</v>
      </c>
      <c r="Q1175" s="1">
        <v>46033</v>
      </c>
      <c r="R1175" s="1">
        <v>45992</v>
      </c>
      <c r="S1175" s="1">
        <v>46022</v>
      </c>
      <c r="V1175" s="8">
        <v>1</v>
      </c>
      <c r="W1175" t="s">
        <v>24</v>
      </c>
      <c r="X1175" t="s">
        <v>546</v>
      </c>
      <c r="Y1175" t="s">
        <v>10</v>
      </c>
      <c r="Z1175" t="s">
        <v>11</v>
      </c>
      <c r="AA1175">
        <v>62371</v>
      </c>
      <c r="AB1175">
        <v>21394676</v>
      </c>
      <c r="AC1175">
        <v>1</v>
      </c>
      <c r="AD1175" s="8"/>
    </row>
    <row r="1176" spans="1:30" x14ac:dyDescent="0.3">
      <c r="A1176" t="s">
        <v>1627</v>
      </c>
      <c r="B1176">
        <v>1296995</v>
      </c>
      <c r="D1176" t="s">
        <v>7</v>
      </c>
      <c r="E1176">
        <v>945133</v>
      </c>
      <c r="F1176">
        <v>9015884123</v>
      </c>
      <c r="G1176">
        <v>19</v>
      </c>
      <c r="H1176" t="s">
        <v>547</v>
      </c>
      <c r="I1176">
        <v>0</v>
      </c>
      <c r="J1176" t="s">
        <v>548</v>
      </c>
      <c r="K1176" t="s">
        <v>8</v>
      </c>
      <c r="L1176" t="s">
        <v>15</v>
      </c>
      <c r="M1176" t="s">
        <v>9</v>
      </c>
      <c r="N1176" t="s">
        <v>14</v>
      </c>
      <c r="O1176" s="2">
        <v>0</v>
      </c>
      <c r="P1176" s="3">
        <v>546.10799999999995</v>
      </c>
      <c r="Q1176" s="1">
        <v>46033</v>
      </c>
      <c r="R1176" s="1">
        <v>45992</v>
      </c>
      <c r="S1176" s="1">
        <v>46022</v>
      </c>
      <c r="V1176" s="8">
        <v>1</v>
      </c>
      <c r="W1176" t="s">
        <v>24</v>
      </c>
      <c r="X1176" t="s">
        <v>549</v>
      </c>
      <c r="Y1176" t="s">
        <v>10</v>
      </c>
      <c r="Z1176" t="s">
        <v>11</v>
      </c>
      <c r="AA1176">
        <v>62371</v>
      </c>
      <c r="AB1176">
        <v>21394683</v>
      </c>
      <c r="AC1176">
        <v>1</v>
      </c>
      <c r="AD1176" s="8"/>
    </row>
    <row r="1177" spans="1:30" x14ac:dyDescent="0.3">
      <c r="A1177" t="s">
        <v>1627</v>
      </c>
      <c r="B1177">
        <v>1304933</v>
      </c>
      <c r="D1177" t="s">
        <v>7</v>
      </c>
      <c r="E1177">
        <v>945167</v>
      </c>
      <c r="F1177">
        <v>9015884123</v>
      </c>
      <c r="G1177">
        <v>36</v>
      </c>
      <c r="H1177" t="s">
        <v>1582</v>
      </c>
      <c r="I1177">
        <v>0</v>
      </c>
      <c r="J1177" t="s">
        <v>1583</v>
      </c>
      <c r="K1177" t="s">
        <v>8</v>
      </c>
      <c r="L1177" t="s">
        <v>19</v>
      </c>
      <c r="M1177" t="s">
        <v>9</v>
      </c>
      <c r="N1177" t="s">
        <v>14</v>
      </c>
      <c r="O1177" s="2">
        <v>32159.52</v>
      </c>
      <c r="P1177" s="3">
        <v>197.10900000000001</v>
      </c>
      <c r="Q1177" s="1">
        <v>46033</v>
      </c>
      <c r="R1177" s="1">
        <v>45992</v>
      </c>
      <c r="S1177" s="1">
        <v>46022</v>
      </c>
      <c r="V1177" s="8">
        <v>1</v>
      </c>
      <c r="W1177" t="s">
        <v>24</v>
      </c>
      <c r="X1177" t="s">
        <v>1584</v>
      </c>
      <c r="Y1177" t="s">
        <v>10</v>
      </c>
      <c r="Z1177" t="s">
        <v>11</v>
      </c>
      <c r="AA1177">
        <v>62371</v>
      </c>
      <c r="AB1177">
        <v>17058905</v>
      </c>
      <c r="AC1177">
        <v>1</v>
      </c>
      <c r="AD1177" s="8"/>
    </row>
    <row r="1178" spans="1:30" x14ac:dyDescent="0.3">
      <c r="A1178" t="s">
        <v>1627</v>
      </c>
      <c r="B1178">
        <v>1329767</v>
      </c>
      <c r="D1178" t="s">
        <v>7</v>
      </c>
      <c r="E1178">
        <v>945190</v>
      </c>
      <c r="F1178">
        <v>9015884123</v>
      </c>
      <c r="G1178">
        <v>47</v>
      </c>
      <c r="H1178" t="s">
        <v>580</v>
      </c>
      <c r="I1178">
        <v>0</v>
      </c>
      <c r="J1178" t="s">
        <v>581</v>
      </c>
      <c r="K1178" t="s">
        <v>8</v>
      </c>
      <c r="L1178" t="s">
        <v>15</v>
      </c>
      <c r="M1178" t="s">
        <v>9</v>
      </c>
      <c r="N1178" t="s">
        <v>14</v>
      </c>
      <c r="O1178" s="2">
        <v>0</v>
      </c>
      <c r="P1178" s="3">
        <v>16074.236000000001</v>
      </c>
      <c r="Q1178" s="1">
        <v>46033</v>
      </c>
      <c r="R1178" s="1">
        <v>45992</v>
      </c>
      <c r="S1178" s="1">
        <v>46022</v>
      </c>
      <c r="V1178" s="8">
        <v>1</v>
      </c>
      <c r="W1178" t="s">
        <v>24</v>
      </c>
      <c r="X1178" t="s">
        <v>582</v>
      </c>
      <c r="Y1178" t="s">
        <v>10</v>
      </c>
      <c r="Z1178" t="s">
        <v>11</v>
      </c>
      <c r="AA1178">
        <v>62371</v>
      </c>
      <c r="AB1178">
        <v>19382735</v>
      </c>
      <c r="AC1178">
        <v>0</v>
      </c>
      <c r="AD1178" s="8"/>
    </row>
    <row r="1179" spans="1:30" x14ac:dyDescent="0.3">
      <c r="A1179" t="s">
        <v>1627</v>
      </c>
      <c r="B1179">
        <v>1340677</v>
      </c>
      <c r="D1179" t="s">
        <v>7</v>
      </c>
      <c r="E1179">
        <v>945240</v>
      </c>
      <c r="F1179">
        <v>9015884123</v>
      </c>
      <c r="G1179">
        <v>64</v>
      </c>
      <c r="H1179" t="s">
        <v>1018</v>
      </c>
      <c r="I1179">
        <v>0</v>
      </c>
      <c r="J1179" t="s">
        <v>1019</v>
      </c>
      <c r="K1179" t="s">
        <v>8</v>
      </c>
      <c r="L1179" t="s">
        <v>18</v>
      </c>
      <c r="M1179" t="s">
        <v>9</v>
      </c>
      <c r="N1179" t="s">
        <v>14</v>
      </c>
      <c r="O1179" s="2">
        <v>0.12</v>
      </c>
      <c r="P1179" s="3">
        <v>0</v>
      </c>
      <c r="Q1179" s="1">
        <v>46033</v>
      </c>
      <c r="R1179" s="1">
        <v>45992</v>
      </c>
      <c r="S1179" s="1">
        <v>46022</v>
      </c>
      <c r="V1179" s="8">
        <v>1</v>
      </c>
      <c r="W1179" t="s">
        <v>24</v>
      </c>
      <c r="X1179" t="s">
        <v>1020</v>
      </c>
      <c r="Y1179" t="s">
        <v>10</v>
      </c>
      <c r="Z1179" t="s">
        <v>11</v>
      </c>
      <c r="AA1179">
        <v>62371</v>
      </c>
      <c r="AB1179">
        <v>17032635</v>
      </c>
      <c r="AC1179">
        <v>1</v>
      </c>
      <c r="AD1179" s="8"/>
    </row>
    <row r="1180" spans="1:30" x14ac:dyDescent="0.3">
      <c r="A1180" t="s">
        <v>1627</v>
      </c>
      <c r="B1180">
        <v>1415374</v>
      </c>
      <c r="D1180" t="s">
        <v>7</v>
      </c>
      <c r="E1180">
        <v>946443</v>
      </c>
      <c r="F1180">
        <v>9015884123</v>
      </c>
      <c r="G1180">
        <v>387</v>
      </c>
      <c r="H1180" t="s">
        <v>1325</v>
      </c>
      <c r="I1180">
        <v>0</v>
      </c>
      <c r="J1180" t="s">
        <v>1326</v>
      </c>
      <c r="K1180" t="s">
        <v>8</v>
      </c>
      <c r="L1180" t="s">
        <v>67</v>
      </c>
      <c r="M1180" t="s">
        <v>9</v>
      </c>
      <c r="N1180" t="s">
        <v>14</v>
      </c>
      <c r="O1180" s="2">
        <v>213950.57</v>
      </c>
      <c r="P1180" s="3">
        <v>1502.13</v>
      </c>
      <c r="Q1180" s="1">
        <v>46033</v>
      </c>
      <c r="R1180" s="1">
        <v>45992</v>
      </c>
      <c r="S1180" s="1">
        <v>46022</v>
      </c>
      <c r="V1180" s="8">
        <v>1</v>
      </c>
      <c r="W1180" t="s">
        <v>24</v>
      </c>
      <c r="X1180" t="s">
        <v>1327</v>
      </c>
      <c r="Y1180" t="s">
        <v>594</v>
      </c>
      <c r="Z1180" t="s">
        <v>11</v>
      </c>
      <c r="AA1180">
        <v>62371</v>
      </c>
      <c r="AB1180">
        <v>21423523</v>
      </c>
      <c r="AC1180">
        <v>0</v>
      </c>
      <c r="AD1180" s="8"/>
    </row>
    <row r="1181" spans="1:30" x14ac:dyDescent="0.3">
      <c r="A1181" t="s">
        <v>1627</v>
      </c>
      <c r="B1181">
        <v>1363344</v>
      </c>
      <c r="D1181" t="s">
        <v>7</v>
      </c>
      <c r="E1181">
        <v>945924</v>
      </c>
      <c r="F1181">
        <v>9015884123</v>
      </c>
      <c r="G1181">
        <v>175</v>
      </c>
      <c r="H1181" t="s">
        <v>587</v>
      </c>
      <c r="I1181">
        <v>0</v>
      </c>
      <c r="J1181" t="s">
        <v>588</v>
      </c>
      <c r="K1181" t="s">
        <v>8</v>
      </c>
      <c r="L1181" t="s">
        <v>15</v>
      </c>
      <c r="M1181" t="s">
        <v>9</v>
      </c>
      <c r="N1181" t="s">
        <v>14</v>
      </c>
      <c r="O1181" s="2">
        <v>0</v>
      </c>
      <c r="P1181" s="3">
        <v>4024.49</v>
      </c>
      <c r="Q1181" s="1">
        <v>46033</v>
      </c>
      <c r="R1181" s="1">
        <v>45992</v>
      </c>
      <c r="S1181" s="1">
        <v>46022</v>
      </c>
      <c r="V1181" s="8">
        <v>1</v>
      </c>
      <c r="W1181" t="s">
        <v>24</v>
      </c>
      <c r="X1181" t="s">
        <v>589</v>
      </c>
      <c r="Y1181" t="s">
        <v>590</v>
      </c>
      <c r="Z1181" t="s">
        <v>11</v>
      </c>
      <c r="AA1181">
        <v>62371</v>
      </c>
      <c r="AB1181">
        <v>17420868</v>
      </c>
      <c r="AC1181">
        <v>1</v>
      </c>
      <c r="AD1181" s="8"/>
    </row>
    <row r="1182" spans="1:30" x14ac:dyDescent="0.3">
      <c r="A1182" t="s">
        <v>1627</v>
      </c>
      <c r="B1182">
        <v>1418675</v>
      </c>
      <c r="D1182" t="s">
        <v>7</v>
      </c>
      <c r="E1182">
        <v>946664</v>
      </c>
      <c r="F1182">
        <v>9015884123</v>
      </c>
      <c r="G1182">
        <v>457</v>
      </c>
      <c r="H1182" t="s">
        <v>1334</v>
      </c>
      <c r="I1182">
        <v>0</v>
      </c>
      <c r="J1182" t="s">
        <v>1335</v>
      </c>
      <c r="K1182" t="s">
        <v>8</v>
      </c>
      <c r="L1182" t="s">
        <v>19</v>
      </c>
      <c r="M1182" t="s">
        <v>9</v>
      </c>
      <c r="N1182" t="s">
        <v>14</v>
      </c>
      <c r="O1182" s="2">
        <v>3742.78</v>
      </c>
      <c r="P1182" s="3">
        <v>18.942</v>
      </c>
      <c r="Q1182" s="1">
        <v>46033</v>
      </c>
      <c r="R1182" s="1">
        <v>45992</v>
      </c>
      <c r="S1182" s="1">
        <v>46022</v>
      </c>
      <c r="V1182" s="8">
        <v>1</v>
      </c>
      <c r="W1182" t="s">
        <v>24</v>
      </c>
      <c r="X1182" t="s">
        <v>1336</v>
      </c>
      <c r="Y1182" t="s">
        <v>38</v>
      </c>
      <c r="Z1182" t="s">
        <v>11</v>
      </c>
      <c r="AA1182">
        <v>62371</v>
      </c>
      <c r="AB1182">
        <v>21434378</v>
      </c>
      <c r="AC1182">
        <v>0</v>
      </c>
      <c r="AD1182" s="8"/>
    </row>
    <row r="1183" spans="1:30" x14ac:dyDescent="0.3">
      <c r="A1183" t="s">
        <v>1627</v>
      </c>
      <c r="B1183">
        <v>1340971</v>
      </c>
      <c r="D1183" t="s">
        <v>7</v>
      </c>
      <c r="E1183">
        <v>945250</v>
      </c>
      <c r="F1183">
        <v>9015884123</v>
      </c>
      <c r="G1183">
        <v>67</v>
      </c>
      <c r="H1183" t="s">
        <v>1494</v>
      </c>
      <c r="I1183">
        <v>0</v>
      </c>
      <c r="J1183" t="s">
        <v>1495</v>
      </c>
      <c r="K1183" t="s">
        <v>8</v>
      </c>
      <c r="L1183" t="s">
        <v>19</v>
      </c>
      <c r="M1183" t="s">
        <v>9</v>
      </c>
      <c r="N1183" t="s">
        <v>14</v>
      </c>
      <c r="O1183" s="2">
        <v>51.77</v>
      </c>
      <c r="P1183" s="3">
        <v>0.26200000000000001</v>
      </c>
      <c r="Q1183" s="1">
        <v>46033</v>
      </c>
      <c r="R1183" s="1">
        <v>45992</v>
      </c>
      <c r="S1183" s="1">
        <v>46022</v>
      </c>
      <c r="V1183" s="8">
        <v>1</v>
      </c>
      <c r="W1183" t="s">
        <v>24</v>
      </c>
      <c r="X1183" t="s">
        <v>1496</v>
      </c>
      <c r="Y1183" t="s">
        <v>40</v>
      </c>
      <c r="Z1183" t="s">
        <v>11</v>
      </c>
      <c r="AA1183">
        <v>62371</v>
      </c>
      <c r="AB1183">
        <v>18009688</v>
      </c>
      <c r="AC1183">
        <v>0</v>
      </c>
      <c r="AD1183" s="8"/>
    </row>
    <row r="1184" spans="1:30" x14ac:dyDescent="0.3">
      <c r="A1184" t="s">
        <v>1627</v>
      </c>
      <c r="B1184">
        <v>1443050</v>
      </c>
      <c r="D1184" t="s">
        <v>7</v>
      </c>
      <c r="E1184">
        <v>946838</v>
      </c>
      <c r="F1184">
        <v>9015884123</v>
      </c>
      <c r="G1184">
        <v>514</v>
      </c>
      <c r="H1184" t="s">
        <v>973</v>
      </c>
      <c r="I1184">
        <v>0</v>
      </c>
      <c r="J1184" t="s">
        <v>974</v>
      </c>
      <c r="K1184" t="s">
        <v>8</v>
      </c>
      <c r="L1184" t="s">
        <v>15</v>
      </c>
      <c r="M1184" t="s">
        <v>9</v>
      </c>
      <c r="N1184" t="s">
        <v>14</v>
      </c>
      <c r="O1184" s="2">
        <v>0</v>
      </c>
      <c r="P1184" s="3">
        <v>1648.5889999999999</v>
      </c>
      <c r="Q1184" s="1">
        <v>46033</v>
      </c>
      <c r="R1184" s="1">
        <v>45992</v>
      </c>
      <c r="S1184" s="1">
        <v>46022</v>
      </c>
      <c r="V1184" s="8">
        <v>1</v>
      </c>
      <c r="W1184" t="s">
        <v>24</v>
      </c>
      <c r="X1184" t="s">
        <v>975</v>
      </c>
      <c r="Y1184" t="s">
        <v>10</v>
      </c>
      <c r="Z1184" t="s">
        <v>11</v>
      </c>
      <c r="AA1184">
        <v>62371</v>
      </c>
      <c r="AB1184">
        <v>19897494</v>
      </c>
      <c r="AC1184">
        <v>1</v>
      </c>
      <c r="AD1184" s="8"/>
    </row>
    <row r="1185" spans="1:30" x14ac:dyDescent="0.3">
      <c r="A1185" t="s">
        <v>1627</v>
      </c>
      <c r="B1185">
        <v>1356294</v>
      </c>
      <c r="D1185" t="s">
        <v>7</v>
      </c>
      <c r="E1185">
        <v>945372</v>
      </c>
      <c r="F1185">
        <v>9015884123</v>
      </c>
      <c r="G1185">
        <v>103</v>
      </c>
      <c r="H1185" t="s">
        <v>1051</v>
      </c>
      <c r="I1185">
        <v>0</v>
      </c>
      <c r="J1185" t="s">
        <v>1052</v>
      </c>
      <c r="K1185" t="s">
        <v>8</v>
      </c>
      <c r="L1185" t="s">
        <v>15</v>
      </c>
      <c r="M1185" t="s">
        <v>9</v>
      </c>
      <c r="N1185" t="s">
        <v>14</v>
      </c>
      <c r="O1185" s="2">
        <v>0</v>
      </c>
      <c r="P1185" s="3">
        <v>4120.2370000000001</v>
      </c>
      <c r="Q1185" s="1">
        <v>46033</v>
      </c>
      <c r="R1185" s="1">
        <v>45992</v>
      </c>
      <c r="S1185" s="1">
        <v>46022</v>
      </c>
      <c r="V1185" s="8">
        <v>1</v>
      </c>
      <c r="W1185" t="s">
        <v>24</v>
      </c>
      <c r="X1185" t="s">
        <v>1053</v>
      </c>
      <c r="Y1185" t="s">
        <v>40</v>
      </c>
      <c r="Z1185" t="s">
        <v>11</v>
      </c>
      <c r="AA1185">
        <v>62371</v>
      </c>
      <c r="AB1185">
        <v>17964230</v>
      </c>
      <c r="AC1185">
        <v>0</v>
      </c>
      <c r="AD1185" s="8"/>
    </row>
    <row r="1186" spans="1:30" x14ac:dyDescent="0.3">
      <c r="A1186" t="s">
        <v>1627</v>
      </c>
      <c r="B1186">
        <v>1356311</v>
      </c>
      <c r="D1186" t="s">
        <v>7</v>
      </c>
      <c r="E1186">
        <v>945450</v>
      </c>
      <c r="F1186">
        <v>9015884123</v>
      </c>
      <c r="G1186">
        <v>128</v>
      </c>
      <c r="H1186" t="s">
        <v>599</v>
      </c>
      <c r="I1186">
        <v>0</v>
      </c>
      <c r="J1186" t="s">
        <v>600</v>
      </c>
      <c r="K1186" t="s">
        <v>8</v>
      </c>
      <c r="L1186" t="s">
        <v>18</v>
      </c>
      <c r="M1186" t="s">
        <v>9</v>
      </c>
      <c r="N1186" t="s">
        <v>14</v>
      </c>
      <c r="O1186" s="2">
        <v>4.0999999999999996</v>
      </c>
      <c r="P1186" s="3">
        <v>0</v>
      </c>
      <c r="Q1186" s="1">
        <v>46033</v>
      </c>
      <c r="R1186" s="1">
        <v>45992</v>
      </c>
      <c r="S1186" s="1">
        <v>46022</v>
      </c>
      <c r="V1186" s="8">
        <v>1</v>
      </c>
      <c r="W1186" t="s">
        <v>24</v>
      </c>
      <c r="X1186" t="s">
        <v>601</v>
      </c>
      <c r="Y1186" t="s">
        <v>40</v>
      </c>
      <c r="Z1186" t="s">
        <v>11</v>
      </c>
      <c r="AA1186">
        <v>62371</v>
      </c>
      <c r="AB1186">
        <v>18763348</v>
      </c>
      <c r="AC1186">
        <v>1</v>
      </c>
      <c r="AD1186" s="8"/>
    </row>
    <row r="1187" spans="1:30" x14ac:dyDescent="0.3">
      <c r="A1187" t="s">
        <v>1627</v>
      </c>
      <c r="B1187">
        <v>1356318</v>
      </c>
      <c r="D1187" t="s">
        <v>7</v>
      </c>
      <c r="E1187">
        <v>945459</v>
      </c>
      <c r="F1187">
        <v>9015884123</v>
      </c>
      <c r="G1187">
        <v>132</v>
      </c>
      <c r="H1187" t="s">
        <v>1337</v>
      </c>
      <c r="I1187">
        <v>0</v>
      </c>
      <c r="J1187" t="s">
        <v>1338</v>
      </c>
      <c r="K1187" t="s">
        <v>8</v>
      </c>
      <c r="L1187" t="s">
        <v>19</v>
      </c>
      <c r="M1187" t="s">
        <v>9</v>
      </c>
      <c r="N1187" t="s">
        <v>14</v>
      </c>
      <c r="O1187" s="2">
        <v>140.47999999999999</v>
      </c>
      <c r="P1187" s="3">
        <v>0.86099999999999999</v>
      </c>
      <c r="Q1187" s="1">
        <v>46033</v>
      </c>
      <c r="R1187" s="1">
        <v>45992</v>
      </c>
      <c r="S1187" s="1">
        <v>46022</v>
      </c>
      <c r="V1187" s="8">
        <v>1</v>
      </c>
      <c r="W1187" t="s">
        <v>24</v>
      </c>
      <c r="X1187" t="s">
        <v>1339</v>
      </c>
      <c r="Y1187" t="s">
        <v>40</v>
      </c>
      <c r="Z1187" t="s">
        <v>11</v>
      </c>
      <c r="AA1187">
        <v>62371</v>
      </c>
      <c r="AB1187">
        <v>18668572</v>
      </c>
      <c r="AC1187">
        <v>1</v>
      </c>
      <c r="AD1187" s="8"/>
    </row>
    <row r="1188" spans="1:30" x14ac:dyDescent="0.3">
      <c r="A1188" t="s">
        <v>1627</v>
      </c>
      <c r="B1188">
        <v>1356318</v>
      </c>
      <c r="D1188" t="s">
        <v>7</v>
      </c>
      <c r="E1188">
        <v>945459</v>
      </c>
      <c r="F1188">
        <v>9015884123</v>
      </c>
      <c r="G1188">
        <v>132</v>
      </c>
      <c r="H1188" t="s">
        <v>1337</v>
      </c>
      <c r="I1188">
        <v>0</v>
      </c>
      <c r="J1188" t="s">
        <v>1338</v>
      </c>
      <c r="K1188" t="s">
        <v>8</v>
      </c>
      <c r="L1188" t="s">
        <v>18</v>
      </c>
      <c r="M1188" t="s">
        <v>9</v>
      </c>
      <c r="N1188" t="s">
        <v>14</v>
      </c>
      <c r="O1188" s="2">
        <v>-1.1599999999999999</v>
      </c>
      <c r="P1188" s="3">
        <v>0</v>
      </c>
      <c r="Q1188" s="1">
        <v>46033</v>
      </c>
      <c r="R1188" s="1">
        <v>45992</v>
      </c>
      <c r="S1188" s="1">
        <v>46022</v>
      </c>
      <c r="V1188" s="8">
        <v>1</v>
      </c>
      <c r="W1188" t="s">
        <v>24</v>
      </c>
      <c r="X1188" t="s">
        <v>1339</v>
      </c>
      <c r="Y1188" t="s">
        <v>40</v>
      </c>
      <c r="Z1188" t="s">
        <v>11</v>
      </c>
      <c r="AA1188">
        <v>62371</v>
      </c>
      <c r="AB1188">
        <v>18668572</v>
      </c>
      <c r="AC1188">
        <v>1</v>
      </c>
      <c r="AD1188" s="8"/>
    </row>
    <row r="1189" spans="1:30" x14ac:dyDescent="0.3">
      <c r="A1189" t="s">
        <v>1627</v>
      </c>
      <c r="B1189">
        <v>1377760</v>
      </c>
      <c r="D1189" t="s">
        <v>7</v>
      </c>
      <c r="E1189">
        <v>945967</v>
      </c>
      <c r="F1189">
        <v>9015884123</v>
      </c>
      <c r="G1189">
        <v>201</v>
      </c>
      <c r="H1189" t="s">
        <v>1027</v>
      </c>
      <c r="I1189">
        <v>0</v>
      </c>
      <c r="J1189" t="s">
        <v>1028</v>
      </c>
      <c r="K1189" t="s">
        <v>8</v>
      </c>
      <c r="L1189" t="s">
        <v>18</v>
      </c>
      <c r="M1189" t="s">
        <v>9</v>
      </c>
      <c r="N1189" t="s">
        <v>14</v>
      </c>
      <c r="O1189" s="2">
        <v>3.52</v>
      </c>
      <c r="P1189" s="3">
        <v>0</v>
      </c>
      <c r="Q1189" s="1">
        <v>46033</v>
      </c>
      <c r="R1189" s="1">
        <v>45992</v>
      </c>
      <c r="S1189" s="1">
        <v>46022</v>
      </c>
      <c r="V1189" s="8">
        <v>2</v>
      </c>
      <c r="W1189" t="s">
        <v>24</v>
      </c>
      <c r="X1189" t="s">
        <v>1029</v>
      </c>
      <c r="Y1189" t="s">
        <v>40</v>
      </c>
      <c r="Z1189" t="s">
        <v>11</v>
      </c>
      <c r="AA1189">
        <v>62371</v>
      </c>
      <c r="AB1189">
        <v>18022004</v>
      </c>
      <c r="AC1189">
        <v>1</v>
      </c>
      <c r="AD1189" s="8"/>
    </row>
    <row r="1190" spans="1:30" x14ac:dyDescent="0.3">
      <c r="A1190" t="s">
        <v>1627</v>
      </c>
      <c r="B1190">
        <v>1380283</v>
      </c>
      <c r="D1190" t="s">
        <v>7</v>
      </c>
      <c r="E1190">
        <v>945989</v>
      </c>
      <c r="F1190">
        <v>9015884123</v>
      </c>
      <c r="G1190">
        <v>213</v>
      </c>
      <c r="H1190" t="s">
        <v>1030</v>
      </c>
      <c r="I1190">
        <v>0</v>
      </c>
      <c r="J1190" t="s">
        <v>1031</v>
      </c>
      <c r="K1190" t="s">
        <v>8</v>
      </c>
      <c r="L1190" t="s">
        <v>18</v>
      </c>
      <c r="M1190" t="s">
        <v>9</v>
      </c>
      <c r="N1190" t="s">
        <v>14</v>
      </c>
      <c r="O1190" s="2">
        <v>0.97</v>
      </c>
      <c r="P1190" s="3">
        <v>0</v>
      </c>
      <c r="Q1190" s="1">
        <v>46033</v>
      </c>
      <c r="R1190" s="1">
        <v>45992</v>
      </c>
      <c r="S1190" s="1">
        <v>46022</v>
      </c>
      <c r="V1190" s="8">
        <v>1</v>
      </c>
      <c r="W1190" t="s">
        <v>24</v>
      </c>
      <c r="X1190" t="s">
        <v>1032</v>
      </c>
      <c r="Y1190" t="s">
        <v>40</v>
      </c>
      <c r="Z1190" t="s">
        <v>11</v>
      </c>
      <c r="AA1190">
        <v>62371</v>
      </c>
      <c r="AB1190">
        <v>21106459</v>
      </c>
      <c r="AC1190">
        <v>1</v>
      </c>
      <c r="AD1190" s="8"/>
    </row>
    <row r="1191" spans="1:30" x14ac:dyDescent="0.3">
      <c r="A1191" t="s">
        <v>1627</v>
      </c>
      <c r="B1191">
        <v>1405410</v>
      </c>
      <c r="D1191" t="s">
        <v>7</v>
      </c>
      <c r="E1191">
        <v>946254</v>
      </c>
      <c r="F1191">
        <v>9015884123</v>
      </c>
      <c r="G1191">
        <v>303</v>
      </c>
      <c r="H1191" t="s">
        <v>671</v>
      </c>
      <c r="I1191">
        <v>0</v>
      </c>
      <c r="J1191" t="s">
        <v>672</v>
      </c>
      <c r="K1191" t="s">
        <v>8</v>
      </c>
      <c r="L1191" t="s">
        <v>18</v>
      </c>
      <c r="M1191" t="s">
        <v>9</v>
      </c>
      <c r="N1191" t="s">
        <v>14</v>
      </c>
      <c r="O1191" s="2">
        <v>-3.49</v>
      </c>
      <c r="P1191" s="3">
        <v>0</v>
      </c>
      <c r="Q1191" s="1">
        <v>46033</v>
      </c>
      <c r="R1191" s="1">
        <v>45992</v>
      </c>
      <c r="S1191" s="1">
        <v>46022</v>
      </c>
      <c r="V1191" s="8">
        <v>1</v>
      </c>
      <c r="W1191" t="s">
        <v>24</v>
      </c>
      <c r="X1191" t="s">
        <v>673</v>
      </c>
      <c r="Y1191" t="s">
        <v>40</v>
      </c>
      <c r="Z1191" t="s">
        <v>11</v>
      </c>
      <c r="AA1191">
        <v>62371</v>
      </c>
      <c r="AB1191">
        <v>19752870</v>
      </c>
      <c r="AC1191">
        <v>1</v>
      </c>
      <c r="AD1191" s="8"/>
    </row>
    <row r="1192" spans="1:30" x14ac:dyDescent="0.3">
      <c r="A1192" t="s">
        <v>1627</v>
      </c>
      <c r="B1192">
        <v>1403700</v>
      </c>
      <c r="D1192" t="s">
        <v>7</v>
      </c>
      <c r="E1192">
        <v>946224</v>
      </c>
      <c r="F1192">
        <v>9015884123</v>
      </c>
      <c r="G1192">
        <v>293</v>
      </c>
      <c r="H1192" t="s">
        <v>630</v>
      </c>
      <c r="I1192">
        <v>0</v>
      </c>
      <c r="J1192" t="s">
        <v>631</v>
      </c>
      <c r="K1192" t="s">
        <v>8</v>
      </c>
      <c r="L1192" t="s">
        <v>18</v>
      </c>
      <c r="M1192" t="s">
        <v>9</v>
      </c>
      <c r="N1192" t="s">
        <v>14</v>
      </c>
      <c r="O1192" s="2">
        <v>0</v>
      </c>
      <c r="P1192" s="3">
        <v>0</v>
      </c>
      <c r="Q1192" s="1">
        <v>46033</v>
      </c>
      <c r="R1192" s="1">
        <v>45992</v>
      </c>
      <c r="S1192" s="1">
        <v>46022</v>
      </c>
      <c r="V1192" s="8">
        <v>1</v>
      </c>
      <c r="W1192" t="s">
        <v>24</v>
      </c>
      <c r="X1192" t="s">
        <v>632</v>
      </c>
      <c r="Y1192" t="s">
        <v>40</v>
      </c>
      <c r="Z1192" t="s">
        <v>11</v>
      </c>
      <c r="AA1192">
        <v>62371</v>
      </c>
      <c r="AB1192">
        <v>18795436</v>
      </c>
      <c r="AC1192">
        <v>1</v>
      </c>
      <c r="AD1192" s="8"/>
    </row>
    <row r="1193" spans="1:30" x14ac:dyDescent="0.3">
      <c r="A1193" t="s">
        <v>1627</v>
      </c>
      <c r="B1193">
        <v>1415389</v>
      </c>
      <c r="D1193" t="s">
        <v>7</v>
      </c>
      <c r="E1193">
        <v>946460</v>
      </c>
      <c r="F1193">
        <v>9015884123</v>
      </c>
      <c r="G1193">
        <v>393</v>
      </c>
      <c r="H1193" t="s">
        <v>636</v>
      </c>
      <c r="I1193">
        <v>0</v>
      </c>
      <c r="J1193" t="s">
        <v>637</v>
      </c>
      <c r="K1193" t="s">
        <v>8</v>
      </c>
      <c r="L1193" t="s">
        <v>15</v>
      </c>
      <c r="M1193" t="s">
        <v>9</v>
      </c>
      <c r="N1193" t="s">
        <v>14</v>
      </c>
      <c r="O1193" s="2">
        <v>0</v>
      </c>
      <c r="P1193" s="3">
        <v>1464.27</v>
      </c>
      <c r="Q1193" s="1">
        <v>46033</v>
      </c>
      <c r="R1193" s="1">
        <v>45992</v>
      </c>
      <c r="S1193" s="1">
        <v>46022</v>
      </c>
      <c r="V1193" s="8">
        <v>1</v>
      </c>
      <c r="W1193" t="s">
        <v>24</v>
      </c>
      <c r="X1193" t="s">
        <v>638</v>
      </c>
      <c r="Y1193" t="s">
        <v>639</v>
      </c>
      <c r="Z1193" t="s">
        <v>11</v>
      </c>
      <c r="AA1193">
        <v>62371</v>
      </c>
      <c r="AB1193">
        <v>17597638</v>
      </c>
      <c r="AC1193">
        <v>0</v>
      </c>
      <c r="AD1193" s="8"/>
    </row>
    <row r="1194" spans="1:30" x14ac:dyDescent="0.3">
      <c r="A1194" t="s">
        <v>1627</v>
      </c>
      <c r="B1194">
        <v>1445868</v>
      </c>
      <c r="D1194" t="s">
        <v>7</v>
      </c>
      <c r="E1194">
        <v>946906</v>
      </c>
      <c r="F1194">
        <v>9015884123</v>
      </c>
      <c r="G1194">
        <v>532</v>
      </c>
      <c r="H1194" t="s">
        <v>1066</v>
      </c>
      <c r="I1194">
        <v>0</v>
      </c>
      <c r="J1194" t="s">
        <v>1067</v>
      </c>
      <c r="K1194" t="s">
        <v>8</v>
      </c>
      <c r="L1194" t="s">
        <v>18</v>
      </c>
      <c r="M1194" t="s">
        <v>9</v>
      </c>
      <c r="N1194" t="s">
        <v>14</v>
      </c>
      <c r="O1194" s="2">
        <v>-2.76</v>
      </c>
      <c r="P1194" s="3">
        <v>0</v>
      </c>
      <c r="Q1194" s="1">
        <v>46033</v>
      </c>
      <c r="R1194" s="1">
        <v>45992</v>
      </c>
      <c r="S1194" s="1">
        <v>46022</v>
      </c>
      <c r="V1194" s="8">
        <v>1</v>
      </c>
      <c r="W1194" t="s">
        <v>24</v>
      </c>
      <c r="X1194" t="s">
        <v>1068</v>
      </c>
      <c r="Y1194" t="s">
        <v>40</v>
      </c>
      <c r="Z1194" t="s">
        <v>11</v>
      </c>
      <c r="AA1194">
        <v>62371</v>
      </c>
      <c r="AB1194">
        <v>21106539</v>
      </c>
      <c r="AC1194">
        <v>1</v>
      </c>
      <c r="AD1194" s="8"/>
    </row>
    <row r="1195" spans="1:30" x14ac:dyDescent="0.3">
      <c r="A1195" t="s">
        <v>1627</v>
      </c>
      <c r="B1195">
        <v>1282988</v>
      </c>
      <c r="D1195" t="s">
        <v>7</v>
      </c>
      <c r="E1195">
        <v>945173</v>
      </c>
      <c r="F1195">
        <v>9015884123</v>
      </c>
      <c r="G1195">
        <v>4</v>
      </c>
      <c r="H1195" t="s">
        <v>523</v>
      </c>
      <c r="I1195">
        <v>0</v>
      </c>
      <c r="J1195" t="s">
        <v>524</v>
      </c>
      <c r="K1195" t="s">
        <v>8</v>
      </c>
      <c r="L1195" t="s">
        <v>18</v>
      </c>
      <c r="M1195" t="s">
        <v>9</v>
      </c>
      <c r="N1195" t="s">
        <v>14</v>
      </c>
      <c r="O1195" s="2">
        <v>1.34</v>
      </c>
      <c r="P1195" s="3">
        <v>0</v>
      </c>
      <c r="Q1195" s="1">
        <v>46033</v>
      </c>
      <c r="R1195" s="1">
        <v>45992</v>
      </c>
      <c r="S1195" s="1">
        <v>46022</v>
      </c>
      <c r="V1195" s="8">
        <v>1</v>
      </c>
      <c r="W1195" t="s">
        <v>24</v>
      </c>
      <c r="X1195" t="s">
        <v>525</v>
      </c>
      <c r="Y1195" t="s">
        <v>10</v>
      </c>
      <c r="Z1195" t="s">
        <v>11</v>
      </c>
      <c r="AA1195">
        <v>62371</v>
      </c>
      <c r="AB1195">
        <v>17174041</v>
      </c>
      <c r="AC1195">
        <v>1</v>
      </c>
      <c r="AD1195" s="8"/>
    </row>
    <row r="1196" spans="1:30" x14ac:dyDescent="0.3">
      <c r="A1196" t="s">
        <v>1627</v>
      </c>
      <c r="B1196">
        <v>1427128</v>
      </c>
      <c r="D1196" t="s">
        <v>7</v>
      </c>
      <c r="E1196">
        <v>946909</v>
      </c>
      <c r="F1196">
        <v>9015884123</v>
      </c>
      <c r="G1196">
        <v>533</v>
      </c>
      <c r="H1196" t="s">
        <v>1473</v>
      </c>
      <c r="I1196">
        <v>0</v>
      </c>
      <c r="J1196" t="s">
        <v>1474</v>
      </c>
      <c r="K1196" t="s">
        <v>8</v>
      </c>
      <c r="L1196" t="s">
        <v>67</v>
      </c>
      <c r="M1196" t="s">
        <v>9</v>
      </c>
      <c r="N1196" t="s">
        <v>14</v>
      </c>
      <c r="O1196" s="2">
        <v>1996074.52</v>
      </c>
      <c r="P1196" s="3">
        <v>24293.755000000001</v>
      </c>
      <c r="Q1196" s="1">
        <v>46033</v>
      </c>
      <c r="R1196" s="1">
        <v>45992</v>
      </c>
      <c r="S1196" s="1">
        <v>46022</v>
      </c>
      <c r="V1196" s="8">
        <v>2</v>
      </c>
      <c r="W1196" t="s">
        <v>24</v>
      </c>
      <c r="X1196" t="s">
        <v>1475</v>
      </c>
      <c r="Y1196" t="s">
        <v>10</v>
      </c>
      <c r="Z1196" t="s">
        <v>11</v>
      </c>
      <c r="AA1196">
        <v>62371</v>
      </c>
      <c r="AB1196">
        <v>19382091</v>
      </c>
      <c r="AC1196">
        <v>1</v>
      </c>
      <c r="AD1196" s="8"/>
    </row>
    <row r="1197" spans="1:30" x14ac:dyDescent="0.3">
      <c r="A1197" t="s">
        <v>1627</v>
      </c>
      <c r="B1197">
        <v>1307886</v>
      </c>
      <c r="D1197" t="s">
        <v>7</v>
      </c>
      <c r="E1197">
        <v>945171</v>
      </c>
      <c r="F1197">
        <v>9015884123</v>
      </c>
      <c r="G1197">
        <v>39</v>
      </c>
      <c r="H1197" t="s">
        <v>1373</v>
      </c>
      <c r="I1197">
        <v>0</v>
      </c>
      <c r="J1197" t="s">
        <v>1374</v>
      </c>
      <c r="K1197" t="s">
        <v>8</v>
      </c>
      <c r="L1197" t="s">
        <v>19</v>
      </c>
      <c r="M1197" t="s">
        <v>9</v>
      </c>
      <c r="N1197" t="s">
        <v>14</v>
      </c>
      <c r="O1197" s="2">
        <v>14054.51</v>
      </c>
      <c r="P1197" s="3">
        <v>91.388000000000005</v>
      </c>
      <c r="Q1197" s="1">
        <v>46033</v>
      </c>
      <c r="R1197" s="1">
        <v>45992</v>
      </c>
      <c r="S1197" s="1">
        <v>46022</v>
      </c>
      <c r="V1197" s="8">
        <v>1</v>
      </c>
      <c r="W1197" t="s">
        <v>24</v>
      </c>
      <c r="X1197" t="s">
        <v>1375</v>
      </c>
      <c r="Y1197" t="s">
        <v>40</v>
      </c>
      <c r="Z1197" t="s">
        <v>11</v>
      </c>
      <c r="AA1197">
        <v>62371</v>
      </c>
      <c r="AB1197">
        <v>19879653</v>
      </c>
      <c r="AC1197">
        <v>101</v>
      </c>
      <c r="AD1197" s="8"/>
    </row>
    <row r="1198" spans="1:30" x14ac:dyDescent="0.3">
      <c r="A1198" t="s">
        <v>1627</v>
      </c>
      <c r="B1198">
        <v>1360640</v>
      </c>
      <c r="D1198" t="s">
        <v>7</v>
      </c>
      <c r="E1198">
        <v>945491</v>
      </c>
      <c r="F1198">
        <v>9015884123</v>
      </c>
      <c r="G1198">
        <v>143</v>
      </c>
      <c r="H1198" t="s">
        <v>1355</v>
      </c>
      <c r="I1198">
        <v>0</v>
      </c>
      <c r="J1198" t="s">
        <v>1356</v>
      </c>
      <c r="K1198" t="s">
        <v>8</v>
      </c>
      <c r="L1198" t="s">
        <v>15</v>
      </c>
      <c r="M1198" t="s">
        <v>9</v>
      </c>
      <c r="N1198" t="s">
        <v>14</v>
      </c>
      <c r="O1198" s="2">
        <v>0</v>
      </c>
      <c r="P1198" s="3">
        <v>4131.3360000000002</v>
      </c>
      <c r="Q1198" s="1">
        <v>46033</v>
      </c>
      <c r="R1198" s="1">
        <v>45992</v>
      </c>
      <c r="S1198" s="1">
        <v>46022</v>
      </c>
      <c r="V1198" s="8">
        <v>1</v>
      </c>
      <c r="W1198" t="s">
        <v>24</v>
      </c>
      <c r="X1198" t="s">
        <v>1357</v>
      </c>
      <c r="Y1198" t="s">
        <v>42</v>
      </c>
      <c r="Z1198" t="s">
        <v>11</v>
      </c>
      <c r="AA1198">
        <v>62371</v>
      </c>
      <c r="AB1198">
        <v>17596015</v>
      </c>
      <c r="AC1198">
        <v>0</v>
      </c>
      <c r="AD1198" s="8"/>
    </row>
    <row r="1199" spans="1:30" x14ac:dyDescent="0.3">
      <c r="A1199" t="s">
        <v>1627</v>
      </c>
      <c r="B1199">
        <v>1403697</v>
      </c>
      <c r="D1199" t="s">
        <v>7</v>
      </c>
      <c r="E1199">
        <v>946217</v>
      </c>
      <c r="F1199">
        <v>9015884123</v>
      </c>
      <c r="G1199">
        <v>291</v>
      </c>
      <c r="H1199" t="s">
        <v>93</v>
      </c>
      <c r="I1199">
        <v>0</v>
      </c>
      <c r="J1199" t="s">
        <v>94</v>
      </c>
      <c r="K1199" t="s">
        <v>8</v>
      </c>
      <c r="L1199" t="s">
        <v>67</v>
      </c>
      <c r="M1199" t="s">
        <v>9</v>
      </c>
      <c r="N1199" t="s">
        <v>14</v>
      </c>
      <c r="O1199" s="2">
        <v>22600.03</v>
      </c>
      <c r="P1199" s="3">
        <v>158.673</v>
      </c>
      <c r="Q1199" s="1">
        <v>46033</v>
      </c>
      <c r="R1199" s="1">
        <v>45992</v>
      </c>
      <c r="S1199" s="1">
        <v>46022</v>
      </c>
      <c r="V1199" s="8">
        <v>1</v>
      </c>
      <c r="W1199" t="s">
        <v>24</v>
      </c>
      <c r="X1199" t="s">
        <v>95</v>
      </c>
      <c r="Y1199" t="s">
        <v>83</v>
      </c>
      <c r="Z1199" t="s">
        <v>11</v>
      </c>
      <c r="AA1199">
        <v>62371</v>
      </c>
      <c r="AB1199">
        <v>18092532</v>
      </c>
      <c r="AC1199">
        <v>0</v>
      </c>
      <c r="AD1199" s="8"/>
    </row>
    <row r="1200" spans="1:30" x14ac:dyDescent="0.3">
      <c r="A1200" t="s">
        <v>1627</v>
      </c>
      <c r="B1200">
        <v>1414344</v>
      </c>
      <c r="D1200" t="s">
        <v>7</v>
      </c>
      <c r="E1200">
        <v>946579</v>
      </c>
      <c r="F1200">
        <v>9015884123</v>
      </c>
      <c r="G1200">
        <v>429</v>
      </c>
      <c r="H1200" t="s">
        <v>694</v>
      </c>
      <c r="I1200">
        <v>0</v>
      </c>
      <c r="J1200" t="s">
        <v>695</v>
      </c>
      <c r="K1200" t="s">
        <v>8</v>
      </c>
      <c r="L1200" t="s">
        <v>18</v>
      </c>
      <c r="M1200" t="s">
        <v>9</v>
      </c>
      <c r="N1200" t="s">
        <v>14</v>
      </c>
      <c r="O1200" s="2">
        <v>-1.53</v>
      </c>
      <c r="P1200" s="3">
        <v>0</v>
      </c>
      <c r="Q1200" s="1">
        <v>46033</v>
      </c>
      <c r="R1200" s="1">
        <v>45992</v>
      </c>
      <c r="S1200" s="1">
        <v>46022</v>
      </c>
      <c r="V1200" s="8">
        <v>1</v>
      </c>
      <c r="W1200" t="s">
        <v>24</v>
      </c>
      <c r="X1200" t="s">
        <v>696</v>
      </c>
      <c r="Y1200" t="s">
        <v>29</v>
      </c>
      <c r="Z1200" t="s">
        <v>11</v>
      </c>
      <c r="AA1200">
        <v>62371</v>
      </c>
      <c r="AB1200">
        <v>21409996</v>
      </c>
      <c r="AC1200">
        <v>1</v>
      </c>
      <c r="AD1200" s="8"/>
    </row>
    <row r="1201" spans="1:30" x14ac:dyDescent="0.3">
      <c r="A1201" t="s">
        <v>1627</v>
      </c>
      <c r="B1201">
        <v>1415924</v>
      </c>
      <c r="D1201" t="s">
        <v>7</v>
      </c>
      <c r="E1201">
        <v>946522</v>
      </c>
      <c r="F1201">
        <v>9015884123</v>
      </c>
      <c r="G1201">
        <v>412</v>
      </c>
      <c r="H1201" t="s">
        <v>1503</v>
      </c>
      <c r="I1201">
        <v>0</v>
      </c>
      <c r="J1201" t="s">
        <v>1504</v>
      </c>
      <c r="K1201" t="s">
        <v>8</v>
      </c>
      <c r="L1201" t="s">
        <v>67</v>
      </c>
      <c r="M1201" t="s">
        <v>9</v>
      </c>
      <c r="N1201" t="s">
        <v>14</v>
      </c>
      <c r="O1201" s="2">
        <v>110347.06</v>
      </c>
      <c r="P1201" s="3">
        <v>774.73800000000006</v>
      </c>
      <c r="Q1201" s="1">
        <v>46033</v>
      </c>
      <c r="R1201" s="1">
        <v>45992</v>
      </c>
      <c r="S1201" s="1">
        <v>46022</v>
      </c>
      <c r="V1201" s="8">
        <v>1</v>
      </c>
      <c r="W1201" t="s">
        <v>24</v>
      </c>
      <c r="X1201" t="s">
        <v>1505</v>
      </c>
      <c r="Y1201" t="s">
        <v>293</v>
      </c>
      <c r="Z1201" t="s">
        <v>11</v>
      </c>
      <c r="AA1201">
        <v>62371</v>
      </c>
      <c r="AB1201">
        <v>21384309</v>
      </c>
      <c r="AC1201">
        <v>0</v>
      </c>
      <c r="AD1201" s="8"/>
    </row>
    <row r="1202" spans="1:30" x14ac:dyDescent="0.3">
      <c r="A1202" t="s">
        <v>1627</v>
      </c>
      <c r="B1202">
        <v>1403705</v>
      </c>
      <c r="D1202" t="s">
        <v>7</v>
      </c>
      <c r="E1202">
        <v>946231</v>
      </c>
      <c r="F1202">
        <v>9015884123</v>
      </c>
      <c r="G1202">
        <v>295</v>
      </c>
      <c r="H1202" t="s">
        <v>1521</v>
      </c>
      <c r="I1202">
        <v>0</v>
      </c>
      <c r="J1202" t="s">
        <v>1522</v>
      </c>
      <c r="K1202" t="s">
        <v>8</v>
      </c>
      <c r="L1202" t="s">
        <v>15</v>
      </c>
      <c r="M1202" t="s">
        <v>9</v>
      </c>
      <c r="N1202" t="s">
        <v>14</v>
      </c>
      <c r="O1202" s="2">
        <v>0</v>
      </c>
      <c r="P1202" s="3">
        <v>1093.277</v>
      </c>
      <c r="Q1202" s="1">
        <v>46033</v>
      </c>
      <c r="R1202" s="1">
        <v>45992</v>
      </c>
      <c r="S1202" s="1">
        <v>46022</v>
      </c>
      <c r="V1202" s="8">
        <v>1</v>
      </c>
      <c r="W1202" t="s">
        <v>24</v>
      </c>
      <c r="X1202" t="s">
        <v>1523</v>
      </c>
      <c r="Y1202" t="s">
        <v>61</v>
      </c>
      <c r="Z1202" t="s">
        <v>11</v>
      </c>
      <c r="AA1202">
        <v>62371</v>
      </c>
      <c r="AB1202">
        <v>18102167</v>
      </c>
      <c r="AC1202">
        <v>0</v>
      </c>
      <c r="AD1202" s="8"/>
    </row>
    <row r="1203" spans="1:30" x14ac:dyDescent="0.3">
      <c r="A1203" t="s">
        <v>1627</v>
      </c>
      <c r="B1203">
        <v>1444513</v>
      </c>
      <c r="D1203" t="s">
        <v>7</v>
      </c>
      <c r="E1203">
        <v>946879</v>
      </c>
      <c r="F1203">
        <v>9015884123</v>
      </c>
      <c r="G1203">
        <v>525</v>
      </c>
      <c r="H1203" t="s">
        <v>106</v>
      </c>
      <c r="I1203">
        <v>0</v>
      </c>
      <c r="J1203" t="s">
        <v>107</v>
      </c>
      <c r="K1203" t="s">
        <v>8</v>
      </c>
      <c r="L1203" t="s">
        <v>19</v>
      </c>
      <c r="M1203" t="s">
        <v>9</v>
      </c>
      <c r="N1203" t="s">
        <v>14</v>
      </c>
      <c r="O1203" s="2">
        <v>176096.76</v>
      </c>
      <c r="P1203" s="3">
        <v>1079.3150000000001</v>
      </c>
      <c r="Q1203" s="1">
        <v>46033</v>
      </c>
      <c r="R1203" s="1">
        <v>45992</v>
      </c>
      <c r="S1203" s="1">
        <v>46022</v>
      </c>
      <c r="V1203" s="8">
        <v>1</v>
      </c>
      <c r="W1203" t="s">
        <v>24</v>
      </c>
      <c r="X1203" t="s">
        <v>108</v>
      </c>
      <c r="Y1203" t="s">
        <v>34</v>
      </c>
      <c r="Z1203" t="s">
        <v>11</v>
      </c>
      <c r="AA1203">
        <v>62371</v>
      </c>
      <c r="AB1203">
        <v>21249968</v>
      </c>
      <c r="AC1203">
        <v>1</v>
      </c>
      <c r="AD1203" s="8"/>
    </row>
    <row r="1204" spans="1:30" x14ac:dyDescent="0.3">
      <c r="A1204" t="s">
        <v>1627</v>
      </c>
      <c r="B1204">
        <v>1444513</v>
      </c>
      <c r="D1204" t="s">
        <v>7</v>
      </c>
      <c r="E1204">
        <v>946879</v>
      </c>
      <c r="F1204">
        <v>9015884123</v>
      </c>
      <c r="G1204">
        <v>525</v>
      </c>
      <c r="H1204" t="s">
        <v>106</v>
      </c>
      <c r="I1204">
        <v>0</v>
      </c>
      <c r="J1204" t="s">
        <v>107</v>
      </c>
      <c r="K1204" t="s">
        <v>8</v>
      </c>
      <c r="L1204" t="s">
        <v>15</v>
      </c>
      <c r="M1204" t="s">
        <v>9</v>
      </c>
      <c r="N1204" t="s">
        <v>14</v>
      </c>
      <c r="O1204" s="2">
        <v>0</v>
      </c>
      <c r="P1204" s="3">
        <v>3281.7550000000001</v>
      </c>
      <c r="Q1204" s="1">
        <v>46033</v>
      </c>
      <c r="R1204" s="1">
        <v>45992</v>
      </c>
      <c r="S1204" s="1">
        <v>46022</v>
      </c>
      <c r="V1204" s="8">
        <v>1</v>
      </c>
      <c r="W1204" t="s">
        <v>24</v>
      </c>
      <c r="X1204" t="s">
        <v>108</v>
      </c>
      <c r="Y1204" t="s">
        <v>34</v>
      </c>
      <c r="Z1204" t="s">
        <v>11</v>
      </c>
      <c r="AA1204">
        <v>62371</v>
      </c>
      <c r="AB1204">
        <v>21249968</v>
      </c>
      <c r="AC1204">
        <v>1</v>
      </c>
      <c r="AD1204" s="8"/>
    </row>
    <row r="1205" spans="1:30" x14ac:dyDescent="0.3">
      <c r="A1205" t="s">
        <v>1627</v>
      </c>
      <c r="B1205">
        <v>1415123</v>
      </c>
      <c r="D1205" t="s">
        <v>7</v>
      </c>
      <c r="E1205">
        <v>946542</v>
      </c>
      <c r="F1205">
        <v>9015884123</v>
      </c>
      <c r="G1205">
        <v>418</v>
      </c>
      <c r="H1205" t="s">
        <v>115</v>
      </c>
      <c r="I1205">
        <v>0</v>
      </c>
      <c r="J1205" t="s">
        <v>116</v>
      </c>
      <c r="K1205" t="s">
        <v>8</v>
      </c>
      <c r="L1205" t="s">
        <v>67</v>
      </c>
      <c r="M1205" t="s">
        <v>9</v>
      </c>
      <c r="N1205" t="s">
        <v>14</v>
      </c>
      <c r="O1205" s="2">
        <v>186485.33</v>
      </c>
      <c r="P1205" s="3">
        <v>1726.7840000000001</v>
      </c>
      <c r="Q1205" s="1">
        <v>46033</v>
      </c>
      <c r="R1205" s="1">
        <v>45992</v>
      </c>
      <c r="S1205" s="1">
        <v>46022</v>
      </c>
      <c r="V1205" s="8">
        <v>1</v>
      </c>
      <c r="W1205" t="s">
        <v>24</v>
      </c>
      <c r="X1205" t="s">
        <v>117</v>
      </c>
      <c r="Y1205" t="s">
        <v>34</v>
      </c>
      <c r="Z1205" t="s">
        <v>11</v>
      </c>
      <c r="AA1205">
        <v>62371</v>
      </c>
      <c r="AB1205">
        <v>21285169</v>
      </c>
      <c r="AC1205">
        <v>1</v>
      </c>
      <c r="AD1205" s="8"/>
    </row>
    <row r="1206" spans="1:30" x14ac:dyDescent="0.3">
      <c r="A1206" t="s">
        <v>1627</v>
      </c>
      <c r="B1206">
        <v>1415123</v>
      </c>
      <c r="D1206" t="s">
        <v>7</v>
      </c>
      <c r="E1206">
        <v>946542</v>
      </c>
      <c r="F1206">
        <v>9015884123</v>
      </c>
      <c r="G1206">
        <v>418</v>
      </c>
      <c r="H1206" t="s">
        <v>115</v>
      </c>
      <c r="I1206">
        <v>0</v>
      </c>
      <c r="J1206" t="s">
        <v>116</v>
      </c>
      <c r="K1206" t="s">
        <v>8</v>
      </c>
      <c r="L1206" t="s">
        <v>15</v>
      </c>
      <c r="M1206" t="s">
        <v>9</v>
      </c>
      <c r="N1206" t="s">
        <v>14</v>
      </c>
      <c r="O1206" s="2">
        <v>0</v>
      </c>
      <c r="P1206" s="3">
        <v>1726.7840000000001</v>
      </c>
      <c r="Q1206" s="1">
        <v>46033</v>
      </c>
      <c r="R1206" s="1">
        <v>45992</v>
      </c>
      <c r="S1206" s="1">
        <v>46022</v>
      </c>
      <c r="V1206" s="8">
        <v>1</v>
      </c>
      <c r="W1206" t="s">
        <v>24</v>
      </c>
      <c r="X1206" t="s">
        <v>117</v>
      </c>
      <c r="Y1206" t="s">
        <v>34</v>
      </c>
      <c r="Z1206" t="s">
        <v>11</v>
      </c>
      <c r="AA1206">
        <v>62371</v>
      </c>
      <c r="AB1206">
        <v>21285169</v>
      </c>
      <c r="AC1206">
        <v>1</v>
      </c>
      <c r="AD1206" s="8"/>
    </row>
    <row r="1207" spans="1:30" x14ac:dyDescent="0.3">
      <c r="A1207" t="s">
        <v>1627</v>
      </c>
      <c r="B1207">
        <v>1408944</v>
      </c>
      <c r="D1207" t="s">
        <v>7</v>
      </c>
      <c r="E1207">
        <v>946347</v>
      </c>
      <c r="F1207">
        <v>9015884123</v>
      </c>
      <c r="G1207">
        <v>347</v>
      </c>
      <c r="H1207" t="s">
        <v>1033</v>
      </c>
      <c r="I1207">
        <v>0</v>
      </c>
      <c r="J1207" t="s">
        <v>1034</v>
      </c>
      <c r="K1207" t="s">
        <v>8</v>
      </c>
      <c r="L1207" t="s">
        <v>67</v>
      </c>
      <c r="M1207" t="s">
        <v>9</v>
      </c>
      <c r="N1207" t="s">
        <v>14</v>
      </c>
      <c r="O1207" s="2">
        <v>314379.13</v>
      </c>
      <c r="P1207" s="3">
        <v>2207.2310000000002</v>
      </c>
      <c r="Q1207" s="1">
        <v>46033</v>
      </c>
      <c r="R1207" s="1">
        <v>45992</v>
      </c>
      <c r="S1207" s="1">
        <v>46022</v>
      </c>
      <c r="V1207" s="8">
        <v>1</v>
      </c>
      <c r="W1207" t="s">
        <v>24</v>
      </c>
      <c r="X1207" t="s">
        <v>1035</v>
      </c>
      <c r="Y1207" t="s">
        <v>62</v>
      </c>
      <c r="Z1207" t="s">
        <v>11</v>
      </c>
      <c r="AA1207">
        <v>62371</v>
      </c>
      <c r="AB1207">
        <v>17746989</v>
      </c>
      <c r="AC1207">
        <v>0</v>
      </c>
      <c r="AD1207" s="8"/>
    </row>
    <row r="1208" spans="1:30" x14ac:dyDescent="0.3">
      <c r="A1208" t="s">
        <v>1627</v>
      </c>
      <c r="B1208">
        <v>1415104</v>
      </c>
      <c r="D1208" t="s">
        <v>7</v>
      </c>
      <c r="E1208">
        <v>946567</v>
      </c>
      <c r="F1208">
        <v>9015884123</v>
      </c>
      <c r="G1208">
        <v>425</v>
      </c>
      <c r="H1208" t="s">
        <v>591</v>
      </c>
      <c r="I1208">
        <v>0</v>
      </c>
      <c r="J1208" t="s">
        <v>592</v>
      </c>
      <c r="K1208" t="s">
        <v>8</v>
      </c>
      <c r="L1208" t="s">
        <v>67</v>
      </c>
      <c r="M1208" t="s">
        <v>9</v>
      </c>
      <c r="N1208" t="s">
        <v>14</v>
      </c>
      <c r="O1208" s="2">
        <v>193026.39</v>
      </c>
      <c r="P1208" s="3">
        <v>1355.223</v>
      </c>
      <c r="Q1208" s="1">
        <v>46033</v>
      </c>
      <c r="R1208" s="1">
        <v>45992</v>
      </c>
      <c r="S1208" s="1">
        <v>46022</v>
      </c>
      <c r="V1208" s="8">
        <v>1</v>
      </c>
      <c r="W1208" t="s">
        <v>24</v>
      </c>
      <c r="X1208" t="s">
        <v>593</v>
      </c>
      <c r="Y1208" t="s">
        <v>35</v>
      </c>
      <c r="Z1208" t="s">
        <v>11</v>
      </c>
      <c r="AA1208">
        <v>62371</v>
      </c>
      <c r="AB1208">
        <v>21401641</v>
      </c>
      <c r="AC1208">
        <v>0</v>
      </c>
      <c r="AD1208" s="8"/>
    </row>
    <row r="1209" spans="1:30" x14ac:dyDescent="0.3">
      <c r="A1209" t="s">
        <v>1627</v>
      </c>
      <c r="B1209">
        <v>1406227</v>
      </c>
      <c r="D1209" t="s">
        <v>7</v>
      </c>
      <c r="E1209">
        <v>946295</v>
      </c>
      <c r="F1209">
        <v>9015884123</v>
      </c>
      <c r="G1209">
        <v>320</v>
      </c>
      <c r="H1209" t="s">
        <v>148</v>
      </c>
      <c r="I1209">
        <v>0</v>
      </c>
      <c r="J1209" t="s">
        <v>149</v>
      </c>
      <c r="K1209" t="s">
        <v>8</v>
      </c>
      <c r="L1209" t="s">
        <v>15</v>
      </c>
      <c r="M1209" t="s">
        <v>9</v>
      </c>
      <c r="N1209" t="s">
        <v>14</v>
      </c>
      <c r="O1209" s="2">
        <v>0</v>
      </c>
      <c r="P1209" s="3">
        <v>484.76100000000002</v>
      </c>
      <c r="Q1209" s="1">
        <v>46033</v>
      </c>
      <c r="R1209" s="1">
        <v>45992</v>
      </c>
      <c r="S1209" s="1">
        <v>46022</v>
      </c>
      <c r="V1209" s="8">
        <v>1</v>
      </c>
      <c r="W1209" t="s">
        <v>24</v>
      </c>
      <c r="X1209" t="s">
        <v>150</v>
      </c>
      <c r="Y1209" t="s">
        <v>34</v>
      </c>
      <c r="Z1209" t="s">
        <v>11</v>
      </c>
      <c r="AA1209">
        <v>62371</v>
      </c>
      <c r="AB1209">
        <v>21249992</v>
      </c>
      <c r="AC1209">
        <v>1</v>
      </c>
      <c r="AD1209" s="8"/>
    </row>
    <row r="1210" spans="1:30" x14ac:dyDescent="0.3">
      <c r="A1210" t="s">
        <v>1627</v>
      </c>
      <c r="B1210">
        <v>1403903</v>
      </c>
      <c r="D1210" t="s">
        <v>7</v>
      </c>
      <c r="E1210">
        <v>946228</v>
      </c>
      <c r="F1210">
        <v>9015884123</v>
      </c>
      <c r="G1210">
        <v>294</v>
      </c>
      <c r="H1210" t="s">
        <v>124</v>
      </c>
      <c r="I1210">
        <v>0</v>
      </c>
      <c r="J1210" t="s">
        <v>125</v>
      </c>
      <c r="K1210" t="s">
        <v>8</v>
      </c>
      <c r="L1210" t="s">
        <v>15</v>
      </c>
      <c r="M1210" t="s">
        <v>9</v>
      </c>
      <c r="N1210" t="s">
        <v>14</v>
      </c>
      <c r="O1210" s="2">
        <v>0</v>
      </c>
      <c r="P1210" s="3">
        <v>2775.6239999999998</v>
      </c>
      <c r="Q1210" s="1">
        <v>46036</v>
      </c>
      <c r="R1210" s="1">
        <v>45992</v>
      </c>
      <c r="S1210" s="1">
        <v>46022</v>
      </c>
      <c r="V1210" s="8">
        <v>1</v>
      </c>
      <c r="W1210" t="s">
        <v>24</v>
      </c>
      <c r="X1210" t="s">
        <v>126</v>
      </c>
      <c r="Y1210" t="s">
        <v>34</v>
      </c>
      <c r="Z1210" t="s">
        <v>11</v>
      </c>
      <c r="AA1210">
        <v>62371</v>
      </c>
      <c r="AB1210">
        <v>18581834</v>
      </c>
      <c r="AC1210">
        <v>0</v>
      </c>
      <c r="AD1210" s="8"/>
    </row>
    <row r="1211" spans="1:30" x14ac:dyDescent="0.3">
      <c r="A1211" t="s">
        <v>1627</v>
      </c>
      <c r="B1211">
        <v>1303764</v>
      </c>
      <c r="D1211" t="s">
        <v>7</v>
      </c>
      <c r="E1211">
        <v>945158</v>
      </c>
      <c r="F1211">
        <v>9015884123</v>
      </c>
      <c r="G1211">
        <v>31</v>
      </c>
      <c r="H1211" t="s">
        <v>1585</v>
      </c>
      <c r="I1211">
        <v>0</v>
      </c>
      <c r="J1211" t="s">
        <v>1586</v>
      </c>
      <c r="K1211" t="s">
        <v>8</v>
      </c>
      <c r="L1211" t="s">
        <v>15</v>
      </c>
      <c r="M1211" t="s">
        <v>9</v>
      </c>
      <c r="N1211" t="s">
        <v>14</v>
      </c>
      <c r="O1211" s="2">
        <v>0</v>
      </c>
      <c r="P1211" s="3">
        <v>3803.9290000000001</v>
      </c>
      <c r="Q1211" s="1">
        <v>46033</v>
      </c>
      <c r="R1211" s="1">
        <v>45992</v>
      </c>
      <c r="S1211" s="1">
        <v>46022</v>
      </c>
      <c r="V1211" s="8">
        <v>1</v>
      </c>
      <c r="W1211" t="s">
        <v>24</v>
      </c>
      <c r="X1211" t="s">
        <v>1587</v>
      </c>
      <c r="Y1211" t="s">
        <v>36</v>
      </c>
      <c r="Z1211" t="s">
        <v>11</v>
      </c>
      <c r="AA1211">
        <v>62371</v>
      </c>
      <c r="AB1211">
        <v>18090123</v>
      </c>
      <c r="AC1211">
        <v>1</v>
      </c>
      <c r="AD1211" s="8"/>
    </row>
    <row r="1212" spans="1:30" x14ac:dyDescent="0.3">
      <c r="A1212" t="s">
        <v>1627</v>
      </c>
      <c r="B1212">
        <v>1418675</v>
      </c>
      <c r="D1212" t="s">
        <v>7</v>
      </c>
      <c r="E1212">
        <v>946664</v>
      </c>
      <c r="F1212">
        <v>9015884123</v>
      </c>
      <c r="G1212">
        <v>457</v>
      </c>
      <c r="H1212" t="s">
        <v>1334</v>
      </c>
      <c r="I1212">
        <v>0</v>
      </c>
      <c r="J1212" t="s">
        <v>1335</v>
      </c>
      <c r="K1212" t="s">
        <v>8</v>
      </c>
      <c r="L1212" t="s">
        <v>18</v>
      </c>
      <c r="M1212" t="s">
        <v>9</v>
      </c>
      <c r="N1212" t="s">
        <v>14</v>
      </c>
      <c r="O1212" s="2">
        <v>1.1499999999999999</v>
      </c>
      <c r="P1212" s="3">
        <v>0</v>
      </c>
      <c r="Q1212" s="1">
        <v>46033</v>
      </c>
      <c r="R1212" s="1">
        <v>45992</v>
      </c>
      <c r="S1212" s="1">
        <v>46022</v>
      </c>
      <c r="V1212" s="8">
        <v>1</v>
      </c>
      <c r="W1212" t="s">
        <v>24</v>
      </c>
      <c r="X1212" t="s">
        <v>1336</v>
      </c>
      <c r="Y1212" t="s">
        <v>38</v>
      </c>
      <c r="Z1212" t="s">
        <v>11</v>
      </c>
      <c r="AA1212">
        <v>62371</v>
      </c>
      <c r="AB1212">
        <v>21434378</v>
      </c>
      <c r="AC1212">
        <v>0</v>
      </c>
      <c r="AD1212" s="8"/>
    </row>
    <row r="1213" spans="1:30" x14ac:dyDescent="0.3">
      <c r="A1213" t="s">
        <v>1627</v>
      </c>
      <c r="B1213">
        <v>1403711</v>
      </c>
      <c r="D1213" t="s">
        <v>7</v>
      </c>
      <c r="E1213">
        <v>946253</v>
      </c>
      <c r="F1213">
        <v>9015884123</v>
      </c>
      <c r="G1213">
        <v>302</v>
      </c>
      <c r="H1213" t="s">
        <v>1144</v>
      </c>
      <c r="I1213">
        <v>0</v>
      </c>
      <c r="J1213" t="s">
        <v>1145</v>
      </c>
      <c r="K1213" t="s">
        <v>8</v>
      </c>
      <c r="L1213" t="s">
        <v>67</v>
      </c>
      <c r="M1213" t="s">
        <v>9</v>
      </c>
      <c r="N1213" t="s">
        <v>14</v>
      </c>
      <c r="O1213" s="2">
        <v>358115.28</v>
      </c>
      <c r="P1213" s="3">
        <v>2514.299</v>
      </c>
      <c r="Q1213" s="1">
        <v>46033</v>
      </c>
      <c r="R1213" s="1">
        <v>45992</v>
      </c>
      <c r="S1213" s="1">
        <v>46022</v>
      </c>
      <c r="V1213" s="8">
        <v>1</v>
      </c>
      <c r="W1213" t="s">
        <v>24</v>
      </c>
      <c r="X1213" t="s">
        <v>1146</v>
      </c>
      <c r="Y1213" t="s">
        <v>31</v>
      </c>
      <c r="Z1213" t="s">
        <v>11</v>
      </c>
      <c r="AA1213">
        <v>62371</v>
      </c>
      <c r="AB1213">
        <v>18179381</v>
      </c>
      <c r="AC1213">
        <v>0</v>
      </c>
      <c r="AD1213" s="8"/>
    </row>
    <row r="1214" spans="1:30" x14ac:dyDescent="0.3">
      <c r="A1214" t="s">
        <v>1627</v>
      </c>
      <c r="B1214">
        <v>1403711</v>
      </c>
      <c r="D1214" t="s">
        <v>7</v>
      </c>
      <c r="E1214">
        <v>946253</v>
      </c>
      <c r="F1214">
        <v>9015884123</v>
      </c>
      <c r="G1214">
        <v>302</v>
      </c>
      <c r="H1214" t="s">
        <v>1144</v>
      </c>
      <c r="I1214">
        <v>0</v>
      </c>
      <c r="J1214" t="s">
        <v>1145</v>
      </c>
      <c r="K1214" t="s">
        <v>8</v>
      </c>
      <c r="L1214" t="s">
        <v>15</v>
      </c>
      <c r="M1214" t="s">
        <v>9</v>
      </c>
      <c r="N1214" t="s">
        <v>14</v>
      </c>
      <c r="O1214" s="2">
        <v>0</v>
      </c>
      <c r="P1214" s="3">
        <v>2514.299</v>
      </c>
      <c r="Q1214" s="1">
        <v>46033</v>
      </c>
      <c r="R1214" s="1">
        <v>45992</v>
      </c>
      <c r="S1214" s="1">
        <v>46022</v>
      </c>
      <c r="V1214" s="8">
        <v>1</v>
      </c>
      <c r="W1214" t="s">
        <v>24</v>
      </c>
      <c r="X1214" t="s">
        <v>1146</v>
      </c>
      <c r="Y1214" t="s">
        <v>31</v>
      </c>
      <c r="Z1214" t="s">
        <v>11</v>
      </c>
      <c r="AA1214">
        <v>62371</v>
      </c>
      <c r="AB1214">
        <v>18179381</v>
      </c>
      <c r="AC1214">
        <v>0</v>
      </c>
      <c r="AD1214" s="8"/>
    </row>
    <row r="1215" spans="1:30" x14ac:dyDescent="0.3">
      <c r="A1215" t="s">
        <v>1627</v>
      </c>
      <c r="B1215">
        <v>1403698</v>
      </c>
      <c r="D1215" t="s">
        <v>7</v>
      </c>
      <c r="E1215">
        <v>946182</v>
      </c>
      <c r="F1215">
        <v>9015884123</v>
      </c>
      <c r="G1215">
        <v>278</v>
      </c>
      <c r="H1215" t="s">
        <v>1150</v>
      </c>
      <c r="I1215">
        <v>0</v>
      </c>
      <c r="J1215" t="s">
        <v>1151</v>
      </c>
      <c r="K1215" t="s">
        <v>8</v>
      </c>
      <c r="L1215" t="s">
        <v>15</v>
      </c>
      <c r="M1215" t="s">
        <v>9</v>
      </c>
      <c r="N1215" t="s">
        <v>14</v>
      </c>
      <c r="O1215" s="2">
        <v>0</v>
      </c>
      <c r="P1215" s="3">
        <v>12381.841</v>
      </c>
      <c r="Q1215" s="1">
        <v>46033</v>
      </c>
      <c r="R1215" s="1">
        <v>45992</v>
      </c>
      <c r="S1215" s="1">
        <v>46022</v>
      </c>
      <c r="V1215" s="8">
        <v>1</v>
      </c>
      <c r="W1215" t="s">
        <v>24</v>
      </c>
      <c r="X1215" t="s">
        <v>1152</v>
      </c>
      <c r="Y1215" t="s">
        <v>31</v>
      </c>
      <c r="Z1215" t="s">
        <v>11</v>
      </c>
      <c r="AA1215">
        <v>62371</v>
      </c>
      <c r="AB1215">
        <v>21358814</v>
      </c>
      <c r="AC1215">
        <v>1</v>
      </c>
      <c r="AD1215" s="8"/>
    </row>
    <row r="1216" spans="1:30" x14ac:dyDescent="0.3">
      <c r="A1216" t="s">
        <v>1627</v>
      </c>
      <c r="B1216">
        <v>1344279</v>
      </c>
      <c r="D1216" t="s">
        <v>7</v>
      </c>
      <c r="E1216">
        <v>945289</v>
      </c>
      <c r="F1216">
        <v>9015884123</v>
      </c>
      <c r="G1216">
        <v>78</v>
      </c>
      <c r="H1216" t="s">
        <v>624</v>
      </c>
      <c r="I1216">
        <v>0</v>
      </c>
      <c r="J1216" t="s">
        <v>625</v>
      </c>
      <c r="K1216" t="s">
        <v>8</v>
      </c>
      <c r="L1216" t="s">
        <v>19</v>
      </c>
      <c r="M1216" t="s">
        <v>9</v>
      </c>
      <c r="N1216" t="s">
        <v>14</v>
      </c>
      <c r="O1216" s="2">
        <v>32864.65</v>
      </c>
      <c r="P1216" s="3">
        <v>166.32599999999999</v>
      </c>
      <c r="Q1216" s="1">
        <v>46033</v>
      </c>
      <c r="R1216" s="1">
        <v>45992</v>
      </c>
      <c r="S1216" s="1">
        <v>46022</v>
      </c>
      <c r="V1216" s="8">
        <v>1</v>
      </c>
      <c r="W1216" t="s">
        <v>24</v>
      </c>
      <c r="X1216" t="s">
        <v>626</v>
      </c>
      <c r="Y1216" t="s">
        <v>40</v>
      </c>
      <c r="Z1216" t="s">
        <v>11</v>
      </c>
      <c r="AA1216">
        <v>62371</v>
      </c>
      <c r="AB1216">
        <v>17949323</v>
      </c>
      <c r="AC1216">
        <v>0</v>
      </c>
      <c r="AD1216" s="8"/>
    </row>
    <row r="1217" spans="1:30" x14ac:dyDescent="0.3">
      <c r="A1217" t="s">
        <v>1627</v>
      </c>
      <c r="B1217">
        <v>1380619</v>
      </c>
      <c r="D1217" t="s">
        <v>7</v>
      </c>
      <c r="E1217">
        <v>945999</v>
      </c>
      <c r="F1217">
        <v>9015884123</v>
      </c>
      <c r="G1217">
        <v>217</v>
      </c>
      <c r="H1217" t="s">
        <v>733</v>
      </c>
      <c r="I1217">
        <v>0</v>
      </c>
      <c r="J1217" t="s">
        <v>734</v>
      </c>
      <c r="K1217" t="s">
        <v>8</v>
      </c>
      <c r="L1217" t="s">
        <v>67</v>
      </c>
      <c r="M1217" t="s">
        <v>9</v>
      </c>
      <c r="N1217" t="s">
        <v>14</v>
      </c>
      <c r="O1217" s="2">
        <v>594539.54</v>
      </c>
      <c r="P1217" s="3">
        <v>4174.2150000000001</v>
      </c>
      <c r="Q1217" s="1">
        <v>46033</v>
      </c>
      <c r="R1217" s="1">
        <v>45992</v>
      </c>
      <c r="S1217" s="1">
        <v>46022</v>
      </c>
      <c r="V1217" s="8">
        <v>1</v>
      </c>
      <c r="W1217" t="s">
        <v>24</v>
      </c>
      <c r="X1217" t="s">
        <v>735</v>
      </c>
      <c r="Y1217" t="s">
        <v>31</v>
      </c>
      <c r="Z1217" t="s">
        <v>11</v>
      </c>
      <c r="AA1217">
        <v>62371</v>
      </c>
      <c r="AB1217">
        <v>21087841</v>
      </c>
      <c r="AC1217">
        <v>0</v>
      </c>
      <c r="AD1217" s="8"/>
    </row>
    <row r="1218" spans="1:30" x14ac:dyDescent="0.3">
      <c r="A1218" t="s">
        <v>1627</v>
      </c>
      <c r="B1218">
        <v>1359843</v>
      </c>
      <c r="D1218" t="s">
        <v>7</v>
      </c>
      <c r="E1218">
        <v>945487</v>
      </c>
      <c r="F1218">
        <v>9015884123</v>
      </c>
      <c r="G1218">
        <v>141</v>
      </c>
      <c r="H1218" t="s">
        <v>142</v>
      </c>
      <c r="I1218">
        <v>0</v>
      </c>
      <c r="J1218" t="s">
        <v>143</v>
      </c>
      <c r="K1218" t="s">
        <v>8</v>
      </c>
      <c r="L1218" t="s">
        <v>18</v>
      </c>
      <c r="M1218" t="s">
        <v>9</v>
      </c>
      <c r="N1218" t="s">
        <v>14</v>
      </c>
      <c r="O1218" s="2">
        <v>-2.71</v>
      </c>
      <c r="P1218" s="3">
        <v>0</v>
      </c>
      <c r="Q1218" s="1">
        <v>46033</v>
      </c>
      <c r="R1218" s="1">
        <v>45992</v>
      </c>
      <c r="S1218" s="1">
        <v>46022</v>
      </c>
      <c r="V1218" s="8">
        <v>1</v>
      </c>
      <c r="W1218" t="s">
        <v>24</v>
      </c>
      <c r="X1218" t="s">
        <v>144</v>
      </c>
      <c r="Y1218" t="s">
        <v>31</v>
      </c>
      <c r="Z1218" t="s">
        <v>11</v>
      </c>
      <c r="AA1218">
        <v>62371</v>
      </c>
      <c r="AB1218">
        <v>21358812</v>
      </c>
      <c r="AC1218">
        <v>1</v>
      </c>
      <c r="AD1218" s="8"/>
    </row>
    <row r="1219" spans="1:30" x14ac:dyDescent="0.3">
      <c r="A1219" t="s">
        <v>1627</v>
      </c>
      <c r="B1219">
        <v>1353820</v>
      </c>
      <c r="D1219" t="s">
        <v>7</v>
      </c>
      <c r="E1219">
        <v>945295</v>
      </c>
      <c r="F1219">
        <v>9015884123</v>
      </c>
      <c r="G1219">
        <v>80</v>
      </c>
      <c r="H1219" t="s">
        <v>596</v>
      </c>
      <c r="I1219">
        <v>0</v>
      </c>
      <c r="J1219" t="s">
        <v>597</v>
      </c>
      <c r="K1219" t="s">
        <v>8</v>
      </c>
      <c r="L1219" t="s">
        <v>67</v>
      </c>
      <c r="M1219" t="s">
        <v>9</v>
      </c>
      <c r="N1219" t="s">
        <v>14</v>
      </c>
      <c r="O1219" s="2">
        <v>500750.81</v>
      </c>
      <c r="P1219" s="3">
        <v>4636.7640000000001</v>
      </c>
      <c r="Q1219" s="1">
        <v>46033</v>
      </c>
      <c r="R1219" s="1">
        <v>45992</v>
      </c>
      <c r="S1219" s="1">
        <v>46022</v>
      </c>
      <c r="V1219" s="8">
        <v>1</v>
      </c>
      <c r="W1219" t="s">
        <v>24</v>
      </c>
      <c r="X1219" t="s">
        <v>598</v>
      </c>
      <c r="Y1219" t="s">
        <v>40</v>
      </c>
      <c r="Z1219" t="s">
        <v>11</v>
      </c>
      <c r="AA1219">
        <v>62371</v>
      </c>
      <c r="AB1219">
        <v>17941348</v>
      </c>
      <c r="AC1219">
        <v>1</v>
      </c>
      <c r="AD1219" s="8"/>
    </row>
    <row r="1220" spans="1:30" x14ac:dyDescent="0.3">
      <c r="A1220" t="s">
        <v>1627</v>
      </c>
      <c r="B1220">
        <v>1358836</v>
      </c>
      <c r="D1220" t="s">
        <v>7</v>
      </c>
      <c r="E1220">
        <v>945902</v>
      </c>
      <c r="F1220">
        <v>9015884123</v>
      </c>
      <c r="G1220">
        <v>151</v>
      </c>
      <c r="H1220" t="s">
        <v>605</v>
      </c>
      <c r="I1220">
        <v>0</v>
      </c>
      <c r="J1220" t="s">
        <v>606</v>
      </c>
      <c r="K1220" t="s">
        <v>8</v>
      </c>
      <c r="L1220" t="s">
        <v>18</v>
      </c>
      <c r="M1220" t="s">
        <v>9</v>
      </c>
      <c r="N1220" t="s">
        <v>14</v>
      </c>
      <c r="O1220" s="2">
        <v>-3.95</v>
      </c>
      <c r="P1220" s="3">
        <v>0</v>
      </c>
      <c r="Q1220" s="1">
        <v>46033</v>
      </c>
      <c r="R1220" s="1">
        <v>45992</v>
      </c>
      <c r="S1220" s="1">
        <v>46022</v>
      </c>
      <c r="V1220" s="8">
        <v>1</v>
      </c>
      <c r="W1220" t="s">
        <v>24</v>
      </c>
      <c r="X1220" t="s">
        <v>607</v>
      </c>
      <c r="Y1220" t="s">
        <v>40</v>
      </c>
      <c r="Z1220" t="s">
        <v>11</v>
      </c>
      <c r="AA1220">
        <v>62371</v>
      </c>
      <c r="AB1220">
        <v>21106483</v>
      </c>
      <c r="AC1220">
        <v>1</v>
      </c>
      <c r="AD1220" s="8"/>
    </row>
    <row r="1221" spans="1:30" x14ac:dyDescent="0.3">
      <c r="A1221" t="s">
        <v>1627</v>
      </c>
      <c r="B1221">
        <v>1363370</v>
      </c>
      <c r="D1221" t="s">
        <v>7</v>
      </c>
      <c r="E1221">
        <v>945909</v>
      </c>
      <c r="F1221">
        <v>9015884123</v>
      </c>
      <c r="G1221">
        <v>158</v>
      </c>
      <c r="H1221" t="s">
        <v>652</v>
      </c>
      <c r="I1221">
        <v>0</v>
      </c>
      <c r="J1221" t="s">
        <v>653</v>
      </c>
      <c r="K1221" t="s">
        <v>8</v>
      </c>
      <c r="L1221" t="s">
        <v>67</v>
      </c>
      <c r="M1221" t="s">
        <v>9</v>
      </c>
      <c r="N1221" t="s">
        <v>14</v>
      </c>
      <c r="O1221" s="2">
        <v>6868.96</v>
      </c>
      <c r="P1221" s="3">
        <v>63.603999999999999</v>
      </c>
      <c r="Q1221" s="1">
        <v>46033</v>
      </c>
      <c r="R1221" s="1">
        <v>45992</v>
      </c>
      <c r="S1221" s="1">
        <v>46022</v>
      </c>
      <c r="V1221" s="8">
        <v>1</v>
      </c>
      <c r="W1221" t="s">
        <v>24</v>
      </c>
      <c r="X1221" t="s">
        <v>654</v>
      </c>
      <c r="Y1221" t="s">
        <v>40</v>
      </c>
      <c r="Z1221" t="s">
        <v>11</v>
      </c>
      <c r="AA1221">
        <v>62371</v>
      </c>
      <c r="AB1221">
        <v>21106485</v>
      </c>
      <c r="AC1221">
        <v>1</v>
      </c>
      <c r="AD1221" s="8"/>
    </row>
    <row r="1222" spans="1:30" x14ac:dyDescent="0.3">
      <c r="A1222" t="s">
        <v>1627</v>
      </c>
      <c r="B1222">
        <v>1363439</v>
      </c>
      <c r="D1222" t="s">
        <v>7</v>
      </c>
      <c r="E1222">
        <v>945927</v>
      </c>
      <c r="F1222">
        <v>9015884123</v>
      </c>
      <c r="G1222">
        <v>178</v>
      </c>
      <c r="H1222" t="s">
        <v>1060</v>
      </c>
      <c r="I1222">
        <v>0</v>
      </c>
      <c r="J1222" t="s">
        <v>1061</v>
      </c>
      <c r="K1222" t="s">
        <v>8</v>
      </c>
      <c r="L1222" t="s">
        <v>15</v>
      </c>
      <c r="M1222" t="s">
        <v>9</v>
      </c>
      <c r="N1222" t="s">
        <v>14</v>
      </c>
      <c r="O1222" s="2">
        <v>0</v>
      </c>
      <c r="P1222" s="3">
        <v>11781.155000000001</v>
      </c>
      <c r="Q1222" s="1">
        <v>46033</v>
      </c>
      <c r="R1222" s="1">
        <v>45992</v>
      </c>
      <c r="S1222" s="1">
        <v>46022</v>
      </c>
      <c r="V1222" s="8">
        <v>1</v>
      </c>
      <c r="W1222" t="s">
        <v>24</v>
      </c>
      <c r="X1222" t="s">
        <v>1062</v>
      </c>
      <c r="Y1222" t="s">
        <v>40</v>
      </c>
      <c r="Z1222" t="s">
        <v>11</v>
      </c>
      <c r="AA1222">
        <v>62371</v>
      </c>
      <c r="AB1222">
        <v>18017986</v>
      </c>
      <c r="AC1222">
        <v>0</v>
      </c>
      <c r="AD1222" s="8"/>
    </row>
    <row r="1223" spans="1:30" x14ac:dyDescent="0.3">
      <c r="A1223" t="s">
        <v>1627</v>
      </c>
      <c r="B1223">
        <v>1363121</v>
      </c>
      <c r="D1223" t="s">
        <v>7</v>
      </c>
      <c r="E1223">
        <v>945906</v>
      </c>
      <c r="F1223">
        <v>9015884123</v>
      </c>
      <c r="G1223">
        <v>155</v>
      </c>
      <c r="H1223" t="s">
        <v>1159</v>
      </c>
      <c r="I1223">
        <v>0</v>
      </c>
      <c r="J1223" t="s">
        <v>1160</v>
      </c>
      <c r="K1223" t="s">
        <v>8</v>
      </c>
      <c r="L1223" t="s">
        <v>67</v>
      </c>
      <c r="M1223" t="s">
        <v>9</v>
      </c>
      <c r="N1223" t="s">
        <v>14</v>
      </c>
      <c r="O1223" s="2">
        <v>770330.12</v>
      </c>
      <c r="P1223" s="3">
        <v>7132.9669999999996</v>
      </c>
      <c r="Q1223" s="1">
        <v>46033</v>
      </c>
      <c r="R1223" s="1">
        <v>45992</v>
      </c>
      <c r="S1223" s="1">
        <v>46022</v>
      </c>
      <c r="V1223" s="8">
        <v>1</v>
      </c>
      <c r="W1223" t="s">
        <v>24</v>
      </c>
      <c r="X1223" t="s">
        <v>1161</v>
      </c>
      <c r="Y1223" t="s">
        <v>34</v>
      </c>
      <c r="Z1223" t="s">
        <v>11</v>
      </c>
      <c r="AA1223">
        <v>62371</v>
      </c>
      <c r="AB1223">
        <v>21249920</v>
      </c>
      <c r="AC1223">
        <v>1</v>
      </c>
      <c r="AD1223" s="8"/>
    </row>
    <row r="1224" spans="1:30" x14ac:dyDescent="0.3">
      <c r="A1224" t="s">
        <v>1627</v>
      </c>
      <c r="B1224">
        <v>1356065</v>
      </c>
      <c r="D1224" t="s">
        <v>7</v>
      </c>
      <c r="E1224">
        <v>945438</v>
      </c>
      <c r="F1224">
        <v>9015884123</v>
      </c>
      <c r="G1224">
        <v>124</v>
      </c>
      <c r="H1224" t="s">
        <v>1379</v>
      </c>
      <c r="I1224">
        <v>0</v>
      </c>
      <c r="J1224" t="s">
        <v>1380</v>
      </c>
      <c r="K1224" t="s">
        <v>8</v>
      </c>
      <c r="L1224" t="s">
        <v>18</v>
      </c>
      <c r="M1224" t="s">
        <v>9</v>
      </c>
      <c r="N1224" t="s">
        <v>14</v>
      </c>
      <c r="O1224" s="2">
        <v>4.32</v>
      </c>
      <c r="P1224" s="3">
        <v>0</v>
      </c>
      <c r="Q1224" s="1">
        <v>46033</v>
      </c>
      <c r="R1224" s="1">
        <v>45992</v>
      </c>
      <c r="S1224" s="1">
        <v>46022</v>
      </c>
      <c r="V1224" s="8">
        <v>1</v>
      </c>
      <c r="W1224" t="s">
        <v>24</v>
      </c>
      <c r="X1224" t="s">
        <v>1381</v>
      </c>
      <c r="Y1224" t="s">
        <v>34</v>
      </c>
      <c r="Z1224" t="s">
        <v>11</v>
      </c>
      <c r="AA1224">
        <v>62371</v>
      </c>
      <c r="AB1224">
        <v>17918099</v>
      </c>
      <c r="AC1224">
        <v>0</v>
      </c>
      <c r="AD1224" s="8"/>
    </row>
    <row r="1225" spans="1:30" x14ac:dyDescent="0.3">
      <c r="A1225" t="s">
        <v>1627</v>
      </c>
      <c r="B1225">
        <v>1377760</v>
      </c>
      <c r="D1225" t="s">
        <v>7</v>
      </c>
      <c r="E1225">
        <v>945967</v>
      </c>
      <c r="F1225">
        <v>9015884123</v>
      </c>
      <c r="G1225">
        <v>201</v>
      </c>
      <c r="H1225" t="s">
        <v>1027</v>
      </c>
      <c r="I1225">
        <v>0</v>
      </c>
      <c r="J1225" t="s">
        <v>1028</v>
      </c>
      <c r="K1225" t="s">
        <v>8</v>
      </c>
      <c r="L1225" t="s">
        <v>15</v>
      </c>
      <c r="M1225" t="s">
        <v>9</v>
      </c>
      <c r="N1225" t="s">
        <v>14</v>
      </c>
      <c r="O1225" s="2">
        <v>0</v>
      </c>
      <c r="P1225" s="3">
        <v>16561.544000000002</v>
      </c>
      <c r="Q1225" s="1">
        <v>46033</v>
      </c>
      <c r="R1225" s="1">
        <v>45992</v>
      </c>
      <c r="S1225" s="1">
        <v>46022</v>
      </c>
      <c r="V1225" s="8">
        <v>2</v>
      </c>
      <c r="W1225" t="s">
        <v>24</v>
      </c>
      <c r="X1225" t="s">
        <v>1029</v>
      </c>
      <c r="Y1225" t="s">
        <v>40</v>
      </c>
      <c r="Z1225" t="s">
        <v>11</v>
      </c>
      <c r="AA1225">
        <v>62371</v>
      </c>
      <c r="AB1225">
        <v>18022004</v>
      </c>
      <c r="AC1225">
        <v>1</v>
      </c>
      <c r="AD1225" s="8"/>
    </row>
    <row r="1226" spans="1:30" x14ac:dyDescent="0.3">
      <c r="A1226" t="s">
        <v>1627</v>
      </c>
      <c r="B1226">
        <v>1380283</v>
      </c>
      <c r="D1226" t="s">
        <v>7</v>
      </c>
      <c r="E1226">
        <v>945989</v>
      </c>
      <c r="F1226">
        <v>9015884123</v>
      </c>
      <c r="G1226">
        <v>213</v>
      </c>
      <c r="H1226" t="s">
        <v>1030</v>
      </c>
      <c r="I1226">
        <v>0</v>
      </c>
      <c r="J1226" t="s">
        <v>1031</v>
      </c>
      <c r="K1226" t="s">
        <v>8</v>
      </c>
      <c r="L1226" t="s">
        <v>19</v>
      </c>
      <c r="M1226" t="s">
        <v>9</v>
      </c>
      <c r="N1226" t="s">
        <v>14</v>
      </c>
      <c r="O1226" s="2">
        <v>1460.74</v>
      </c>
      <c r="P1226" s="3">
        <v>8.9529999999999994</v>
      </c>
      <c r="Q1226" s="1">
        <v>46033</v>
      </c>
      <c r="R1226" s="1">
        <v>45992</v>
      </c>
      <c r="S1226" s="1">
        <v>46022</v>
      </c>
      <c r="V1226" s="8">
        <v>1</v>
      </c>
      <c r="W1226" t="s">
        <v>24</v>
      </c>
      <c r="X1226" t="s">
        <v>1032</v>
      </c>
      <c r="Y1226" t="s">
        <v>40</v>
      </c>
      <c r="Z1226" t="s">
        <v>11</v>
      </c>
      <c r="AA1226">
        <v>62371</v>
      </c>
      <c r="AB1226">
        <v>21106459</v>
      </c>
      <c r="AC1226">
        <v>1</v>
      </c>
      <c r="AD1226" s="8"/>
    </row>
    <row r="1227" spans="1:30" x14ac:dyDescent="0.3">
      <c r="A1227" t="s">
        <v>1627</v>
      </c>
      <c r="B1227">
        <v>1380293</v>
      </c>
      <c r="D1227" t="s">
        <v>7</v>
      </c>
      <c r="E1227">
        <v>945991</v>
      </c>
      <c r="F1227">
        <v>9015884123</v>
      </c>
      <c r="G1227">
        <v>214</v>
      </c>
      <c r="H1227" t="s">
        <v>1036</v>
      </c>
      <c r="I1227">
        <v>0</v>
      </c>
      <c r="J1227" t="s">
        <v>1037</v>
      </c>
      <c r="K1227" t="s">
        <v>8</v>
      </c>
      <c r="L1227" t="s">
        <v>15</v>
      </c>
      <c r="M1227" t="s">
        <v>9</v>
      </c>
      <c r="N1227" t="s">
        <v>14</v>
      </c>
      <c r="O1227" s="2">
        <v>0</v>
      </c>
      <c r="P1227" s="3">
        <v>1026.703</v>
      </c>
      <c r="Q1227" s="1">
        <v>46033</v>
      </c>
      <c r="R1227" s="1">
        <v>45992</v>
      </c>
      <c r="S1227" s="1">
        <v>46022</v>
      </c>
      <c r="V1227" s="8">
        <v>1</v>
      </c>
      <c r="W1227" t="s">
        <v>24</v>
      </c>
      <c r="X1227" t="s">
        <v>1038</v>
      </c>
      <c r="Y1227" t="s">
        <v>40</v>
      </c>
      <c r="Z1227" t="s">
        <v>11</v>
      </c>
      <c r="AA1227">
        <v>62371</v>
      </c>
      <c r="AB1227">
        <v>19853293</v>
      </c>
      <c r="AC1227">
        <v>1</v>
      </c>
      <c r="AD1227" s="8"/>
    </row>
    <row r="1228" spans="1:30" x14ac:dyDescent="0.3">
      <c r="A1228" t="s">
        <v>1627</v>
      </c>
      <c r="B1228">
        <v>1345488</v>
      </c>
      <c r="D1228" t="s">
        <v>7</v>
      </c>
      <c r="E1228">
        <v>945285</v>
      </c>
      <c r="F1228">
        <v>9015884123</v>
      </c>
      <c r="G1228">
        <v>77</v>
      </c>
      <c r="H1228" t="s">
        <v>742</v>
      </c>
      <c r="I1228">
        <v>0</v>
      </c>
      <c r="J1228" t="s">
        <v>743</v>
      </c>
      <c r="K1228" t="s">
        <v>8</v>
      </c>
      <c r="L1228" t="s">
        <v>18</v>
      </c>
      <c r="M1228" t="s">
        <v>9</v>
      </c>
      <c r="N1228" t="s">
        <v>14</v>
      </c>
      <c r="O1228" s="2">
        <v>-0.59</v>
      </c>
      <c r="P1228" s="3">
        <v>0</v>
      </c>
      <c r="Q1228" s="1">
        <v>46033</v>
      </c>
      <c r="R1228" s="1">
        <v>45992</v>
      </c>
      <c r="S1228" s="1">
        <v>46022</v>
      </c>
      <c r="V1228" s="8">
        <v>1</v>
      </c>
      <c r="W1228" t="s">
        <v>24</v>
      </c>
      <c r="X1228" t="s">
        <v>744</v>
      </c>
      <c r="Y1228" t="s">
        <v>10</v>
      </c>
      <c r="Z1228" t="s">
        <v>11</v>
      </c>
      <c r="AA1228">
        <v>62371</v>
      </c>
      <c r="AB1228">
        <v>21116819</v>
      </c>
      <c r="AC1228">
        <v>0</v>
      </c>
      <c r="AD1228" s="8"/>
    </row>
    <row r="1229" spans="1:30" x14ac:dyDescent="0.3">
      <c r="A1229" t="s">
        <v>1627</v>
      </c>
      <c r="B1229">
        <v>1399955</v>
      </c>
      <c r="D1229" t="s">
        <v>7</v>
      </c>
      <c r="E1229">
        <v>946096</v>
      </c>
      <c r="F1229">
        <v>9015884123</v>
      </c>
      <c r="G1229">
        <v>252</v>
      </c>
      <c r="H1229" t="s">
        <v>665</v>
      </c>
      <c r="I1229">
        <v>0</v>
      </c>
      <c r="J1229" t="s">
        <v>666</v>
      </c>
      <c r="K1229" t="s">
        <v>8</v>
      </c>
      <c r="L1229" t="s">
        <v>15</v>
      </c>
      <c r="M1229" t="s">
        <v>9</v>
      </c>
      <c r="N1229" t="s">
        <v>14</v>
      </c>
      <c r="O1229" s="2">
        <v>0</v>
      </c>
      <c r="P1229" s="3">
        <v>2011.3430000000001</v>
      </c>
      <c r="Q1229" s="1">
        <v>46033</v>
      </c>
      <c r="R1229" s="1">
        <v>45992</v>
      </c>
      <c r="S1229" s="1">
        <v>46022</v>
      </c>
      <c r="V1229" s="8">
        <v>1</v>
      </c>
      <c r="W1229" t="s">
        <v>24</v>
      </c>
      <c r="X1229" t="s">
        <v>667</v>
      </c>
      <c r="Y1229" t="s">
        <v>40</v>
      </c>
      <c r="Z1229" t="s">
        <v>11</v>
      </c>
      <c r="AA1229">
        <v>62371</v>
      </c>
      <c r="AB1229">
        <v>18848009</v>
      </c>
      <c r="AC1229">
        <v>1</v>
      </c>
      <c r="AD1229" s="8"/>
    </row>
    <row r="1230" spans="1:30" x14ac:dyDescent="0.3">
      <c r="A1230" t="s">
        <v>1627</v>
      </c>
      <c r="B1230">
        <v>1342257</v>
      </c>
      <c r="D1230" t="s">
        <v>7</v>
      </c>
      <c r="E1230">
        <v>945272</v>
      </c>
      <c r="F1230">
        <v>9015884123</v>
      </c>
      <c r="G1230">
        <v>73</v>
      </c>
      <c r="H1230" t="s">
        <v>183</v>
      </c>
      <c r="I1230">
        <v>0</v>
      </c>
      <c r="J1230" t="s">
        <v>184</v>
      </c>
      <c r="K1230" t="s">
        <v>8</v>
      </c>
      <c r="L1230" t="s">
        <v>18</v>
      </c>
      <c r="M1230" t="s">
        <v>9</v>
      </c>
      <c r="N1230" t="s">
        <v>14</v>
      </c>
      <c r="O1230" s="2">
        <v>0.42</v>
      </c>
      <c r="P1230" s="3">
        <v>0</v>
      </c>
      <c r="Q1230" s="1">
        <v>46033</v>
      </c>
      <c r="R1230" s="1">
        <v>45992</v>
      </c>
      <c r="S1230" s="1">
        <v>46022</v>
      </c>
      <c r="V1230" s="8">
        <v>1</v>
      </c>
      <c r="W1230" t="s">
        <v>24</v>
      </c>
      <c r="X1230" t="s">
        <v>185</v>
      </c>
      <c r="Y1230" t="s">
        <v>10</v>
      </c>
      <c r="Z1230" t="s">
        <v>11</v>
      </c>
      <c r="AA1230">
        <v>62371</v>
      </c>
      <c r="AB1230">
        <v>19400471</v>
      </c>
      <c r="AC1230">
        <v>0</v>
      </c>
      <c r="AD1230" s="8"/>
    </row>
    <row r="1231" spans="1:30" x14ac:dyDescent="0.3">
      <c r="A1231" t="s">
        <v>1627</v>
      </c>
      <c r="B1231">
        <v>1354726</v>
      </c>
      <c r="D1231" t="s">
        <v>7</v>
      </c>
      <c r="E1231">
        <v>945301</v>
      </c>
      <c r="F1231">
        <v>9015884123</v>
      </c>
      <c r="G1231">
        <v>82</v>
      </c>
      <c r="H1231" t="s">
        <v>186</v>
      </c>
      <c r="I1231">
        <v>0</v>
      </c>
      <c r="J1231" t="s">
        <v>187</v>
      </c>
      <c r="K1231" t="s">
        <v>8</v>
      </c>
      <c r="L1231" t="s">
        <v>19</v>
      </c>
      <c r="M1231" t="s">
        <v>9</v>
      </c>
      <c r="N1231" t="s">
        <v>14</v>
      </c>
      <c r="O1231" s="2">
        <v>688.21</v>
      </c>
      <c r="P1231" s="3">
        <v>3.4830000000000001</v>
      </c>
      <c r="Q1231" s="1">
        <v>46033</v>
      </c>
      <c r="R1231" s="1">
        <v>45992</v>
      </c>
      <c r="S1231" s="1">
        <v>46022</v>
      </c>
      <c r="V1231" s="8">
        <v>1</v>
      </c>
      <c r="W1231" t="s">
        <v>24</v>
      </c>
      <c r="X1231" t="s">
        <v>188</v>
      </c>
      <c r="Y1231" t="s">
        <v>189</v>
      </c>
      <c r="Z1231" t="s">
        <v>11</v>
      </c>
      <c r="AA1231">
        <v>62371</v>
      </c>
      <c r="AB1231">
        <v>18484284</v>
      </c>
      <c r="AC1231">
        <v>0</v>
      </c>
      <c r="AD1231" s="8"/>
    </row>
    <row r="1232" spans="1:30" x14ac:dyDescent="0.3">
      <c r="A1232" t="s">
        <v>1627</v>
      </c>
      <c r="B1232">
        <v>1354726</v>
      </c>
      <c r="D1232" t="s">
        <v>7</v>
      </c>
      <c r="E1232">
        <v>945301</v>
      </c>
      <c r="F1232">
        <v>9015884123</v>
      </c>
      <c r="G1232">
        <v>82</v>
      </c>
      <c r="H1232" t="s">
        <v>186</v>
      </c>
      <c r="I1232">
        <v>0</v>
      </c>
      <c r="J1232" t="s">
        <v>187</v>
      </c>
      <c r="K1232" t="s">
        <v>8</v>
      </c>
      <c r="L1232" t="s">
        <v>18</v>
      </c>
      <c r="M1232" t="s">
        <v>9</v>
      </c>
      <c r="N1232" t="s">
        <v>14</v>
      </c>
      <c r="O1232" s="2">
        <v>-4.8499999999999996</v>
      </c>
      <c r="P1232" s="3">
        <v>0</v>
      </c>
      <c r="Q1232" s="1">
        <v>46033</v>
      </c>
      <c r="R1232" s="1">
        <v>45992</v>
      </c>
      <c r="S1232" s="1">
        <v>46022</v>
      </c>
      <c r="V1232" s="8">
        <v>1</v>
      </c>
      <c r="W1232" t="s">
        <v>24</v>
      </c>
      <c r="X1232" t="s">
        <v>188</v>
      </c>
      <c r="Y1232" t="s">
        <v>189</v>
      </c>
      <c r="Z1232" t="s">
        <v>11</v>
      </c>
      <c r="AA1232">
        <v>62371</v>
      </c>
      <c r="AB1232">
        <v>18484284</v>
      </c>
      <c r="AC1232">
        <v>0</v>
      </c>
      <c r="AD1232" s="8"/>
    </row>
    <row r="1233" spans="1:30" x14ac:dyDescent="0.3">
      <c r="A1233" t="s">
        <v>1627</v>
      </c>
      <c r="B1233">
        <v>1403635</v>
      </c>
      <c r="D1233" t="s">
        <v>7</v>
      </c>
      <c r="E1233">
        <v>946158</v>
      </c>
      <c r="F1233">
        <v>9015884123</v>
      </c>
      <c r="G1233">
        <v>271</v>
      </c>
      <c r="H1233" t="s">
        <v>668</v>
      </c>
      <c r="I1233">
        <v>0</v>
      </c>
      <c r="J1233" t="s">
        <v>669</v>
      </c>
      <c r="K1233" t="s">
        <v>8</v>
      </c>
      <c r="L1233" t="s">
        <v>15</v>
      </c>
      <c r="M1233" t="s">
        <v>9</v>
      </c>
      <c r="N1233" t="s">
        <v>14</v>
      </c>
      <c r="O1233" s="2">
        <v>0</v>
      </c>
      <c r="P1233" s="3">
        <v>716.34199999999998</v>
      </c>
      <c r="Q1233" s="1">
        <v>46033</v>
      </c>
      <c r="R1233" s="1">
        <v>45992</v>
      </c>
      <c r="S1233" s="1">
        <v>46022</v>
      </c>
      <c r="V1233" s="8">
        <v>1</v>
      </c>
      <c r="W1233" t="s">
        <v>24</v>
      </c>
      <c r="X1233" t="s">
        <v>670</v>
      </c>
      <c r="Y1233" t="s">
        <v>40</v>
      </c>
      <c r="Z1233" t="s">
        <v>11</v>
      </c>
      <c r="AA1233">
        <v>62371</v>
      </c>
      <c r="AB1233">
        <v>20066211</v>
      </c>
      <c r="AC1233">
        <v>1</v>
      </c>
      <c r="AD1233" s="8"/>
    </row>
    <row r="1234" spans="1:30" x14ac:dyDescent="0.3">
      <c r="A1234" t="s">
        <v>1627</v>
      </c>
      <c r="B1234">
        <v>1424769</v>
      </c>
      <c r="D1234" t="s">
        <v>7</v>
      </c>
      <c r="E1234">
        <v>946704</v>
      </c>
      <c r="F1234">
        <v>9015884123</v>
      </c>
      <c r="G1234">
        <v>469</v>
      </c>
      <c r="H1234" t="s">
        <v>1081</v>
      </c>
      <c r="I1234">
        <v>0</v>
      </c>
      <c r="J1234" t="s">
        <v>1082</v>
      </c>
      <c r="K1234" t="s">
        <v>8</v>
      </c>
      <c r="L1234" t="s">
        <v>67</v>
      </c>
      <c r="M1234" t="s">
        <v>9</v>
      </c>
      <c r="N1234" t="s">
        <v>14</v>
      </c>
      <c r="O1234" s="2">
        <v>965568.68</v>
      </c>
      <c r="P1234" s="3">
        <v>11751.71</v>
      </c>
      <c r="Q1234" s="1">
        <v>46033</v>
      </c>
      <c r="R1234" s="1">
        <v>45992</v>
      </c>
      <c r="S1234" s="1">
        <v>46022</v>
      </c>
      <c r="V1234" s="8">
        <v>2</v>
      </c>
      <c r="W1234" t="s">
        <v>24</v>
      </c>
      <c r="X1234" t="s">
        <v>1083</v>
      </c>
      <c r="Y1234" t="s">
        <v>655</v>
      </c>
      <c r="Z1234" t="s">
        <v>11</v>
      </c>
      <c r="AA1234">
        <v>62371</v>
      </c>
      <c r="AB1234">
        <v>19668819</v>
      </c>
      <c r="AC1234">
        <v>1</v>
      </c>
      <c r="AD1234" s="8"/>
    </row>
    <row r="1235" spans="1:30" x14ac:dyDescent="0.3">
      <c r="A1235" t="s">
        <v>1627</v>
      </c>
      <c r="B1235">
        <v>1354727</v>
      </c>
      <c r="D1235" t="s">
        <v>7</v>
      </c>
      <c r="E1235">
        <v>945304</v>
      </c>
      <c r="F1235">
        <v>9015884123</v>
      </c>
      <c r="G1235">
        <v>83</v>
      </c>
      <c r="H1235" t="s">
        <v>1588</v>
      </c>
      <c r="I1235">
        <v>0</v>
      </c>
      <c r="J1235" t="s">
        <v>1589</v>
      </c>
      <c r="K1235" t="s">
        <v>8</v>
      </c>
      <c r="L1235" t="s">
        <v>18</v>
      </c>
      <c r="M1235" t="s">
        <v>9</v>
      </c>
      <c r="N1235" t="s">
        <v>14</v>
      </c>
      <c r="O1235" s="2">
        <v>-2.64</v>
      </c>
      <c r="P1235" s="3">
        <v>0</v>
      </c>
      <c r="Q1235" s="1">
        <v>46033</v>
      </c>
      <c r="R1235" s="1">
        <v>45992</v>
      </c>
      <c r="S1235" s="1">
        <v>46022</v>
      </c>
      <c r="V1235" s="8">
        <v>1</v>
      </c>
      <c r="W1235" t="s">
        <v>24</v>
      </c>
      <c r="X1235" t="s">
        <v>1590</v>
      </c>
      <c r="Y1235" t="s">
        <v>10</v>
      </c>
      <c r="Z1235" t="s">
        <v>11</v>
      </c>
      <c r="AA1235">
        <v>62371</v>
      </c>
      <c r="AB1235">
        <v>18236206</v>
      </c>
      <c r="AC1235">
        <v>1</v>
      </c>
      <c r="AD1235" s="8"/>
    </row>
    <row r="1236" spans="1:30" x14ac:dyDescent="0.3">
      <c r="A1236" t="s">
        <v>1627</v>
      </c>
      <c r="B1236">
        <v>1354740</v>
      </c>
      <c r="D1236" t="s">
        <v>7</v>
      </c>
      <c r="E1236">
        <v>945366</v>
      </c>
      <c r="F1236">
        <v>9015884123</v>
      </c>
      <c r="G1236">
        <v>101</v>
      </c>
      <c r="H1236" t="s">
        <v>1388</v>
      </c>
      <c r="I1236">
        <v>0</v>
      </c>
      <c r="J1236" t="s">
        <v>1389</v>
      </c>
      <c r="K1236" t="s">
        <v>8</v>
      </c>
      <c r="L1236" t="s">
        <v>15</v>
      </c>
      <c r="M1236" t="s">
        <v>9</v>
      </c>
      <c r="N1236" t="s">
        <v>14</v>
      </c>
      <c r="O1236" s="2">
        <v>0</v>
      </c>
      <c r="P1236" s="3">
        <v>3521.4549999999999</v>
      </c>
      <c r="Q1236" s="1">
        <v>46033</v>
      </c>
      <c r="R1236" s="1">
        <v>45992</v>
      </c>
      <c r="S1236" s="1">
        <v>46022</v>
      </c>
      <c r="V1236" s="8">
        <v>1</v>
      </c>
      <c r="W1236" t="s">
        <v>24</v>
      </c>
      <c r="X1236" t="s">
        <v>1390</v>
      </c>
      <c r="Y1236" t="s">
        <v>10</v>
      </c>
      <c r="Z1236" t="s">
        <v>11</v>
      </c>
      <c r="AA1236">
        <v>62371</v>
      </c>
      <c r="AB1236">
        <v>19537007</v>
      </c>
      <c r="AC1236">
        <v>1</v>
      </c>
      <c r="AD1236" s="8"/>
    </row>
    <row r="1237" spans="1:30" x14ac:dyDescent="0.3">
      <c r="A1237" t="s">
        <v>1627</v>
      </c>
      <c r="B1237">
        <v>1415557</v>
      </c>
      <c r="D1237" t="s">
        <v>7</v>
      </c>
      <c r="E1237">
        <v>946464</v>
      </c>
      <c r="F1237">
        <v>9015884123</v>
      </c>
      <c r="G1237">
        <v>394</v>
      </c>
      <c r="H1237" t="s">
        <v>1078</v>
      </c>
      <c r="I1237">
        <v>0</v>
      </c>
      <c r="J1237" t="s">
        <v>1079</v>
      </c>
      <c r="K1237" t="s">
        <v>8</v>
      </c>
      <c r="L1237" t="s">
        <v>15</v>
      </c>
      <c r="M1237" t="s">
        <v>9</v>
      </c>
      <c r="N1237" t="s">
        <v>14</v>
      </c>
      <c r="O1237" s="2">
        <v>0</v>
      </c>
      <c r="P1237" s="3">
        <v>2640.99</v>
      </c>
      <c r="Q1237" s="1">
        <v>46033</v>
      </c>
      <c r="R1237" s="1">
        <v>45992</v>
      </c>
      <c r="S1237" s="1">
        <v>46022</v>
      </c>
      <c r="V1237" s="8">
        <v>1</v>
      </c>
      <c r="W1237" t="s">
        <v>24</v>
      </c>
      <c r="X1237" t="s">
        <v>1080</v>
      </c>
      <c r="Y1237" t="s">
        <v>42</v>
      </c>
      <c r="Z1237" t="s">
        <v>11</v>
      </c>
      <c r="AA1237">
        <v>62371</v>
      </c>
      <c r="AB1237">
        <v>17556364</v>
      </c>
      <c r="AC1237">
        <v>0</v>
      </c>
      <c r="AD1237" s="8"/>
    </row>
    <row r="1238" spans="1:30" x14ac:dyDescent="0.3">
      <c r="A1238" t="s">
        <v>1627</v>
      </c>
      <c r="B1238">
        <v>1377539</v>
      </c>
      <c r="D1238" t="s">
        <v>7</v>
      </c>
      <c r="E1238">
        <v>945961</v>
      </c>
      <c r="F1238">
        <v>9015884123</v>
      </c>
      <c r="G1238">
        <v>198</v>
      </c>
      <c r="H1238" t="s">
        <v>87</v>
      </c>
      <c r="I1238">
        <v>0</v>
      </c>
      <c r="J1238" t="s">
        <v>88</v>
      </c>
      <c r="K1238" t="s">
        <v>8</v>
      </c>
      <c r="L1238" t="s">
        <v>15</v>
      </c>
      <c r="M1238" t="s">
        <v>9</v>
      </c>
      <c r="N1238" t="s">
        <v>14</v>
      </c>
      <c r="O1238" s="2">
        <v>0</v>
      </c>
      <c r="P1238" s="3">
        <v>11284.700999999999</v>
      </c>
      <c r="Q1238" s="1">
        <v>46033</v>
      </c>
      <c r="R1238" s="1">
        <v>45992</v>
      </c>
      <c r="S1238" s="1">
        <v>46022</v>
      </c>
      <c r="V1238" s="8">
        <v>1</v>
      </c>
      <c r="W1238" t="s">
        <v>24</v>
      </c>
      <c r="X1238" t="s">
        <v>89</v>
      </c>
      <c r="Y1238" t="s">
        <v>42</v>
      </c>
      <c r="Z1238" t="s">
        <v>11</v>
      </c>
      <c r="AA1238">
        <v>62371</v>
      </c>
      <c r="AB1238">
        <v>17579804</v>
      </c>
      <c r="AC1238">
        <v>0</v>
      </c>
      <c r="AD1238" s="8"/>
    </row>
    <row r="1239" spans="1:30" x14ac:dyDescent="0.3">
      <c r="A1239" t="s">
        <v>1627</v>
      </c>
      <c r="B1239">
        <v>1403716</v>
      </c>
      <c r="D1239" t="s">
        <v>7</v>
      </c>
      <c r="E1239">
        <v>946176</v>
      </c>
      <c r="F1239">
        <v>9015884123</v>
      </c>
      <c r="G1239">
        <v>276</v>
      </c>
      <c r="H1239" t="s">
        <v>1518</v>
      </c>
      <c r="I1239">
        <v>0</v>
      </c>
      <c r="J1239" t="s">
        <v>1519</v>
      </c>
      <c r="K1239" t="s">
        <v>8</v>
      </c>
      <c r="L1239" t="s">
        <v>19</v>
      </c>
      <c r="M1239" t="s">
        <v>9</v>
      </c>
      <c r="N1239" t="s">
        <v>14</v>
      </c>
      <c r="O1239" s="2">
        <v>5090.96</v>
      </c>
      <c r="P1239" s="3">
        <v>31.202999999999999</v>
      </c>
      <c r="Q1239" s="1">
        <v>46033</v>
      </c>
      <c r="R1239" s="1">
        <v>45992</v>
      </c>
      <c r="S1239" s="1">
        <v>46022</v>
      </c>
      <c r="V1239" s="8">
        <v>1</v>
      </c>
      <c r="W1239" t="s">
        <v>24</v>
      </c>
      <c r="X1239" t="s">
        <v>1520</v>
      </c>
      <c r="Y1239" t="s">
        <v>29</v>
      </c>
      <c r="Z1239" t="s">
        <v>11</v>
      </c>
      <c r="AA1239">
        <v>62371</v>
      </c>
      <c r="AB1239">
        <v>21316105</v>
      </c>
      <c r="AC1239">
        <v>1</v>
      </c>
      <c r="AD1239" s="8"/>
    </row>
    <row r="1240" spans="1:30" x14ac:dyDescent="0.3">
      <c r="A1240" t="s">
        <v>1627</v>
      </c>
      <c r="B1240">
        <v>1384574</v>
      </c>
      <c r="D1240" t="s">
        <v>7</v>
      </c>
      <c r="E1240">
        <v>946038</v>
      </c>
      <c r="F1240">
        <v>9015884123</v>
      </c>
      <c r="G1240">
        <v>233</v>
      </c>
      <c r="H1240" t="s">
        <v>1376</v>
      </c>
      <c r="I1240">
        <v>0</v>
      </c>
      <c r="J1240" t="s">
        <v>1377</v>
      </c>
      <c r="K1240" t="s">
        <v>8</v>
      </c>
      <c r="L1240" t="s">
        <v>19</v>
      </c>
      <c r="M1240" t="s">
        <v>9</v>
      </c>
      <c r="N1240" t="s">
        <v>14</v>
      </c>
      <c r="O1240" s="2">
        <v>0</v>
      </c>
      <c r="P1240" s="3">
        <v>3312.2150000000001</v>
      </c>
      <c r="Q1240" s="1">
        <v>46033</v>
      </c>
      <c r="R1240" s="1">
        <v>45992</v>
      </c>
      <c r="S1240" s="1">
        <v>46022</v>
      </c>
      <c r="V1240" s="8">
        <v>1</v>
      </c>
      <c r="W1240" t="s">
        <v>24</v>
      </c>
      <c r="X1240" t="s">
        <v>1378</v>
      </c>
      <c r="Y1240" t="s">
        <v>29</v>
      </c>
      <c r="Z1240" t="s">
        <v>11</v>
      </c>
      <c r="AA1240">
        <v>62371</v>
      </c>
      <c r="AB1240">
        <v>17628916</v>
      </c>
      <c r="AC1240">
        <v>1</v>
      </c>
      <c r="AD1240" s="8" t="s">
        <v>1650</v>
      </c>
    </row>
    <row r="1241" spans="1:30" x14ac:dyDescent="0.3">
      <c r="A1241" t="s">
        <v>1627</v>
      </c>
      <c r="B1241">
        <v>1384574</v>
      </c>
      <c r="D1241" t="s">
        <v>7</v>
      </c>
      <c r="E1241">
        <v>946038</v>
      </c>
      <c r="F1241">
        <v>9015884123</v>
      </c>
      <c r="G1241">
        <v>233</v>
      </c>
      <c r="H1241" t="s">
        <v>1376</v>
      </c>
      <c r="I1241">
        <v>0</v>
      </c>
      <c r="J1241" t="s">
        <v>1377</v>
      </c>
      <c r="K1241" t="s">
        <v>8</v>
      </c>
      <c r="L1241" t="s">
        <v>15</v>
      </c>
      <c r="M1241" t="s">
        <v>9</v>
      </c>
      <c r="N1241" t="s">
        <v>14</v>
      </c>
      <c r="O1241" s="2">
        <v>0</v>
      </c>
      <c r="P1241" s="3">
        <v>18029.080000000002</v>
      </c>
      <c r="Q1241" s="1">
        <v>46033</v>
      </c>
      <c r="R1241" s="1">
        <v>45992</v>
      </c>
      <c r="S1241" s="1">
        <v>46022</v>
      </c>
      <c r="V1241" s="8">
        <v>1</v>
      </c>
      <c r="W1241" t="s">
        <v>24</v>
      </c>
      <c r="X1241" t="s">
        <v>1378</v>
      </c>
      <c r="Y1241" t="s">
        <v>29</v>
      </c>
      <c r="Z1241" t="s">
        <v>11</v>
      </c>
      <c r="AA1241">
        <v>62371</v>
      </c>
      <c r="AB1241">
        <v>17628916</v>
      </c>
      <c r="AC1241">
        <v>1</v>
      </c>
      <c r="AD1241" s="8" t="s">
        <v>1650</v>
      </c>
    </row>
    <row r="1242" spans="1:30" x14ac:dyDescent="0.3">
      <c r="A1242" t="s">
        <v>1627</v>
      </c>
      <c r="B1242">
        <v>1415924</v>
      </c>
      <c r="D1242" t="s">
        <v>7</v>
      </c>
      <c r="E1242">
        <v>946522</v>
      </c>
      <c r="F1242">
        <v>9015884123</v>
      </c>
      <c r="G1242">
        <v>412</v>
      </c>
      <c r="H1242" t="s">
        <v>1503</v>
      </c>
      <c r="I1242">
        <v>0</v>
      </c>
      <c r="J1242" t="s">
        <v>1504</v>
      </c>
      <c r="K1242" t="s">
        <v>8</v>
      </c>
      <c r="L1242" t="s">
        <v>18</v>
      </c>
      <c r="M1242" t="s">
        <v>9</v>
      </c>
      <c r="N1242" t="s">
        <v>14</v>
      </c>
      <c r="O1242" s="2">
        <v>3.81</v>
      </c>
      <c r="P1242" s="3">
        <v>0</v>
      </c>
      <c r="Q1242" s="1">
        <v>46033</v>
      </c>
      <c r="R1242" s="1">
        <v>45992</v>
      </c>
      <c r="S1242" s="1">
        <v>46022</v>
      </c>
      <c r="V1242" s="8">
        <v>1</v>
      </c>
      <c r="W1242" t="s">
        <v>24</v>
      </c>
      <c r="X1242" t="s">
        <v>1505</v>
      </c>
      <c r="Y1242" t="s">
        <v>293</v>
      </c>
      <c r="Z1242" t="s">
        <v>11</v>
      </c>
      <c r="AA1242">
        <v>62371</v>
      </c>
      <c r="AB1242">
        <v>21384309</v>
      </c>
      <c r="AC1242">
        <v>0</v>
      </c>
      <c r="AD1242" s="8"/>
    </row>
    <row r="1243" spans="1:30" x14ac:dyDescent="0.3">
      <c r="A1243" t="s">
        <v>1627</v>
      </c>
      <c r="B1243">
        <v>1415924</v>
      </c>
      <c r="D1243" t="s">
        <v>7</v>
      </c>
      <c r="E1243">
        <v>946522</v>
      </c>
      <c r="F1243">
        <v>9015884123</v>
      </c>
      <c r="G1243">
        <v>412</v>
      </c>
      <c r="H1243" t="s">
        <v>1503</v>
      </c>
      <c r="I1243">
        <v>0</v>
      </c>
      <c r="J1243" t="s">
        <v>1504</v>
      </c>
      <c r="K1243" t="s">
        <v>8</v>
      </c>
      <c r="L1243" t="s">
        <v>15</v>
      </c>
      <c r="M1243" t="s">
        <v>9</v>
      </c>
      <c r="N1243" t="s">
        <v>14</v>
      </c>
      <c r="O1243" s="2">
        <v>0</v>
      </c>
      <c r="P1243" s="3">
        <v>774.73800000000006</v>
      </c>
      <c r="Q1243" s="1">
        <v>46033</v>
      </c>
      <c r="R1243" s="1">
        <v>45992</v>
      </c>
      <c r="S1243" s="1">
        <v>46022</v>
      </c>
      <c r="V1243" s="8">
        <v>1</v>
      </c>
      <c r="W1243" t="s">
        <v>24</v>
      </c>
      <c r="X1243" t="s">
        <v>1505</v>
      </c>
      <c r="Y1243" t="s">
        <v>293</v>
      </c>
      <c r="Z1243" t="s">
        <v>11</v>
      </c>
      <c r="AA1243">
        <v>62371</v>
      </c>
      <c r="AB1243">
        <v>21384309</v>
      </c>
      <c r="AC1243">
        <v>0</v>
      </c>
      <c r="AD1243" s="8"/>
    </row>
    <row r="1244" spans="1:30" x14ac:dyDescent="0.3">
      <c r="A1244" t="s">
        <v>1627</v>
      </c>
      <c r="B1244">
        <v>1407562</v>
      </c>
      <c r="D1244" t="s">
        <v>7</v>
      </c>
      <c r="E1244">
        <v>946305</v>
      </c>
      <c r="F1244">
        <v>9015884123</v>
      </c>
      <c r="G1244">
        <v>324</v>
      </c>
      <c r="H1244" t="s">
        <v>109</v>
      </c>
      <c r="I1244">
        <v>0</v>
      </c>
      <c r="J1244" t="s">
        <v>110</v>
      </c>
      <c r="K1244" t="s">
        <v>8</v>
      </c>
      <c r="L1244" t="s">
        <v>15</v>
      </c>
      <c r="M1244" t="s">
        <v>9</v>
      </c>
      <c r="N1244" t="s">
        <v>14</v>
      </c>
      <c r="O1244" s="2">
        <v>0</v>
      </c>
      <c r="P1244" s="3">
        <v>311.83600000000001</v>
      </c>
      <c r="Q1244" s="1">
        <v>46033</v>
      </c>
      <c r="R1244" s="1">
        <v>45992</v>
      </c>
      <c r="S1244" s="1">
        <v>46022</v>
      </c>
      <c r="V1244" s="8">
        <v>1</v>
      </c>
      <c r="W1244" t="s">
        <v>24</v>
      </c>
      <c r="X1244" t="s">
        <v>111</v>
      </c>
      <c r="Y1244" t="s">
        <v>30</v>
      </c>
      <c r="Z1244" t="s">
        <v>11</v>
      </c>
      <c r="AA1244">
        <v>62371</v>
      </c>
      <c r="AB1244">
        <v>18462012</v>
      </c>
      <c r="AC1244">
        <v>1</v>
      </c>
      <c r="AD1244" s="8"/>
    </row>
    <row r="1245" spans="1:30" x14ac:dyDescent="0.3">
      <c r="A1245" t="s">
        <v>1627</v>
      </c>
      <c r="B1245">
        <v>1354503</v>
      </c>
      <c r="D1245" t="s">
        <v>7</v>
      </c>
      <c r="E1245">
        <v>945314</v>
      </c>
      <c r="F1245">
        <v>9015884123</v>
      </c>
      <c r="G1245">
        <v>86</v>
      </c>
      <c r="H1245" t="s">
        <v>1090</v>
      </c>
      <c r="I1245">
        <v>0</v>
      </c>
      <c r="J1245" t="s">
        <v>1091</v>
      </c>
      <c r="K1245" t="s">
        <v>8</v>
      </c>
      <c r="L1245" t="s">
        <v>18</v>
      </c>
      <c r="M1245" t="s">
        <v>9</v>
      </c>
      <c r="N1245" t="s">
        <v>14</v>
      </c>
      <c r="O1245" s="2">
        <v>4.37</v>
      </c>
      <c r="P1245" s="3">
        <v>0</v>
      </c>
      <c r="Q1245" s="1">
        <v>46033</v>
      </c>
      <c r="R1245" s="1">
        <v>45992</v>
      </c>
      <c r="S1245" s="1">
        <v>46022</v>
      </c>
      <c r="V1245" s="8">
        <v>1</v>
      </c>
      <c r="W1245" t="s">
        <v>24</v>
      </c>
      <c r="X1245" t="s">
        <v>1092</v>
      </c>
      <c r="Y1245" t="s">
        <v>30</v>
      </c>
      <c r="Z1245" t="s">
        <v>11</v>
      </c>
      <c r="AA1245">
        <v>62371</v>
      </c>
      <c r="AB1245">
        <v>18448574</v>
      </c>
      <c r="AC1245">
        <v>0</v>
      </c>
      <c r="AD1245" s="8"/>
    </row>
    <row r="1246" spans="1:30" x14ac:dyDescent="0.3">
      <c r="A1246" t="s">
        <v>1627</v>
      </c>
      <c r="B1246">
        <v>1354503</v>
      </c>
      <c r="D1246" t="s">
        <v>7</v>
      </c>
      <c r="E1246">
        <v>945314</v>
      </c>
      <c r="F1246">
        <v>9015884123</v>
      </c>
      <c r="G1246">
        <v>86</v>
      </c>
      <c r="H1246" t="s">
        <v>1090</v>
      </c>
      <c r="I1246">
        <v>0</v>
      </c>
      <c r="J1246" t="s">
        <v>1091</v>
      </c>
      <c r="K1246" t="s">
        <v>8</v>
      </c>
      <c r="L1246" t="s">
        <v>15</v>
      </c>
      <c r="M1246" t="s">
        <v>9</v>
      </c>
      <c r="N1246" t="s">
        <v>14</v>
      </c>
      <c r="O1246" s="2">
        <v>0</v>
      </c>
      <c r="P1246" s="3">
        <v>3283.654</v>
      </c>
      <c r="Q1246" s="1">
        <v>46033</v>
      </c>
      <c r="R1246" s="1">
        <v>45992</v>
      </c>
      <c r="S1246" s="1">
        <v>46022</v>
      </c>
      <c r="V1246" s="8">
        <v>1</v>
      </c>
      <c r="W1246" t="s">
        <v>24</v>
      </c>
      <c r="X1246" t="s">
        <v>1092</v>
      </c>
      <c r="Y1246" t="s">
        <v>30</v>
      </c>
      <c r="Z1246" t="s">
        <v>11</v>
      </c>
      <c r="AA1246">
        <v>62371</v>
      </c>
      <c r="AB1246">
        <v>18448574</v>
      </c>
      <c r="AC1246">
        <v>0</v>
      </c>
      <c r="AD1246" s="8"/>
    </row>
    <row r="1247" spans="1:30" x14ac:dyDescent="0.3">
      <c r="A1247" t="s">
        <v>1627</v>
      </c>
      <c r="B1247">
        <v>1335630</v>
      </c>
      <c r="D1247" t="s">
        <v>7</v>
      </c>
      <c r="E1247">
        <v>945197</v>
      </c>
      <c r="F1247">
        <v>9015884123</v>
      </c>
      <c r="G1247">
        <v>51</v>
      </c>
      <c r="H1247" t="s">
        <v>1370</v>
      </c>
      <c r="I1247">
        <v>0</v>
      </c>
      <c r="J1247" t="s">
        <v>1371</v>
      </c>
      <c r="K1247" t="s">
        <v>8</v>
      </c>
      <c r="L1247" t="s">
        <v>18</v>
      </c>
      <c r="M1247" t="s">
        <v>9</v>
      </c>
      <c r="N1247" t="s">
        <v>14</v>
      </c>
      <c r="O1247" s="2">
        <v>3.79</v>
      </c>
      <c r="P1247" s="3">
        <v>0</v>
      </c>
      <c r="Q1247" s="1">
        <v>46033</v>
      </c>
      <c r="R1247" s="1">
        <v>45992</v>
      </c>
      <c r="S1247" s="1">
        <v>46022</v>
      </c>
      <c r="V1247" s="8">
        <v>1</v>
      </c>
      <c r="W1247" t="s">
        <v>24</v>
      </c>
      <c r="X1247" t="s">
        <v>1372</v>
      </c>
      <c r="Y1247" t="s">
        <v>31</v>
      </c>
      <c r="Z1247" t="s">
        <v>11</v>
      </c>
      <c r="AA1247">
        <v>62371</v>
      </c>
      <c r="AB1247">
        <v>17426449</v>
      </c>
      <c r="AC1247">
        <v>0</v>
      </c>
      <c r="AD1247" s="8"/>
    </row>
    <row r="1248" spans="1:30" x14ac:dyDescent="0.3">
      <c r="A1248" t="s">
        <v>1627</v>
      </c>
      <c r="B1248">
        <v>1438104</v>
      </c>
      <c r="D1248" t="s">
        <v>7</v>
      </c>
      <c r="E1248">
        <v>946835</v>
      </c>
      <c r="F1248">
        <v>9015884123</v>
      </c>
      <c r="G1248">
        <v>513</v>
      </c>
      <c r="H1248" t="s">
        <v>1093</v>
      </c>
      <c r="I1248">
        <v>0</v>
      </c>
      <c r="J1248" t="s">
        <v>1094</v>
      </c>
      <c r="K1248" t="s">
        <v>8</v>
      </c>
      <c r="L1248" t="s">
        <v>15</v>
      </c>
      <c r="M1248" t="s">
        <v>9</v>
      </c>
      <c r="N1248" t="s">
        <v>14</v>
      </c>
      <c r="O1248" s="2">
        <v>0</v>
      </c>
      <c r="P1248" s="3">
        <v>1585.027</v>
      </c>
      <c r="Q1248" s="1">
        <v>46033</v>
      </c>
      <c r="R1248" s="1">
        <v>45992</v>
      </c>
      <c r="S1248" s="1">
        <v>46022</v>
      </c>
      <c r="V1248" s="8">
        <v>1</v>
      </c>
      <c r="W1248" t="s">
        <v>24</v>
      </c>
      <c r="X1248" t="s">
        <v>1095</v>
      </c>
      <c r="Y1248" t="s">
        <v>34</v>
      </c>
      <c r="Z1248" t="s">
        <v>11</v>
      </c>
      <c r="AA1248">
        <v>62371</v>
      </c>
      <c r="AB1248">
        <v>21249990</v>
      </c>
      <c r="AC1248">
        <v>1</v>
      </c>
      <c r="AD1248" s="8"/>
    </row>
    <row r="1249" spans="1:30" x14ac:dyDescent="0.3">
      <c r="A1249" t="s">
        <v>1627</v>
      </c>
      <c r="B1249">
        <v>1428552</v>
      </c>
      <c r="D1249" t="s">
        <v>7</v>
      </c>
      <c r="E1249">
        <v>946728</v>
      </c>
      <c r="F1249">
        <v>9015884123</v>
      </c>
      <c r="G1249">
        <v>477</v>
      </c>
      <c r="H1249" t="s">
        <v>1099</v>
      </c>
      <c r="I1249">
        <v>0</v>
      </c>
      <c r="J1249" t="s">
        <v>1100</v>
      </c>
      <c r="K1249" t="s">
        <v>8</v>
      </c>
      <c r="L1249" t="s">
        <v>18</v>
      </c>
      <c r="M1249" t="s">
        <v>9</v>
      </c>
      <c r="N1249" t="s">
        <v>14</v>
      </c>
      <c r="O1249" s="2">
        <v>-4.1500000000000004</v>
      </c>
      <c r="P1249" s="3">
        <v>0</v>
      </c>
      <c r="Q1249" s="1">
        <v>46033</v>
      </c>
      <c r="R1249" s="1">
        <v>45992</v>
      </c>
      <c r="S1249" s="1">
        <v>46022</v>
      </c>
      <c r="V1249" s="8">
        <v>1</v>
      </c>
      <c r="W1249" t="s">
        <v>24</v>
      </c>
      <c r="X1249" t="s">
        <v>1101</v>
      </c>
      <c r="Y1249" t="s">
        <v>34</v>
      </c>
      <c r="Z1249" t="s">
        <v>11</v>
      </c>
      <c r="AA1249">
        <v>62371</v>
      </c>
      <c r="AB1249">
        <v>21249975</v>
      </c>
      <c r="AC1249">
        <v>1</v>
      </c>
      <c r="AD1249" s="8"/>
    </row>
    <row r="1250" spans="1:30" x14ac:dyDescent="0.3">
      <c r="A1250" t="s">
        <v>1627</v>
      </c>
      <c r="B1250">
        <v>1416445</v>
      </c>
      <c r="D1250" t="s">
        <v>7</v>
      </c>
      <c r="E1250">
        <v>946586</v>
      </c>
      <c r="F1250">
        <v>9015884123</v>
      </c>
      <c r="G1250">
        <v>431</v>
      </c>
      <c r="H1250" t="s">
        <v>1105</v>
      </c>
      <c r="I1250">
        <v>0</v>
      </c>
      <c r="J1250" t="s">
        <v>1106</v>
      </c>
      <c r="K1250" t="s">
        <v>8</v>
      </c>
      <c r="L1250" t="s">
        <v>67</v>
      </c>
      <c r="M1250" t="s">
        <v>9</v>
      </c>
      <c r="N1250" t="s">
        <v>14</v>
      </c>
      <c r="O1250" s="2">
        <v>211988.21</v>
      </c>
      <c r="P1250" s="3">
        <v>1962.931</v>
      </c>
      <c r="Q1250" s="1">
        <v>46033</v>
      </c>
      <c r="R1250" s="1">
        <v>45992</v>
      </c>
      <c r="S1250" s="1">
        <v>46022</v>
      </c>
      <c r="V1250" s="8">
        <v>1</v>
      </c>
      <c r="W1250" t="s">
        <v>24</v>
      </c>
      <c r="X1250" t="s">
        <v>1107</v>
      </c>
      <c r="Y1250" t="s">
        <v>34</v>
      </c>
      <c r="Z1250" t="s">
        <v>11</v>
      </c>
      <c r="AA1250">
        <v>62371</v>
      </c>
      <c r="AB1250">
        <v>21249796</v>
      </c>
      <c r="AC1250">
        <v>1</v>
      </c>
      <c r="AD1250" s="8"/>
    </row>
    <row r="1251" spans="1:30" x14ac:dyDescent="0.3">
      <c r="A1251" t="s">
        <v>1627</v>
      </c>
      <c r="B1251">
        <v>1383133</v>
      </c>
      <c r="D1251" t="s">
        <v>7</v>
      </c>
      <c r="E1251">
        <v>946025</v>
      </c>
      <c r="F1251">
        <v>9015884123</v>
      </c>
      <c r="G1251">
        <v>229</v>
      </c>
      <c r="H1251" t="s">
        <v>160</v>
      </c>
      <c r="I1251">
        <v>0</v>
      </c>
      <c r="J1251" t="s">
        <v>161</v>
      </c>
      <c r="K1251" t="s">
        <v>8</v>
      </c>
      <c r="L1251" t="s">
        <v>67</v>
      </c>
      <c r="M1251" t="s">
        <v>9</v>
      </c>
      <c r="N1251" t="s">
        <v>14</v>
      </c>
      <c r="O1251" s="2">
        <v>155997.92000000001</v>
      </c>
      <c r="P1251" s="3">
        <v>1444.482</v>
      </c>
      <c r="Q1251" s="1">
        <v>46033</v>
      </c>
      <c r="R1251" s="1">
        <v>45992</v>
      </c>
      <c r="S1251" s="1">
        <v>46022</v>
      </c>
      <c r="V1251" s="8">
        <v>1</v>
      </c>
      <c r="W1251" t="s">
        <v>24</v>
      </c>
      <c r="X1251" t="s">
        <v>162</v>
      </c>
      <c r="Y1251" t="s">
        <v>31</v>
      </c>
      <c r="Z1251" t="s">
        <v>11</v>
      </c>
      <c r="AA1251">
        <v>62371</v>
      </c>
      <c r="AB1251">
        <v>18862233</v>
      </c>
      <c r="AC1251">
        <v>1</v>
      </c>
      <c r="AD1251" s="8"/>
    </row>
    <row r="1252" spans="1:30" x14ac:dyDescent="0.3">
      <c r="A1252" t="s">
        <v>1627</v>
      </c>
      <c r="B1252">
        <v>1375762</v>
      </c>
      <c r="D1252" t="s">
        <v>7</v>
      </c>
      <c r="E1252">
        <v>945944</v>
      </c>
      <c r="F1252">
        <v>9015884123</v>
      </c>
      <c r="G1252">
        <v>190</v>
      </c>
      <c r="H1252" t="s">
        <v>712</v>
      </c>
      <c r="I1252">
        <v>0</v>
      </c>
      <c r="J1252" t="s">
        <v>713</v>
      </c>
      <c r="K1252" t="s">
        <v>8</v>
      </c>
      <c r="L1252" t="s">
        <v>15</v>
      </c>
      <c r="M1252" t="s">
        <v>9</v>
      </c>
      <c r="N1252" t="s">
        <v>14</v>
      </c>
      <c r="O1252" s="2">
        <v>0</v>
      </c>
      <c r="P1252" s="3">
        <v>9260.6389999999992</v>
      </c>
      <c r="Q1252" s="1">
        <v>46033</v>
      </c>
      <c r="R1252" s="1">
        <v>45992</v>
      </c>
      <c r="S1252" s="1">
        <v>46022</v>
      </c>
      <c r="V1252" s="8">
        <v>1</v>
      </c>
      <c r="W1252" t="s">
        <v>24</v>
      </c>
      <c r="X1252" t="s">
        <v>714</v>
      </c>
      <c r="Y1252" t="s">
        <v>31</v>
      </c>
      <c r="Z1252" t="s">
        <v>11</v>
      </c>
      <c r="AA1252">
        <v>62371</v>
      </c>
      <c r="AB1252">
        <v>21246806</v>
      </c>
      <c r="AC1252">
        <v>1</v>
      </c>
      <c r="AD1252" s="8"/>
    </row>
    <row r="1253" spans="1:30" x14ac:dyDescent="0.3">
      <c r="A1253" t="s">
        <v>1627</v>
      </c>
      <c r="B1253">
        <v>1364766</v>
      </c>
      <c r="D1253" t="s">
        <v>7</v>
      </c>
      <c r="E1253">
        <v>945931</v>
      </c>
      <c r="F1253">
        <v>9015884123</v>
      </c>
      <c r="G1253">
        <v>182</v>
      </c>
      <c r="H1253" t="s">
        <v>715</v>
      </c>
      <c r="I1253">
        <v>0</v>
      </c>
      <c r="J1253" t="s">
        <v>716</v>
      </c>
      <c r="K1253" t="s">
        <v>8</v>
      </c>
      <c r="L1253" t="s">
        <v>19</v>
      </c>
      <c r="M1253" t="s">
        <v>9</v>
      </c>
      <c r="N1253" t="s">
        <v>14</v>
      </c>
      <c r="O1253" s="2">
        <v>17324.45</v>
      </c>
      <c r="P1253" s="3">
        <v>87.677999999999997</v>
      </c>
      <c r="Q1253" s="1">
        <v>46033</v>
      </c>
      <c r="R1253" s="1">
        <v>45992</v>
      </c>
      <c r="S1253" s="1">
        <v>46022</v>
      </c>
      <c r="V1253" s="8">
        <v>1</v>
      </c>
      <c r="W1253" t="s">
        <v>24</v>
      </c>
      <c r="X1253" t="s">
        <v>717</v>
      </c>
      <c r="Y1253" t="s">
        <v>31</v>
      </c>
      <c r="Z1253" t="s">
        <v>11</v>
      </c>
      <c r="AA1253">
        <v>62371</v>
      </c>
      <c r="AB1253">
        <v>19281590</v>
      </c>
      <c r="AC1253">
        <v>0</v>
      </c>
      <c r="AD1253" s="8"/>
    </row>
    <row r="1254" spans="1:30" x14ac:dyDescent="0.3">
      <c r="A1254" t="s">
        <v>1627</v>
      </c>
      <c r="B1254">
        <v>1359844</v>
      </c>
      <c r="D1254" t="s">
        <v>7</v>
      </c>
      <c r="E1254">
        <v>945489</v>
      </c>
      <c r="F1254">
        <v>9015884123</v>
      </c>
      <c r="G1254">
        <v>142</v>
      </c>
      <c r="H1254" t="s">
        <v>139</v>
      </c>
      <c r="I1254">
        <v>0</v>
      </c>
      <c r="J1254" t="s">
        <v>140</v>
      </c>
      <c r="K1254" t="s">
        <v>8</v>
      </c>
      <c r="L1254" t="s">
        <v>15</v>
      </c>
      <c r="M1254" t="s">
        <v>9</v>
      </c>
      <c r="N1254" t="s">
        <v>14</v>
      </c>
      <c r="O1254" s="2">
        <v>0</v>
      </c>
      <c r="P1254" s="3">
        <v>576.91499999999996</v>
      </c>
      <c r="Q1254" s="1">
        <v>46033</v>
      </c>
      <c r="R1254" s="1">
        <v>45992</v>
      </c>
      <c r="S1254" s="1">
        <v>46022</v>
      </c>
      <c r="V1254" s="8">
        <v>1</v>
      </c>
      <c r="W1254" t="s">
        <v>24</v>
      </c>
      <c r="X1254" t="s">
        <v>141</v>
      </c>
      <c r="Y1254" t="s">
        <v>31</v>
      </c>
      <c r="Z1254" t="s">
        <v>11</v>
      </c>
      <c r="AA1254">
        <v>62371</v>
      </c>
      <c r="AB1254">
        <v>21392095</v>
      </c>
      <c r="AC1254">
        <v>1</v>
      </c>
      <c r="AD1254" s="8"/>
    </row>
    <row r="1255" spans="1:30" x14ac:dyDescent="0.3">
      <c r="A1255" t="s">
        <v>1627</v>
      </c>
      <c r="B1255">
        <v>1359843</v>
      </c>
      <c r="D1255" t="s">
        <v>7</v>
      </c>
      <c r="E1255">
        <v>945487</v>
      </c>
      <c r="F1255">
        <v>9015884123</v>
      </c>
      <c r="G1255">
        <v>141</v>
      </c>
      <c r="H1255" t="s">
        <v>142</v>
      </c>
      <c r="I1255">
        <v>0</v>
      </c>
      <c r="J1255" t="s">
        <v>143</v>
      </c>
      <c r="K1255" t="s">
        <v>8</v>
      </c>
      <c r="L1255" t="s">
        <v>15</v>
      </c>
      <c r="M1255" t="s">
        <v>9</v>
      </c>
      <c r="N1255" t="s">
        <v>14</v>
      </c>
      <c r="O1255" s="2">
        <v>0</v>
      </c>
      <c r="P1255" s="3">
        <v>4297.509</v>
      </c>
      <c r="Q1255" s="1">
        <v>46033</v>
      </c>
      <c r="R1255" s="1">
        <v>45992</v>
      </c>
      <c r="S1255" s="1">
        <v>46022</v>
      </c>
      <c r="V1255" s="8">
        <v>1</v>
      </c>
      <c r="W1255" t="s">
        <v>24</v>
      </c>
      <c r="X1255" t="s">
        <v>144</v>
      </c>
      <c r="Y1255" t="s">
        <v>31</v>
      </c>
      <c r="Z1255" t="s">
        <v>11</v>
      </c>
      <c r="AA1255">
        <v>62371</v>
      </c>
      <c r="AB1255">
        <v>21358812</v>
      </c>
      <c r="AC1255">
        <v>1</v>
      </c>
      <c r="AD1255" s="8"/>
    </row>
    <row r="1256" spans="1:30" x14ac:dyDescent="0.3">
      <c r="A1256" t="s">
        <v>1627</v>
      </c>
      <c r="B1256">
        <v>1342232</v>
      </c>
      <c r="D1256" t="s">
        <v>7</v>
      </c>
      <c r="E1256">
        <v>945253</v>
      </c>
      <c r="F1256">
        <v>9015884123</v>
      </c>
      <c r="G1256">
        <v>68</v>
      </c>
      <c r="H1256" t="s">
        <v>145</v>
      </c>
      <c r="I1256">
        <v>0</v>
      </c>
      <c r="J1256" t="s">
        <v>146</v>
      </c>
      <c r="K1256" t="s">
        <v>8</v>
      </c>
      <c r="L1256" t="s">
        <v>67</v>
      </c>
      <c r="M1256" t="s">
        <v>9</v>
      </c>
      <c r="N1256" t="s">
        <v>14</v>
      </c>
      <c r="O1256" s="2">
        <v>422785.65</v>
      </c>
      <c r="P1256" s="3">
        <v>3914.8359999999998</v>
      </c>
      <c r="Q1256" s="1">
        <v>46033</v>
      </c>
      <c r="R1256" s="1">
        <v>45992</v>
      </c>
      <c r="S1256" s="1">
        <v>46022</v>
      </c>
      <c r="V1256" s="8">
        <v>1</v>
      </c>
      <c r="W1256" t="s">
        <v>24</v>
      </c>
      <c r="X1256" t="s">
        <v>147</v>
      </c>
      <c r="Y1256" t="s">
        <v>31</v>
      </c>
      <c r="Z1256" t="s">
        <v>11</v>
      </c>
      <c r="AA1256">
        <v>62371</v>
      </c>
      <c r="AB1256">
        <v>21366482</v>
      </c>
      <c r="AC1256">
        <v>1</v>
      </c>
      <c r="AD1256" s="8"/>
    </row>
    <row r="1257" spans="1:30" x14ac:dyDescent="0.3">
      <c r="A1257" t="s">
        <v>1627</v>
      </c>
      <c r="B1257">
        <v>1382487</v>
      </c>
      <c r="D1257" t="s">
        <v>7</v>
      </c>
      <c r="E1257">
        <v>946020</v>
      </c>
      <c r="F1257">
        <v>9015884123</v>
      </c>
      <c r="G1257">
        <v>228</v>
      </c>
      <c r="H1257" t="s">
        <v>724</v>
      </c>
      <c r="I1257">
        <v>0</v>
      </c>
      <c r="J1257" t="s">
        <v>725</v>
      </c>
      <c r="K1257" t="s">
        <v>8</v>
      </c>
      <c r="L1257" t="s">
        <v>19</v>
      </c>
      <c r="M1257" t="s">
        <v>9</v>
      </c>
      <c r="N1257" t="s">
        <v>14</v>
      </c>
      <c r="O1257" s="2">
        <v>0.2</v>
      </c>
      <c r="P1257" s="3">
        <v>1E-3</v>
      </c>
      <c r="Q1257" s="1">
        <v>46033</v>
      </c>
      <c r="R1257" s="1">
        <v>45992</v>
      </c>
      <c r="S1257" s="1">
        <v>46022</v>
      </c>
      <c r="V1257" s="8">
        <v>1</v>
      </c>
      <c r="W1257" t="s">
        <v>24</v>
      </c>
      <c r="X1257" t="s">
        <v>726</v>
      </c>
      <c r="Y1257" t="s">
        <v>34</v>
      </c>
      <c r="Z1257" t="s">
        <v>11</v>
      </c>
      <c r="AA1257">
        <v>62371</v>
      </c>
      <c r="AB1257">
        <v>17916075</v>
      </c>
      <c r="AC1257">
        <v>0</v>
      </c>
      <c r="AD1257" s="8"/>
    </row>
    <row r="1258" spans="1:30" x14ac:dyDescent="0.3">
      <c r="A1258" t="s">
        <v>1627</v>
      </c>
      <c r="B1258">
        <v>1379265</v>
      </c>
      <c r="D1258" t="s">
        <v>7</v>
      </c>
      <c r="E1258">
        <v>945978</v>
      </c>
      <c r="F1258">
        <v>9015884123</v>
      </c>
      <c r="G1258">
        <v>207</v>
      </c>
      <c r="H1258" t="s">
        <v>1120</v>
      </c>
      <c r="I1258">
        <v>0</v>
      </c>
      <c r="J1258" t="s">
        <v>1121</v>
      </c>
      <c r="K1258" t="s">
        <v>8</v>
      </c>
      <c r="L1258" t="s">
        <v>67</v>
      </c>
      <c r="M1258" t="s">
        <v>9</v>
      </c>
      <c r="N1258" t="s">
        <v>14</v>
      </c>
      <c r="O1258" s="2">
        <v>84746.53</v>
      </c>
      <c r="P1258" s="3">
        <v>784.721</v>
      </c>
      <c r="Q1258" s="1">
        <v>46033</v>
      </c>
      <c r="R1258" s="1">
        <v>45992</v>
      </c>
      <c r="S1258" s="1">
        <v>46022</v>
      </c>
      <c r="V1258" s="8">
        <v>1</v>
      </c>
      <c r="W1258" t="s">
        <v>24</v>
      </c>
      <c r="X1258" t="s">
        <v>1122</v>
      </c>
      <c r="Y1258" t="s">
        <v>34</v>
      </c>
      <c r="Z1258" t="s">
        <v>11</v>
      </c>
      <c r="AA1258">
        <v>62371</v>
      </c>
      <c r="AB1258">
        <v>21249832</v>
      </c>
      <c r="AC1258">
        <v>1</v>
      </c>
      <c r="AD1258" s="8"/>
    </row>
    <row r="1259" spans="1:30" x14ac:dyDescent="0.3">
      <c r="A1259" t="s">
        <v>1627</v>
      </c>
      <c r="B1259">
        <v>1363134</v>
      </c>
      <c r="D1259" t="s">
        <v>7</v>
      </c>
      <c r="E1259">
        <v>945907</v>
      </c>
      <c r="F1259">
        <v>9015884123</v>
      </c>
      <c r="G1259">
        <v>156</v>
      </c>
      <c r="H1259" t="s">
        <v>173</v>
      </c>
      <c r="I1259">
        <v>0</v>
      </c>
      <c r="J1259" t="s">
        <v>174</v>
      </c>
      <c r="K1259" t="s">
        <v>8</v>
      </c>
      <c r="L1259" t="s">
        <v>67</v>
      </c>
      <c r="M1259" t="s">
        <v>9</v>
      </c>
      <c r="N1259" t="s">
        <v>14</v>
      </c>
      <c r="O1259" s="2">
        <v>255135.1</v>
      </c>
      <c r="P1259" s="3">
        <v>2362.4549999999999</v>
      </c>
      <c r="Q1259" s="1">
        <v>46033</v>
      </c>
      <c r="R1259" s="1">
        <v>45992</v>
      </c>
      <c r="S1259" s="1">
        <v>46022</v>
      </c>
      <c r="V1259" s="8">
        <v>1</v>
      </c>
      <c r="W1259" t="s">
        <v>24</v>
      </c>
      <c r="X1259" t="s">
        <v>175</v>
      </c>
      <c r="Y1259" t="s">
        <v>34</v>
      </c>
      <c r="Z1259" t="s">
        <v>11</v>
      </c>
      <c r="AA1259">
        <v>62371</v>
      </c>
      <c r="AB1259">
        <v>21249790</v>
      </c>
      <c r="AC1259">
        <v>1</v>
      </c>
      <c r="AD1259" s="8"/>
    </row>
    <row r="1260" spans="1:30" x14ac:dyDescent="0.3">
      <c r="A1260" t="s">
        <v>1627</v>
      </c>
      <c r="B1260">
        <v>1353810</v>
      </c>
      <c r="D1260" t="s">
        <v>7</v>
      </c>
      <c r="E1260">
        <v>945317</v>
      </c>
      <c r="F1260">
        <v>9015884123</v>
      </c>
      <c r="G1260">
        <v>87</v>
      </c>
      <c r="H1260" t="s">
        <v>176</v>
      </c>
      <c r="I1260">
        <v>0</v>
      </c>
      <c r="J1260" t="s">
        <v>177</v>
      </c>
      <c r="K1260" t="s">
        <v>8</v>
      </c>
      <c r="L1260" t="s">
        <v>15</v>
      </c>
      <c r="M1260" t="s">
        <v>9</v>
      </c>
      <c r="N1260" t="s">
        <v>14</v>
      </c>
      <c r="O1260" s="2">
        <v>0</v>
      </c>
      <c r="P1260" s="3">
        <v>3727.3359999999998</v>
      </c>
      <c r="Q1260" s="1">
        <v>46033</v>
      </c>
      <c r="R1260" s="1">
        <v>45992</v>
      </c>
      <c r="S1260" s="1">
        <v>46022</v>
      </c>
      <c r="V1260" s="8">
        <v>1</v>
      </c>
      <c r="W1260" t="s">
        <v>24</v>
      </c>
      <c r="X1260" t="s">
        <v>178</v>
      </c>
      <c r="Y1260" t="s">
        <v>34</v>
      </c>
      <c r="Z1260" t="s">
        <v>11</v>
      </c>
      <c r="AA1260">
        <v>62371</v>
      </c>
      <c r="AB1260">
        <v>18550359</v>
      </c>
      <c r="AC1260">
        <v>0</v>
      </c>
      <c r="AD1260" s="8"/>
    </row>
    <row r="1261" spans="1:30" x14ac:dyDescent="0.3">
      <c r="A1261" t="s">
        <v>1627</v>
      </c>
      <c r="B1261">
        <v>1353805</v>
      </c>
      <c r="D1261" t="s">
        <v>7</v>
      </c>
      <c r="E1261">
        <v>945298</v>
      </c>
      <c r="F1261">
        <v>9015884123</v>
      </c>
      <c r="G1261">
        <v>81</v>
      </c>
      <c r="H1261" t="s">
        <v>736</v>
      </c>
      <c r="I1261">
        <v>0</v>
      </c>
      <c r="J1261" t="s">
        <v>737</v>
      </c>
      <c r="K1261" t="s">
        <v>8</v>
      </c>
      <c r="L1261" t="s">
        <v>67</v>
      </c>
      <c r="M1261" t="s">
        <v>9</v>
      </c>
      <c r="N1261" t="s">
        <v>14</v>
      </c>
      <c r="O1261" s="2">
        <v>347744.42</v>
      </c>
      <c r="P1261" s="3">
        <v>2441.4859999999999</v>
      </c>
      <c r="Q1261" s="1">
        <v>46033</v>
      </c>
      <c r="R1261" s="1">
        <v>45992</v>
      </c>
      <c r="S1261" s="1">
        <v>46022</v>
      </c>
      <c r="V1261" s="8">
        <v>1</v>
      </c>
      <c r="W1261" t="s">
        <v>24</v>
      </c>
      <c r="X1261" t="s">
        <v>738</v>
      </c>
      <c r="Y1261" t="s">
        <v>34</v>
      </c>
      <c r="Z1261" t="s">
        <v>11</v>
      </c>
      <c r="AA1261">
        <v>62371</v>
      </c>
      <c r="AB1261">
        <v>17916076</v>
      </c>
      <c r="AC1261">
        <v>0</v>
      </c>
      <c r="AD1261" s="8"/>
    </row>
    <row r="1262" spans="1:30" x14ac:dyDescent="0.3">
      <c r="A1262" t="s">
        <v>1627</v>
      </c>
      <c r="B1262">
        <v>1403890</v>
      </c>
      <c r="D1262" t="s">
        <v>7</v>
      </c>
      <c r="E1262">
        <v>946194</v>
      </c>
      <c r="F1262">
        <v>9015884123</v>
      </c>
      <c r="G1262">
        <v>283</v>
      </c>
      <c r="H1262" t="s">
        <v>1129</v>
      </c>
      <c r="I1262">
        <v>0</v>
      </c>
      <c r="J1262" t="s">
        <v>1130</v>
      </c>
      <c r="K1262" t="s">
        <v>8</v>
      </c>
      <c r="L1262" t="s">
        <v>67</v>
      </c>
      <c r="M1262" t="s">
        <v>9</v>
      </c>
      <c r="N1262" t="s">
        <v>14</v>
      </c>
      <c r="O1262" s="2">
        <v>229114.39</v>
      </c>
      <c r="P1262" s="3">
        <v>1608.5940000000001</v>
      </c>
      <c r="Q1262" s="1">
        <v>46033</v>
      </c>
      <c r="R1262" s="1">
        <v>45992</v>
      </c>
      <c r="S1262" s="1">
        <v>46022</v>
      </c>
      <c r="V1262" s="8">
        <v>1</v>
      </c>
      <c r="W1262" t="s">
        <v>24</v>
      </c>
      <c r="X1262" t="s">
        <v>1131</v>
      </c>
      <c r="Y1262" t="s">
        <v>182</v>
      </c>
      <c r="Z1262" t="s">
        <v>11</v>
      </c>
      <c r="AA1262">
        <v>62371</v>
      </c>
      <c r="AB1262">
        <v>18408641</v>
      </c>
      <c r="AC1262">
        <v>0</v>
      </c>
      <c r="AD1262" s="8"/>
    </row>
    <row r="1263" spans="1:30" x14ac:dyDescent="0.3">
      <c r="A1263" t="s">
        <v>1627</v>
      </c>
      <c r="B1263">
        <v>1424122</v>
      </c>
      <c r="D1263" t="s">
        <v>7</v>
      </c>
      <c r="E1263">
        <v>946697</v>
      </c>
      <c r="F1263">
        <v>9015884123</v>
      </c>
      <c r="G1263">
        <v>467</v>
      </c>
      <c r="H1263" t="s">
        <v>745</v>
      </c>
      <c r="I1263">
        <v>0</v>
      </c>
      <c r="J1263" t="s">
        <v>746</v>
      </c>
      <c r="K1263" t="s">
        <v>8</v>
      </c>
      <c r="L1263" t="s">
        <v>19</v>
      </c>
      <c r="M1263" t="s">
        <v>9</v>
      </c>
      <c r="N1263" t="s">
        <v>14</v>
      </c>
      <c r="O1263" s="2">
        <v>2374.2600000000002</v>
      </c>
      <c r="P1263" s="3">
        <v>12.016</v>
      </c>
      <c r="Q1263" s="1">
        <v>46033</v>
      </c>
      <c r="R1263" s="1">
        <v>45992</v>
      </c>
      <c r="S1263" s="1">
        <v>46022</v>
      </c>
      <c r="V1263" s="8">
        <v>1</v>
      </c>
      <c r="W1263" t="s">
        <v>24</v>
      </c>
      <c r="X1263" t="s">
        <v>747</v>
      </c>
      <c r="Y1263" t="s">
        <v>55</v>
      </c>
      <c r="Z1263" t="s">
        <v>11</v>
      </c>
      <c r="AA1263">
        <v>62371</v>
      </c>
      <c r="AB1263">
        <v>21517518</v>
      </c>
      <c r="AC1263">
        <v>0</v>
      </c>
      <c r="AD1263" s="8"/>
    </row>
    <row r="1264" spans="1:30" x14ac:dyDescent="0.3">
      <c r="A1264" t="s">
        <v>1627</v>
      </c>
      <c r="B1264">
        <v>1345468</v>
      </c>
      <c r="D1264" t="s">
        <v>7</v>
      </c>
      <c r="E1264">
        <v>945275</v>
      </c>
      <c r="F1264">
        <v>9015884123</v>
      </c>
      <c r="G1264">
        <v>74</v>
      </c>
      <c r="H1264" t="s">
        <v>1141</v>
      </c>
      <c r="I1264">
        <v>0</v>
      </c>
      <c r="J1264" t="s">
        <v>1142</v>
      </c>
      <c r="K1264" t="s">
        <v>8</v>
      </c>
      <c r="L1264" t="s">
        <v>15</v>
      </c>
      <c r="M1264" t="s">
        <v>9</v>
      </c>
      <c r="N1264" t="s">
        <v>14</v>
      </c>
      <c r="O1264" s="2">
        <v>0</v>
      </c>
      <c r="P1264" s="3">
        <v>971.89499999999998</v>
      </c>
      <c r="Q1264" s="1">
        <v>46033</v>
      </c>
      <c r="R1264" s="1">
        <v>45992</v>
      </c>
      <c r="S1264" s="1">
        <v>46022</v>
      </c>
      <c r="V1264" s="8">
        <v>1</v>
      </c>
      <c r="W1264" t="s">
        <v>24</v>
      </c>
      <c r="X1264" t="s">
        <v>1143</v>
      </c>
      <c r="Y1264" t="s">
        <v>10</v>
      </c>
      <c r="Z1264" t="s">
        <v>11</v>
      </c>
      <c r="AA1264">
        <v>62371</v>
      </c>
      <c r="AB1264">
        <v>18385696</v>
      </c>
      <c r="AC1264">
        <v>1</v>
      </c>
      <c r="AD1264" s="8"/>
    </row>
    <row r="1265" spans="1:30" x14ac:dyDescent="0.3">
      <c r="A1265" t="s">
        <v>1627</v>
      </c>
      <c r="B1265">
        <v>1363454</v>
      </c>
      <c r="D1265" t="s">
        <v>7</v>
      </c>
      <c r="E1265">
        <v>945922</v>
      </c>
      <c r="F1265">
        <v>9015884123</v>
      </c>
      <c r="G1265">
        <v>173</v>
      </c>
      <c r="H1265" t="s">
        <v>766</v>
      </c>
      <c r="I1265">
        <v>0</v>
      </c>
      <c r="J1265" t="s">
        <v>767</v>
      </c>
      <c r="K1265" t="s">
        <v>8</v>
      </c>
      <c r="L1265" t="s">
        <v>18</v>
      </c>
      <c r="M1265" t="s">
        <v>9</v>
      </c>
      <c r="N1265" t="s">
        <v>14</v>
      </c>
      <c r="O1265" s="2">
        <v>2.4900000000000002</v>
      </c>
      <c r="P1265" s="3">
        <v>0</v>
      </c>
      <c r="Q1265" s="1">
        <v>46033</v>
      </c>
      <c r="R1265" s="1">
        <v>45992</v>
      </c>
      <c r="S1265" s="1">
        <v>46022</v>
      </c>
      <c r="V1265" s="8">
        <v>1</v>
      </c>
      <c r="W1265" t="s">
        <v>24</v>
      </c>
      <c r="X1265" t="s">
        <v>768</v>
      </c>
      <c r="Y1265" t="s">
        <v>17</v>
      </c>
      <c r="Z1265" t="s">
        <v>11</v>
      </c>
      <c r="AA1265">
        <v>62371</v>
      </c>
      <c r="AB1265">
        <v>18359476</v>
      </c>
      <c r="AC1265">
        <v>1</v>
      </c>
      <c r="AD1265" s="8"/>
    </row>
    <row r="1266" spans="1:30" x14ac:dyDescent="0.3">
      <c r="A1266" t="s">
        <v>1627</v>
      </c>
      <c r="B1266">
        <v>1354727</v>
      </c>
      <c r="D1266" t="s">
        <v>7</v>
      </c>
      <c r="E1266">
        <v>945304</v>
      </c>
      <c r="F1266">
        <v>9015884123</v>
      </c>
      <c r="G1266">
        <v>83</v>
      </c>
      <c r="H1266" t="s">
        <v>1588</v>
      </c>
      <c r="I1266">
        <v>0</v>
      </c>
      <c r="J1266" t="s">
        <v>1589</v>
      </c>
      <c r="K1266" t="s">
        <v>8</v>
      </c>
      <c r="L1266" t="s">
        <v>15</v>
      </c>
      <c r="M1266" t="s">
        <v>9</v>
      </c>
      <c r="N1266" t="s">
        <v>14</v>
      </c>
      <c r="O1266" s="2">
        <v>0</v>
      </c>
      <c r="P1266" s="3">
        <v>4021.3429999999998</v>
      </c>
      <c r="Q1266" s="1">
        <v>46033</v>
      </c>
      <c r="R1266" s="1">
        <v>45992</v>
      </c>
      <c r="S1266" s="1">
        <v>46022</v>
      </c>
      <c r="V1266" s="8">
        <v>1</v>
      </c>
      <c r="W1266" t="s">
        <v>24</v>
      </c>
      <c r="X1266" t="s">
        <v>1590</v>
      </c>
      <c r="Y1266" t="s">
        <v>10</v>
      </c>
      <c r="Z1266" t="s">
        <v>11</v>
      </c>
      <c r="AA1266">
        <v>62371</v>
      </c>
      <c r="AB1266">
        <v>18236206</v>
      </c>
      <c r="AC1266">
        <v>1</v>
      </c>
      <c r="AD1266" s="8"/>
    </row>
    <row r="1267" spans="1:30" x14ac:dyDescent="0.3">
      <c r="A1267" t="s">
        <v>1627</v>
      </c>
      <c r="B1267">
        <v>1354728</v>
      </c>
      <c r="D1267" t="s">
        <v>7</v>
      </c>
      <c r="E1267">
        <v>945307</v>
      </c>
      <c r="F1267">
        <v>9015884123</v>
      </c>
      <c r="G1267">
        <v>84</v>
      </c>
      <c r="H1267" t="s">
        <v>1385</v>
      </c>
      <c r="I1267">
        <v>0</v>
      </c>
      <c r="J1267" t="s">
        <v>1386</v>
      </c>
      <c r="K1267" t="s">
        <v>8</v>
      </c>
      <c r="L1267" t="s">
        <v>19</v>
      </c>
      <c r="M1267" t="s">
        <v>9</v>
      </c>
      <c r="N1267" t="s">
        <v>14</v>
      </c>
      <c r="O1267" s="2">
        <v>646.52</v>
      </c>
      <c r="P1267" s="3">
        <v>3.2719999999999998</v>
      </c>
      <c r="Q1267" s="1">
        <v>46033</v>
      </c>
      <c r="R1267" s="1">
        <v>45992</v>
      </c>
      <c r="S1267" s="1">
        <v>46022</v>
      </c>
      <c r="V1267" s="8">
        <v>1</v>
      </c>
      <c r="W1267" t="s">
        <v>24</v>
      </c>
      <c r="X1267" t="s">
        <v>1387</v>
      </c>
      <c r="Y1267" t="s">
        <v>10</v>
      </c>
      <c r="Z1267" t="s">
        <v>11</v>
      </c>
      <c r="AA1267">
        <v>62371</v>
      </c>
      <c r="AB1267">
        <v>18181534</v>
      </c>
      <c r="AC1267">
        <v>0</v>
      </c>
      <c r="AD1267" s="8"/>
    </row>
    <row r="1268" spans="1:30" x14ac:dyDescent="0.3">
      <c r="A1268" t="s">
        <v>1627</v>
      </c>
      <c r="B1268">
        <v>1354740</v>
      </c>
      <c r="D1268" t="s">
        <v>7</v>
      </c>
      <c r="E1268">
        <v>945366</v>
      </c>
      <c r="F1268">
        <v>9015884123</v>
      </c>
      <c r="G1268">
        <v>101</v>
      </c>
      <c r="H1268" t="s">
        <v>1388</v>
      </c>
      <c r="I1268">
        <v>0</v>
      </c>
      <c r="J1268" t="s">
        <v>1389</v>
      </c>
      <c r="K1268" t="s">
        <v>8</v>
      </c>
      <c r="L1268" t="s">
        <v>19</v>
      </c>
      <c r="M1268" t="s">
        <v>9</v>
      </c>
      <c r="N1268" t="s">
        <v>14</v>
      </c>
      <c r="O1268" s="2">
        <v>3453.36</v>
      </c>
      <c r="P1268" s="3">
        <v>21.166</v>
      </c>
      <c r="Q1268" s="1">
        <v>46033</v>
      </c>
      <c r="R1268" s="1">
        <v>45992</v>
      </c>
      <c r="S1268" s="1">
        <v>46022</v>
      </c>
      <c r="V1268" s="8">
        <v>1</v>
      </c>
      <c r="W1268" t="s">
        <v>24</v>
      </c>
      <c r="X1268" t="s">
        <v>1390</v>
      </c>
      <c r="Y1268" t="s">
        <v>10</v>
      </c>
      <c r="Z1268" t="s">
        <v>11</v>
      </c>
      <c r="AA1268">
        <v>62371</v>
      </c>
      <c r="AB1268">
        <v>19537007</v>
      </c>
      <c r="AC1268">
        <v>1</v>
      </c>
      <c r="AD1268" s="8"/>
    </row>
    <row r="1269" spans="1:30" x14ac:dyDescent="0.3">
      <c r="A1269" t="s">
        <v>1627</v>
      </c>
      <c r="B1269">
        <v>1354740</v>
      </c>
      <c r="D1269" t="s">
        <v>7</v>
      </c>
      <c r="E1269">
        <v>945366</v>
      </c>
      <c r="F1269">
        <v>9015884123</v>
      </c>
      <c r="G1269">
        <v>101</v>
      </c>
      <c r="H1269" t="s">
        <v>1388</v>
      </c>
      <c r="I1269">
        <v>0</v>
      </c>
      <c r="J1269" t="s">
        <v>1389</v>
      </c>
      <c r="K1269" t="s">
        <v>8</v>
      </c>
      <c r="L1269" t="s">
        <v>18</v>
      </c>
      <c r="M1269" t="s">
        <v>9</v>
      </c>
      <c r="N1269" t="s">
        <v>14</v>
      </c>
      <c r="O1269" s="2">
        <v>4.47</v>
      </c>
      <c r="P1269" s="3">
        <v>0</v>
      </c>
      <c r="Q1269" s="1">
        <v>46033</v>
      </c>
      <c r="R1269" s="1">
        <v>45992</v>
      </c>
      <c r="S1269" s="1">
        <v>46022</v>
      </c>
      <c r="V1269" s="8">
        <v>1</v>
      </c>
      <c r="W1269" t="s">
        <v>24</v>
      </c>
      <c r="X1269" t="s">
        <v>1390</v>
      </c>
      <c r="Y1269" t="s">
        <v>10</v>
      </c>
      <c r="Z1269" t="s">
        <v>11</v>
      </c>
      <c r="AA1269">
        <v>62371</v>
      </c>
      <c r="AB1269">
        <v>19537007</v>
      </c>
      <c r="AC1269">
        <v>1</v>
      </c>
      <c r="AD1269" s="8"/>
    </row>
    <row r="1270" spans="1:30" x14ac:dyDescent="0.3">
      <c r="A1270" t="s">
        <v>1627</v>
      </c>
      <c r="B1270">
        <v>1356237</v>
      </c>
      <c r="D1270" t="s">
        <v>7</v>
      </c>
      <c r="E1270">
        <v>945426</v>
      </c>
      <c r="F1270">
        <v>9015884123</v>
      </c>
      <c r="G1270">
        <v>120</v>
      </c>
      <c r="H1270" t="s">
        <v>1394</v>
      </c>
      <c r="I1270">
        <v>0</v>
      </c>
      <c r="J1270" t="s">
        <v>1395</v>
      </c>
      <c r="K1270" t="s">
        <v>8</v>
      </c>
      <c r="L1270" t="s">
        <v>67</v>
      </c>
      <c r="M1270" t="s">
        <v>9</v>
      </c>
      <c r="N1270" t="s">
        <v>14</v>
      </c>
      <c r="O1270" s="2">
        <v>152527.47</v>
      </c>
      <c r="P1270" s="3">
        <v>1412.347</v>
      </c>
      <c r="Q1270" s="1">
        <v>46033</v>
      </c>
      <c r="R1270" s="1">
        <v>45992</v>
      </c>
      <c r="S1270" s="1">
        <v>46022</v>
      </c>
      <c r="V1270" s="8">
        <v>1</v>
      </c>
      <c r="W1270" t="s">
        <v>24</v>
      </c>
      <c r="X1270" t="s">
        <v>1396</v>
      </c>
      <c r="Y1270" t="s">
        <v>10</v>
      </c>
      <c r="Z1270" t="s">
        <v>11</v>
      </c>
      <c r="AA1270">
        <v>62371</v>
      </c>
      <c r="AB1270">
        <v>19538839</v>
      </c>
      <c r="AC1270">
        <v>1</v>
      </c>
      <c r="AD1270" s="8"/>
    </row>
    <row r="1271" spans="1:30" x14ac:dyDescent="0.3">
      <c r="A1271" t="s">
        <v>1627</v>
      </c>
      <c r="B1271">
        <v>1356237</v>
      </c>
      <c r="D1271" t="s">
        <v>7</v>
      </c>
      <c r="E1271">
        <v>945426</v>
      </c>
      <c r="F1271">
        <v>9015884123</v>
      </c>
      <c r="G1271">
        <v>120</v>
      </c>
      <c r="H1271" t="s">
        <v>1394</v>
      </c>
      <c r="I1271">
        <v>0</v>
      </c>
      <c r="J1271" t="s">
        <v>1395</v>
      </c>
      <c r="K1271" t="s">
        <v>8</v>
      </c>
      <c r="L1271" t="s">
        <v>18</v>
      </c>
      <c r="M1271" t="s">
        <v>9</v>
      </c>
      <c r="N1271" t="s">
        <v>14</v>
      </c>
      <c r="O1271" s="2">
        <v>2.5299999999999998</v>
      </c>
      <c r="P1271" s="3">
        <v>0</v>
      </c>
      <c r="Q1271" s="1">
        <v>46033</v>
      </c>
      <c r="R1271" s="1">
        <v>45992</v>
      </c>
      <c r="S1271" s="1">
        <v>46022</v>
      </c>
      <c r="V1271" s="8">
        <v>1</v>
      </c>
      <c r="W1271" t="s">
        <v>24</v>
      </c>
      <c r="X1271" t="s">
        <v>1396</v>
      </c>
      <c r="Y1271" t="s">
        <v>10</v>
      </c>
      <c r="Z1271" t="s">
        <v>11</v>
      </c>
      <c r="AA1271">
        <v>62371</v>
      </c>
      <c r="AB1271">
        <v>19538839</v>
      </c>
      <c r="AC1271">
        <v>1</v>
      </c>
      <c r="AD1271" s="8"/>
    </row>
    <row r="1272" spans="1:30" x14ac:dyDescent="0.3">
      <c r="A1272" t="s">
        <v>1627</v>
      </c>
      <c r="B1272">
        <v>1356263</v>
      </c>
      <c r="D1272" t="s">
        <v>7</v>
      </c>
      <c r="E1272">
        <v>945456</v>
      </c>
      <c r="F1272">
        <v>9015884123</v>
      </c>
      <c r="G1272">
        <v>131</v>
      </c>
      <c r="H1272" t="s">
        <v>1530</v>
      </c>
      <c r="I1272">
        <v>0</v>
      </c>
      <c r="J1272" t="s">
        <v>1531</v>
      </c>
      <c r="K1272" t="s">
        <v>8</v>
      </c>
      <c r="L1272" t="s">
        <v>15</v>
      </c>
      <c r="M1272" t="s">
        <v>9</v>
      </c>
      <c r="N1272" t="s">
        <v>14</v>
      </c>
      <c r="O1272" s="2">
        <v>0</v>
      </c>
      <c r="P1272" s="3">
        <v>3081.2339999999999</v>
      </c>
      <c r="Q1272" s="1">
        <v>46033</v>
      </c>
      <c r="R1272" s="1">
        <v>45992</v>
      </c>
      <c r="S1272" s="1">
        <v>46022</v>
      </c>
      <c r="V1272" s="8">
        <v>1</v>
      </c>
      <c r="W1272" t="s">
        <v>24</v>
      </c>
      <c r="X1272" t="s">
        <v>1532</v>
      </c>
      <c r="Y1272" t="s">
        <v>10</v>
      </c>
      <c r="Z1272" t="s">
        <v>11</v>
      </c>
      <c r="AA1272">
        <v>62371</v>
      </c>
      <c r="AB1272">
        <v>18661619</v>
      </c>
      <c r="AC1272">
        <v>0</v>
      </c>
      <c r="AD1272" s="8"/>
    </row>
    <row r="1273" spans="1:30" x14ac:dyDescent="0.3">
      <c r="A1273" t="s">
        <v>1627</v>
      </c>
      <c r="B1273">
        <v>1356263</v>
      </c>
      <c r="D1273" t="s">
        <v>7</v>
      </c>
      <c r="E1273">
        <v>945456</v>
      </c>
      <c r="F1273">
        <v>9015884123</v>
      </c>
      <c r="G1273">
        <v>131</v>
      </c>
      <c r="H1273" t="s">
        <v>1530</v>
      </c>
      <c r="I1273">
        <v>0</v>
      </c>
      <c r="J1273" t="s">
        <v>1531</v>
      </c>
      <c r="K1273" t="s">
        <v>8</v>
      </c>
      <c r="L1273" t="s">
        <v>18</v>
      </c>
      <c r="M1273" t="s">
        <v>9</v>
      </c>
      <c r="N1273" t="s">
        <v>14</v>
      </c>
      <c r="O1273" s="2">
        <v>-4.66</v>
      </c>
      <c r="P1273" s="3">
        <v>0</v>
      </c>
      <c r="Q1273" s="1">
        <v>46033</v>
      </c>
      <c r="R1273" s="1">
        <v>45992</v>
      </c>
      <c r="S1273" s="1">
        <v>46022</v>
      </c>
      <c r="V1273" s="8">
        <v>1</v>
      </c>
      <c r="W1273" t="s">
        <v>24</v>
      </c>
      <c r="X1273" t="s">
        <v>1532</v>
      </c>
      <c r="Y1273" t="s">
        <v>10</v>
      </c>
      <c r="Z1273" t="s">
        <v>11</v>
      </c>
      <c r="AA1273">
        <v>62371</v>
      </c>
      <c r="AB1273">
        <v>18661619</v>
      </c>
      <c r="AC1273">
        <v>0</v>
      </c>
      <c r="AD1273" s="8"/>
    </row>
    <row r="1274" spans="1:30" x14ac:dyDescent="0.3">
      <c r="A1274" t="s">
        <v>1627</v>
      </c>
      <c r="B1274">
        <v>1359838</v>
      </c>
      <c r="D1274" t="s">
        <v>7</v>
      </c>
      <c r="E1274">
        <v>945478</v>
      </c>
      <c r="F1274">
        <v>9015884123</v>
      </c>
      <c r="G1274">
        <v>138</v>
      </c>
      <c r="H1274" t="s">
        <v>790</v>
      </c>
      <c r="I1274">
        <v>0</v>
      </c>
      <c r="J1274" t="s">
        <v>791</v>
      </c>
      <c r="K1274" t="s">
        <v>8</v>
      </c>
      <c r="L1274" t="s">
        <v>18</v>
      </c>
      <c r="M1274" t="s">
        <v>9</v>
      </c>
      <c r="N1274" t="s">
        <v>14</v>
      </c>
      <c r="O1274" s="2">
        <v>-2.57</v>
      </c>
      <c r="P1274" s="3">
        <v>0</v>
      </c>
      <c r="Q1274" s="1">
        <v>46033</v>
      </c>
      <c r="R1274" s="1">
        <v>45992</v>
      </c>
      <c r="S1274" s="1">
        <v>46022</v>
      </c>
      <c r="V1274" s="8">
        <v>1</v>
      </c>
      <c r="W1274" t="s">
        <v>24</v>
      </c>
      <c r="X1274" t="s">
        <v>792</v>
      </c>
      <c r="Y1274" t="s">
        <v>10</v>
      </c>
      <c r="Z1274" t="s">
        <v>11</v>
      </c>
      <c r="AA1274">
        <v>62371</v>
      </c>
      <c r="AB1274">
        <v>18369093</v>
      </c>
      <c r="AC1274">
        <v>1</v>
      </c>
      <c r="AD1274" s="8"/>
    </row>
    <row r="1275" spans="1:30" x14ac:dyDescent="0.3">
      <c r="A1275" t="s">
        <v>1627</v>
      </c>
      <c r="B1275">
        <v>1356233</v>
      </c>
      <c r="D1275" t="s">
        <v>7</v>
      </c>
      <c r="E1275">
        <v>945423</v>
      </c>
      <c r="F1275">
        <v>9015884123</v>
      </c>
      <c r="G1275">
        <v>119</v>
      </c>
      <c r="H1275" t="s">
        <v>1174</v>
      </c>
      <c r="I1275">
        <v>0</v>
      </c>
      <c r="J1275" t="s">
        <v>1175</v>
      </c>
      <c r="K1275" t="s">
        <v>8</v>
      </c>
      <c r="L1275" t="s">
        <v>18</v>
      </c>
      <c r="M1275" t="s">
        <v>9</v>
      </c>
      <c r="N1275" t="s">
        <v>14</v>
      </c>
      <c r="O1275" s="2">
        <v>3.72</v>
      </c>
      <c r="P1275" s="3">
        <v>0</v>
      </c>
      <c r="Q1275" s="1">
        <v>46033</v>
      </c>
      <c r="R1275" s="1">
        <v>45992</v>
      </c>
      <c r="S1275" s="1">
        <v>46022</v>
      </c>
      <c r="V1275" s="8">
        <v>1</v>
      </c>
      <c r="W1275" t="s">
        <v>24</v>
      </c>
      <c r="X1275" t="s">
        <v>1176</v>
      </c>
      <c r="Y1275" t="s">
        <v>10</v>
      </c>
      <c r="Z1275" t="s">
        <v>11</v>
      </c>
      <c r="AA1275">
        <v>62371</v>
      </c>
      <c r="AB1275">
        <v>17063770</v>
      </c>
      <c r="AC1275">
        <v>0</v>
      </c>
      <c r="AD1275" s="8"/>
    </row>
    <row r="1276" spans="1:30" x14ac:dyDescent="0.3">
      <c r="A1276" t="s">
        <v>1627</v>
      </c>
      <c r="B1276">
        <v>1403981</v>
      </c>
      <c r="D1276" t="s">
        <v>7</v>
      </c>
      <c r="E1276">
        <v>946221</v>
      </c>
      <c r="F1276">
        <v>9015884123</v>
      </c>
      <c r="G1276">
        <v>292</v>
      </c>
      <c r="H1276" t="s">
        <v>811</v>
      </c>
      <c r="I1276">
        <v>0</v>
      </c>
      <c r="J1276" t="s">
        <v>812</v>
      </c>
      <c r="K1276" t="s">
        <v>8</v>
      </c>
      <c r="L1276" t="s">
        <v>18</v>
      </c>
      <c r="M1276" t="s">
        <v>9</v>
      </c>
      <c r="N1276" t="s">
        <v>14</v>
      </c>
      <c r="O1276" s="2">
        <v>0</v>
      </c>
      <c r="P1276" s="3">
        <v>0</v>
      </c>
      <c r="Q1276" s="1">
        <v>46033</v>
      </c>
      <c r="R1276" s="1">
        <v>45992</v>
      </c>
      <c r="S1276" s="1">
        <v>46022</v>
      </c>
      <c r="V1276" s="8">
        <v>1</v>
      </c>
      <c r="W1276" t="s">
        <v>24</v>
      </c>
      <c r="X1276" t="s">
        <v>813</v>
      </c>
      <c r="Y1276" t="s">
        <v>17</v>
      </c>
      <c r="Z1276" t="s">
        <v>11</v>
      </c>
      <c r="AA1276">
        <v>62371</v>
      </c>
      <c r="AB1276">
        <v>19461199</v>
      </c>
      <c r="AC1276">
        <v>0</v>
      </c>
      <c r="AD1276" s="8"/>
    </row>
    <row r="1277" spans="1:30" x14ac:dyDescent="0.3">
      <c r="A1277" t="s">
        <v>1627</v>
      </c>
      <c r="B1277">
        <v>1359031</v>
      </c>
      <c r="D1277" t="s">
        <v>7</v>
      </c>
      <c r="E1277">
        <v>945899</v>
      </c>
      <c r="F1277">
        <v>9015884123</v>
      </c>
      <c r="G1277">
        <v>148</v>
      </c>
      <c r="H1277" t="s">
        <v>1165</v>
      </c>
      <c r="I1277">
        <v>0</v>
      </c>
      <c r="J1277" t="s">
        <v>1166</v>
      </c>
      <c r="K1277" t="s">
        <v>8</v>
      </c>
      <c r="L1277" t="s">
        <v>67</v>
      </c>
      <c r="M1277" t="s">
        <v>9</v>
      </c>
      <c r="N1277" t="s">
        <v>14</v>
      </c>
      <c r="O1277" s="2">
        <v>237573.26</v>
      </c>
      <c r="P1277" s="3">
        <v>2199.8389999999999</v>
      </c>
      <c r="Q1277" s="1">
        <v>46033</v>
      </c>
      <c r="R1277" s="1">
        <v>45992</v>
      </c>
      <c r="S1277" s="1">
        <v>46022</v>
      </c>
      <c r="V1277" s="8">
        <v>1</v>
      </c>
      <c r="W1277" t="s">
        <v>24</v>
      </c>
      <c r="X1277" t="s">
        <v>1167</v>
      </c>
      <c r="Y1277" t="s">
        <v>17</v>
      </c>
      <c r="Z1277" t="s">
        <v>11</v>
      </c>
      <c r="AA1277">
        <v>62371</v>
      </c>
      <c r="AB1277">
        <v>18541175</v>
      </c>
      <c r="AC1277">
        <v>1</v>
      </c>
      <c r="AD1277" s="8"/>
    </row>
    <row r="1278" spans="1:30" x14ac:dyDescent="0.3">
      <c r="A1278" t="s">
        <v>1627</v>
      </c>
      <c r="B1278">
        <v>1359035</v>
      </c>
      <c r="D1278" t="s">
        <v>7</v>
      </c>
      <c r="E1278">
        <v>945900</v>
      </c>
      <c r="F1278">
        <v>9015884123</v>
      </c>
      <c r="G1278">
        <v>149</v>
      </c>
      <c r="H1278" t="s">
        <v>1524</v>
      </c>
      <c r="I1278">
        <v>0</v>
      </c>
      <c r="J1278" t="s">
        <v>1525</v>
      </c>
      <c r="K1278" t="s">
        <v>8</v>
      </c>
      <c r="L1278" t="s">
        <v>67</v>
      </c>
      <c r="M1278" t="s">
        <v>9</v>
      </c>
      <c r="N1278" t="s">
        <v>14</v>
      </c>
      <c r="O1278" s="2">
        <v>285845.96000000002</v>
      </c>
      <c r="P1278" s="3">
        <v>2646.826</v>
      </c>
      <c r="Q1278" s="1">
        <v>46033</v>
      </c>
      <c r="R1278" s="1">
        <v>45992</v>
      </c>
      <c r="S1278" s="1">
        <v>46022</v>
      </c>
      <c r="V1278" s="8">
        <v>1</v>
      </c>
      <c r="W1278" t="s">
        <v>24</v>
      </c>
      <c r="X1278" t="s">
        <v>1526</v>
      </c>
      <c r="Y1278" t="s">
        <v>17</v>
      </c>
      <c r="Z1278" t="s">
        <v>11</v>
      </c>
      <c r="AA1278">
        <v>62371</v>
      </c>
      <c r="AB1278">
        <v>18543814</v>
      </c>
      <c r="AC1278">
        <v>1</v>
      </c>
      <c r="AD1278" s="8"/>
    </row>
    <row r="1279" spans="1:30" x14ac:dyDescent="0.3">
      <c r="A1279" t="s">
        <v>1627</v>
      </c>
      <c r="B1279">
        <v>1408942</v>
      </c>
      <c r="D1279" t="s">
        <v>7</v>
      </c>
      <c r="E1279">
        <v>946345</v>
      </c>
      <c r="F1279">
        <v>9015884123</v>
      </c>
      <c r="G1279">
        <v>346</v>
      </c>
      <c r="H1279" t="s">
        <v>820</v>
      </c>
      <c r="I1279">
        <v>0</v>
      </c>
      <c r="J1279" t="s">
        <v>821</v>
      </c>
      <c r="K1279" t="s">
        <v>8</v>
      </c>
      <c r="L1279" t="s">
        <v>18</v>
      </c>
      <c r="M1279" t="s">
        <v>9</v>
      </c>
      <c r="N1279" t="s">
        <v>14</v>
      </c>
      <c r="O1279" s="2">
        <v>3.52</v>
      </c>
      <c r="P1279" s="3">
        <v>0</v>
      </c>
      <c r="Q1279" s="1">
        <v>46033</v>
      </c>
      <c r="R1279" s="1">
        <v>45992</v>
      </c>
      <c r="S1279" s="1">
        <v>46022</v>
      </c>
      <c r="V1279" s="8">
        <v>1</v>
      </c>
      <c r="W1279" t="s">
        <v>24</v>
      </c>
      <c r="X1279" t="s">
        <v>822</v>
      </c>
      <c r="Y1279" t="s">
        <v>17</v>
      </c>
      <c r="Z1279" t="s">
        <v>11</v>
      </c>
      <c r="AA1279">
        <v>62371</v>
      </c>
      <c r="AB1279">
        <v>21374339</v>
      </c>
      <c r="AC1279">
        <v>1</v>
      </c>
      <c r="AD1279" s="8"/>
    </row>
    <row r="1280" spans="1:30" x14ac:dyDescent="0.3">
      <c r="A1280" t="s">
        <v>1627</v>
      </c>
      <c r="B1280">
        <v>1415365</v>
      </c>
      <c r="D1280" t="s">
        <v>7</v>
      </c>
      <c r="E1280">
        <v>946449</v>
      </c>
      <c r="F1280">
        <v>9015884123</v>
      </c>
      <c r="G1280">
        <v>389</v>
      </c>
      <c r="H1280" t="s">
        <v>268</v>
      </c>
      <c r="I1280">
        <v>0</v>
      </c>
      <c r="J1280" t="s">
        <v>269</v>
      </c>
      <c r="K1280" t="s">
        <v>8</v>
      </c>
      <c r="L1280" t="s">
        <v>19</v>
      </c>
      <c r="M1280" t="s">
        <v>9</v>
      </c>
      <c r="N1280" t="s">
        <v>14</v>
      </c>
      <c r="O1280" s="2">
        <v>29757.87</v>
      </c>
      <c r="P1280" s="3">
        <v>182.38900000000001</v>
      </c>
      <c r="Q1280" s="1">
        <v>46033</v>
      </c>
      <c r="R1280" s="1">
        <v>45992</v>
      </c>
      <c r="S1280" s="1">
        <v>46022</v>
      </c>
      <c r="V1280" s="8">
        <v>1</v>
      </c>
      <c r="W1280" t="s">
        <v>24</v>
      </c>
      <c r="X1280" t="s">
        <v>270</v>
      </c>
      <c r="Y1280" t="s">
        <v>17</v>
      </c>
      <c r="Z1280" t="s">
        <v>11</v>
      </c>
      <c r="AA1280">
        <v>62371</v>
      </c>
      <c r="AB1280">
        <v>19821473</v>
      </c>
      <c r="AC1280">
        <v>1</v>
      </c>
      <c r="AD1280" s="8"/>
    </row>
    <row r="1281" spans="1:30" x14ac:dyDescent="0.3">
      <c r="A1281" t="s">
        <v>1627</v>
      </c>
      <c r="B1281">
        <v>1415117</v>
      </c>
      <c r="D1281" t="s">
        <v>7</v>
      </c>
      <c r="E1281">
        <v>946496</v>
      </c>
      <c r="F1281">
        <v>9015884123</v>
      </c>
      <c r="G1281">
        <v>403</v>
      </c>
      <c r="H1281" t="s">
        <v>247</v>
      </c>
      <c r="I1281">
        <v>0</v>
      </c>
      <c r="J1281" t="s">
        <v>248</v>
      </c>
      <c r="K1281" t="s">
        <v>8</v>
      </c>
      <c r="L1281" t="s">
        <v>15</v>
      </c>
      <c r="M1281" t="s">
        <v>9</v>
      </c>
      <c r="N1281" t="s">
        <v>14</v>
      </c>
      <c r="O1281" s="2">
        <v>0</v>
      </c>
      <c r="P1281" s="3">
        <v>1311.511</v>
      </c>
      <c r="Q1281" s="1">
        <v>46033</v>
      </c>
      <c r="R1281" s="1">
        <v>45992</v>
      </c>
      <c r="S1281" s="1">
        <v>46022</v>
      </c>
      <c r="V1281" s="8">
        <v>1</v>
      </c>
      <c r="W1281" t="s">
        <v>24</v>
      </c>
      <c r="X1281" t="s">
        <v>249</v>
      </c>
      <c r="Y1281" t="s">
        <v>20</v>
      </c>
      <c r="Z1281" t="s">
        <v>11</v>
      </c>
      <c r="AA1281">
        <v>62371</v>
      </c>
      <c r="AB1281">
        <v>17929206</v>
      </c>
      <c r="AC1281">
        <v>0</v>
      </c>
      <c r="AD1281" s="8"/>
    </row>
    <row r="1282" spans="1:30" x14ac:dyDescent="0.3">
      <c r="A1282" t="s">
        <v>1627</v>
      </c>
      <c r="B1282">
        <v>1418374</v>
      </c>
      <c r="D1282" t="s">
        <v>7</v>
      </c>
      <c r="E1282">
        <v>946609</v>
      </c>
      <c r="F1282">
        <v>9015884123</v>
      </c>
      <c r="G1282">
        <v>438</v>
      </c>
      <c r="H1282" t="s">
        <v>1180</v>
      </c>
      <c r="I1282">
        <v>0</v>
      </c>
      <c r="J1282" t="s">
        <v>1181</v>
      </c>
      <c r="K1282" t="s">
        <v>8</v>
      </c>
      <c r="L1282" t="s">
        <v>67</v>
      </c>
      <c r="M1282" t="s">
        <v>9</v>
      </c>
      <c r="N1282" t="s">
        <v>14</v>
      </c>
      <c r="O1282" s="2">
        <v>339156.94</v>
      </c>
      <c r="P1282" s="3">
        <v>2381.194</v>
      </c>
      <c r="Q1282" s="1">
        <v>46033</v>
      </c>
      <c r="R1282" s="1">
        <v>45992</v>
      </c>
      <c r="S1282" s="1">
        <v>46022</v>
      </c>
      <c r="V1282" s="8">
        <v>1</v>
      </c>
      <c r="W1282" t="s">
        <v>24</v>
      </c>
      <c r="X1282" t="s">
        <v>1182</v>
      </c>
      <c r="Y1282" t="s">
        <v>17</v>
      </c>
      <c r="Z1282" t="s">
        <v>11</v>
      </c>
      <c r="AA1282">
        <v>62371</v>
      </c>
      <c r="AB1282">
        <v>18948795</v>
      </c>
      <c r="AC1282">
        <v>0</v>
      </c>
      <c r="AD1282" s="8"/>
    </row>
    <row r="1283" spans="1:30" x14ac:dyDescent="0.3">
      <c r="A1283" t="s">
        <v>1627</v>
      </c>
      <c r="B1283">
        <v>1418407</v>
      </c>
      <c r="D1283" t="s">
        <v>7</v>
      </c>
      <c r="E1283">
        <v>946621</v>
      </c>
      <c r="F1283">
        <v>9015884123</v>
      </c>
      <c r="G1283">
        <v>442</v>
      </c>
      <c r="H1283" t="s">
        <v>259</v>
      </c>
      <c r="I1283">
        <v>0</v>
      </c>
      <c r="J1283" t="s">
        <v>260</v>
      </c>
      <c r="K1283" t="s">
        <v>8</v>
      </c>
      <c r="L1283" t="s">
        <v>15</v>
      </c>
      <c r="M1283" t="s">
        <v>9</v>
      </c>
      <c r="N1283" t="s">
        <v>14</v>
      </c>
      <c r="O1283" s="2">
        <v>0</v>
      </c>
      <c r="P1283" s="3">
        <v>2232.145</v>
      </c>
      <c r="Q1283" s="1">
        <v>46033</v>
      </c>
      <c r="R1283" s="1">
        <v>45992</v>
      </c>
      <c r="S1283" s="1">
        <v>46022</v>
      </c>
      <c r="V1283" s="8">
        <v>1</v>
      </c>
      <c r="W1283" t="s">
        <v>24</v>
      </c>
      <c r="X1283" t="s">
        <v>261</v>
      </c>
      <c r="Y1283" t="s">
        <v>17</v>
      </c>
      <c r="Z1283" t="s">
        <v>11</v>
      </c>
      <c r="AA1283">
        <v>62371</v>
      </c>
      <c r="AB1283">
        <v>18544699</v>
      </c>
      <c r="AC1283">
        <v>0</v>
      </c>
      <c r="AD1283" s="8"/>
    </row>
    <row r="1284" spans="1:30" x14ac:dyDescent="0.3">
      <c r="A1284" t="s">
        <v>1627</v>
      </c>
      <c r="B1284">
        <v>1417658</v>
      </c>
      <c r="D1284" t="s">
        <v>7</v>
      </c>
      <c r="E1284">
        <v>946600</v>
      </c>
      <c r="F1284">
        <v>9015884123</v>
      </c>
      <c r="G1284">
        <v>435</v>
      </c>
      <c r="H1284" t="s">
        <v>1591</v>
      </c>
      <c r="I1284">
        <v>0</v>
      </c>
      <c r="J1284" t="s">
        <v>1592</v>
      </c>
      <c r="K1284" t="s">
        <v>8</v>
      </c>
      <c r="L1284" t="s">
        <v>67</v>
      </c>
      <c r="M1284" t="s">
        <v>9</v>
      </c>
      <c r="N1284" t="s">
        <v>14</v>
      </c>
      <c r="O1284" s="2">
        <v>388274.28</v>
      </c>
      <c r="P1284" s="3">
        <v>2726.0430000000001</v>
      </c>
      <c r="Q1284" s="1">
        <v>46033</v>
      </c>
      <c r="R1284" s="1">
        <v>45992</v>
      </c>
      <c r="S1284" s="1">
        <v>46022</v>
      </c>
      <c r="V1284" s="8">
        <v>1</v>
      </c>
      <c r="W1284" t="s">
        <v>24</v>
      </c>
      <c r="X1284" t="s">
        <v>1593</v>
      </c>
      <c r="Y1284" t="s">
        <v>17</v>
      </c>
      <c r="Z1284" t="s">
        <v>11</v>
      </c>
      <c r="AA1284">
        <v>62371</v>
      </c>
      <c r="AB1284">
        <v>19615410</v>
      </c>
      <c r="AC1284">
        <v>0</v>
      </c>
      <c r="AD1284" s="8"/>
    </row>
    <row r="1285" spans="1:30" x14ac:dyDescent="0.3">
      <c r="A1285" t="s">
        <v>1627</v>
      </c>
      <c r="B1285">
        <v>1428478</v>
      </c>
      <c r="D1285" t="s">
        <v>7</v>
      </c>
      <c r="E1285">
        <v>946781</v>
      </c>
      <c r="F1285">
        <v>9015884123</v>
      </c>
      <c r="G1285">
        <v>495</v>
      </c>
      <c r="H1285" t="s">
        <v>1533</v>
      </c>
      <c r="I1285">
        <v>0</v>
      </c>
      <c r="J1285" t="s">
        <v>1534</v>
      </c>
      <c r="K1285" t="s">
        <v>8</v>
      </c>
      <c r="L1285" t="s">
        <v>15</v>
      </c>
      <c r="M1285" t="s">
        <v>9</v>
      </c>
      <c r="N1285" t="s">
        <v>14</v>
      </c>
      <c r="O1285" s="2">
        <v>0</v>
      </c>
      <c r="P1285" s="3">
        <v>2281.2040000000002</v>
      </c>
      <c r="Q1285" s="1">
        <v>46033</v>
      </c>
      <c r="R1285" s="1">
        <v>45992</v>
      </c>
      <c r="S1285" s="1">
        <v>46022</v>
      </c>
      <c r="V1285" s="8">
        <v>1</v>
      </c>
      <c r="W1285" t="s">
        <v>24</v>
      </c>
      <c r="X1285" t="s">
        <v>1535</v>
      </c>
      <c r="Y1285" t="s">
        <v>17</v>
      </c>
      <c r="Z1285" t="s">
        <v>11</v>
      </c>
      <c r="AA1285">
        <v>62371</v>
      </c>
      <c r="AB1285">
        <v>18330078</v>
      </c>
      <c r="AC1285">
        <v>1</v>
      </c>
      <c r="AD1285" s="8"/>
    </row>
    <row r="1286" spans="1:30" x14ac:dyDescent="0.3">
      <c r="A1286" t="s">
        <v>1627</v>
      </c>
      <c r="B1286">
        <v>1428478</v>
      </c>
      <c r="D1286" t="s">
        <v>7</v>
      </c>
      <c r="E1286">
        <v>946781</v>
      </c>
      <c r="F1286">
        <v>9015884123</v>
      </c>
      <c r="G1286">
        <v>495</v>
      </c>
      <c r="H1286" t="s">
        <v>1533</v>
      </c>
      <c r="I1286">
        <v>0</v>
      </c>
      <c r="J1286" t="s">
        <v>1534</v>
      </c>
      <c r="K1286" t="s">
        <v>8</v>
      </c>
      <c r="L1286" t="s">
        <v>19</v>
      </c>
      <c r="M1286" t="s">
        <v>9</v>
      </c>
      <c r="N1286" t="s">
        <v>14</v>
      </c>
      <c r="O1286" s="2">
        <v>5343.85</v>
      </c>
      <c r="P1286" s="3">
        <v>32.753</v>
      </c>
      <c r="Q1286" s="1">
        <v>46033</v>
      </c>
      <c r="R1286" s="1">
        <v>45992</v>
      </c>
      <c r="S1286" s="1">
        <v>46022</v>
      </c>
      <c r="V1286" s="8">
        <v>1</v>
      </c>
      <c r="W1286" t="s">
        <v>24</v>
      </c>
      <c r="X1286" t="s">
        <v>1535</v>
      </c>
      <c r="Y1286" t="s">
        <v>17</v>
      </c>
      <c r="Z1286" t="s">
        <v>11</v>
      </c>
      <c r="AA1286">
        <v>62371</v>
      </c>
      <c r="AB1286">
        <v>18330078</v>
      </c>
      <c r="AC1286">
        <v>1</v>
      </c>
      <c r="AD1286" s="8"/>
    </row>
    <row r="1287" spans="1:30" x14ac:dyDescent="0.3">
      <c r="A1287" t="s">
        <v>1627</v>
      </c>
      <c r="B1287">
        <v>1441991</v>
      </c>
      <c r="D1287" t="s">
        <v>7</v>
      </c>
      <c r="E1287">
        <v>946856</v>
      </c>
      <c r="F1287">
        <v>9015884123</v>
      </c>
      <c r="G1287">
        <v>519</v>
      </c>
      <c r="H1287" t="s">
        <v>1594</v>
      </c>
      <c r="I1287">
        <v>0</v>
      </c>
      <c r="J1287" t="s">
        <v>1595</v>
      </c>
      <c r="K1287" t="s">
        <v>8</v>
      </c>
      <c r="L1287" t="s">
        <v>15</v>
      </c>
      <c r="M1287" t="s">
        <v>9</v>
      </c>
      <c r="N1287" t="s">
        <v>14</v>
      </c>
      <c r="O1287" s="2">
        <v>0</v>
      </c>
      <c r="P1287" s="3">
        <v>867.94399999999996</v>
      </c>
      <c r="Q1287" s="1">
        <v>46033</v>
      </c>
      <c r="R1287" s="1">
        <v>45992</v>
      </c>
      <c r="S1287" s="1">
        <v>46022</v>
      </c>
      <c r="V1287" s="8">
        <v>1</v>
      </c>
      <c r="W1287" t="s">
        <v>24</v>
      </c>
      <c r="X1287" t="s">
        <v>1596</v>
      </c>
      <c r="Y1287" t="s">
        <v>17</v>
      </c>
      <c r="Z1287" t="s">
        <v>11</v>
      </c>
      <c r="AA1287">
        <v>62371</v>
      </c>
      <c r="AB1287">
        <v>17773978</v>
      </c>
      <c r="AC1287">
        <v>1</v>
      </c>
      <c r="AD1287" s="8"/>
    </row>
    <row r="1288" spans="1:30" x14ac:dyDescent="0.3">
      <c r="A1288" t="s">
        <v>1627</v>
      </c>
      <c r="B1288">
        <v>1441991</v>
      </c>
      <c r="D1288" t="s">
        <v>7</v>
      </c>
      <c r="E1288">
        <v>946856</v>
      </c>
      <c r="F1288">
        <v>9015884123</v>
      </c>
      <c r="G1288">
        <v>519</v>
      </c>
      <c r="H1288" t="s">
        <v>1594</v>
      </c>
      <c r="I1288">
        <v>0</v>
      </c>
      <c r="J1288" t="s">
        <v>1595</v>
      </c>
      <c r="K1288" t="s">
        <v>8</v>
      </c>
      <c r="L1288" t="s">
        <v>19</v>
      </c>
      <c r="M1288" t="s">
        <v>9</v>
      </c>
      <c r="N1288" t="s">
        <v>14</v>
      </c>
      <c r="O1288" s="2">
        <v>165.77</v>
      </c>
      <c r="P1288" s="3">
        <v>1.016</v>
      </c>
      <c r="Q1288" s="1">
        <v>46033</v>
      </c>
      <c r="R1288" s="1">
        <v>45992</v>
      </c>
      <c r="S1288" s="1">
        <v>46022</v>
      </c>
      <c r="V1288" s="8">
        <v>1</v>
      </c>
      <c r="W1288" t="s">
        <v>24</v>
      </c>
      <c r="X1288" t="s">
        <v>1596</v>
      </c>
      <c r="Y1288" t="s">
        <v>17</v>
      </c>
      <c r="Z1288" t="s">
        <v>11</v>
      </c>
      <c r="AA1288">
        <v>62371</v>
      </c>
      <c r="AB1288">
        <v>17773978</v>
      </c>
      <c r="AC1288">
        <v>1</v>
      </c>
      <c r="AD1288" s="8"/>
    </row>
    <row r="1289" spans="1:30" x14ac:dyDescent="0.3">
      <c r="A1289" t="s">
        <v>1627</v>
      </c>
      <c r="B1289">
        <v>1377966</v>
      </c>
      <c r="D1289" t="s">
        <v>7</v>
      </c>
      <c r="E1289">
        <v>945942</v>
      </c>
      <c r="F1289">
        <v>9015884123</v>
      </c>
      <c r="G1289">
        <v>189</v>
      </c>
      <c r="H1289" t="s">
        <v>772</v>
      </c>
      <c r="I1289">
        <v>0</v>
      </c>
      <c r="J1289" t="s">
        <v>773</v>
      </c>
      <c r="K1289" t="s">
        <v>8</v>
      </c>
      <c r="L1289" t="s">
        <v>18</v>
      </c>
      <c r="M1289" t="s">
        <v>9</v>
      </c>
      <c r="N1289" t="s">
        <v>14</v>
      </c>
      <c r="O1289" s="2">
        <v>2.56</v>
      </c>
      <c r="P1289" s="3">
        <v>0</v>
      </c>
      <c r="Q1289" s="1">
        <v>46033</v>
      </c>
      <c r="R1289" s="1">
        <v>45992</v>
      </c>
      <c r="S1289" s="1">
        <v>46022</v>
      </c>
      <c r="V1289" s="8">
        <v>1</v>
      </c>
      <c r="W1289" t="s">
        <v>24</v>
      </c>
      <c r="X1289" t="s">
        <v>774</v>
      </c>
      <c r="Y1289" t="s">
        <v>17</v>
      </c>
      <c r="Z1289" t="s">
        <v>11</v>
      </c>
      <c r="AA1289">
        <v>62371</v>
      </c>
      <c r="AB1289">
        <v>19409261</v>
      </c>
      <c r="AC1289">
        <v>1</v>
      </c>
      <c r="AD1289" s="8"/>
    </row>
    <row r="1290" spans="1:30" x14ac:dyDescent="0.3">
      <c r="A1290" t="s">
        <v>1627</v>
      </c>
      <c r="B1290">
        <v>1282807</v>
      </c>
      <c r="D1290" t="s">
        <v>7</v>
      </c>
      <c r="E1290">
        <v>945259</v>
      </c>
      <c r="F1290">
        <v>9015884123</v>
      </c>
      <c r="G1290">
        <v>7</v>
      </c>
      <c r="H1290" t="s">
        <v>283</v>
      </c>
      <c r="I1290">
        <v>0</v>
      </c>
      <c r="J1290" t="s">
        <v>284</v>
      </c>
      <c r="K1290" t="s">
        <v>8</v>
      </c>
      <c r="L1290" t="s">
        <v>15</v>
      </c>
      <c r="M1290" t="s">
        <v>9</v>
      </c>
      <c r="N1290" t="s">
        <v>14</v>
      </c>
      <c r="O1290" s="2">
        <v>0</v>
      </c>
      <c r="P1290" s="3">
        <v>5678.6090000000004</v>
      </c>
      <c r="Q1290" s="1">
        <v>46033</v>
      </c>
      <c r="R1290" s="1">
        <v>45992</v>
      </c>
      <c r="S1290" s="1">
        <v>46022</v>
      </c>
      <c r="V1290" s="8">
        <v>1</v>
      </c>
      <c r="W1290" t="s">
        <v>24</v>
      </c>
      <c r="X1290" t="s">
        <v>285</v>
      </c>
      <c r="Y1290" t="s">
        <v>17</v>
      </c>
      <c r="Z1290" t="s">
        <v>11</v>
      </c>
      <c r="AA1290">
        <v>62371</v>
      </c>
      <c r="AB1290">
        <v>18915434</v>
      </c>
      <c r="AC1290">
        <v>0</v>
      </c>
      <c r="AD1290" s="8"/>
    </row>
    <row r="1291" spans="1:30" x14ac:dyDescent="0.3">
      <c r="A1291" t="s">
        <v>1627</v>
      </c>
      <c r="B1291">
        <v>1303924</v>
      </c>
      <c r="D1291" t="s">
        <v>7</v>
      </c>
      <c r="E1291">
        <v>945165</v>
      </c>
      <c r="F1291">
        <v>9015884123</v>
      </c>
      <c r="G1291">
        <v>34</v>
      </c>
      <c r="H1291" t="s">
        <v>1195</v>
      </c>
      <c r="I1291">
        <v>0</v>
      </c>
      <c r="J1291" t="s">
        <v>1196</v>
      </c>
      <c r="K1291" t="s">
        <v>8</v>
      </c>
      <c r="L1291" t="s">
        <v>67</v>
      </c>
      <c r="M1291" t="s">
        <v>9</v>
      </c>
      <c r="N1291" t="s">
        <v>14</v>
      </c>
      <c r="O1291" s="2">
        <v>555683.6</v>
      </c>
      <c r="P1291" s="3">
        <v>5145.4210000000003</v>
      </c>
      <c r="Q1291" s="1">
        <v>46033</v>
      </c>
      <c r="R1291" s="1">
        <v>45992</v>
      </c>
      <c r="S1291" s="1">
        <v>46022</v>
      </c>
      <c r="V1291" s="8">
        <v>1</v>
      </c>
      <c r="W1291" t="s">
        <v>24</v>
      </c>
      <c r="X1291" t="s">
        <v>1197</v>
      </c>
      <c r="Y1291" t="s">
        <v>17</v>
      </c>
      <c r="Z1291" t="s">
        <v>11</v>
      </c>
      <c r="AA1291">
        <v>62371</v>
      </c>
      <c r="AB1291">
        <v>18686952</v>
      </c>
      <c r="AC1291">
        <v>1</v>
      </c>
      <c r="AD1291" s="8"/>
    </row>
    <row r="1292" spans="1:30" x14ac:dyDescent="0.3">
      <c r="A1292" t="s">
        <v>1627</v>
      </c>
      <c r="B1292">
        <v>1406119</v>
      </c>
      <c r="D1292" t="s">
        <v>7</v>
      </c>
      <c r="E1292">
        <v>946285</v>
      </c>
      <c r="F1292">
        <v>9015884123</v>
      </c>
      <c r="G1292">
        <v>315</v>
      </c>
      <c r="H1292" t="s">
        <v>848</v>
      </c>
      <c r="I1292">
        <v>0</v>
      </c>
      <c r="J1292" t="s">
        <v>849</v>
      </c>
      <c r="K1292" t="s">
        <v>8</v>
      </c>
      <c r="L1292" t="s">
        <v>18</v>
      </c>
      <c r="M1292" t="s">
        <v>9</v>
      </c>
      <c r="N1292" t="s">
        <v>14</v>
      </c>
      <c r="O1292" s="2">
        <v>-1.19</v>
      </c>
      <c r="P1292" s="3">
        <v>0</v>
      </c>
      <c r="Q1292" s="1">
        <v>46033</v>
      </c>
      <c r="R1292" s="1">
        <v>45992</v>
      </c>
      <c r="S1292" s="1">
        <v>46022</v>
      </c>
      <c r="V1292" s="8">
        <v>1</v>
      </c>
      <c r="W1292" t="s">
        <v>24</v>
      </c>
      <c r="X1292" t="s">
        <v>850</v>
      </c>
      <c r="Y1292" t="s">
        <v>289</v>
      </c>
      <c r="Z1292" t="s">
        <v>11</v>
      </c>
      <c r="AA1292">
        <v>62371</v>
      </c>
      <c r="AB1292">
        <v>18405658</v>
      </c>
      <c r="AC1292">
        <v>1</v>
      </c>
      <c r="AD1292" s="8"/>
    </row>
    <row r="1293" spans="1:30" x14ac:dyDescent="0.3">
      <c r="A1293" t="s">
        <v>1627</v>
      </c>
      <c r="B1293">
        <v>1363524</v>
      </c>
      <c r="D1293" t="s">
        <v>7</v>
      </c>
      <c r="E1293">
        <v>945912</v>
      </c>
      <c r="F1293">
        <v>9015884123</v>
      </c>
      <c r="G1293">
        <v>161</v>
      </c>
      <c r="H1293" t="s">
        <v>1205</v>
      </c>
      <c r="I1293">
        <v>0</v>
      </c>
      <c r="J1293" t="s">
        <v>1206</v>
      </c>
      <c r="K1293" t="s">
        <v>8</v>
      </c>
      <c r="L1293" t="s">
        <v>67</v>
      </c>
      <c r="M1293" t="s">
        <v>9</v>
      </c>
      <c r="N1293" t="s">
        <v>14</v>
      </c>
      <c r="O1293" s="2">
        <v>563559.55000000005</v>
      </c>
      <c r="P1293" s="3">
        <v>3956.7069999999999</v>
      </c>
      <c r="Q1293" s="1">
        <v>46033</v>
      </c>
      <c r="R1293" s="1">
        <v>45992</v>
      </c>
      <c r="S1293" s="1">
        <v>46022</v>
      </c>
      <c r="V1293" s="8">
        <v>1</v>
      </c>
      <c r="W1293" t="s">
        <v>24</v>
      </c>
      <c r="X1293" t="s">
        <v>1207</v>
      </c>
      <c r="Y1293" t="s">
        <v>10</v>
      </c>
      <c r="Z1293" t="s">
        <v>11</v>
      </c>
      <c r="AA1293">
        <v>62371</v>
      </c>
      <c r="AB1293">
        <v>19398651</v>
      </c>
      <c r="AC1293">
        <v>0</v>
      </c>
      <c r="AD1293" s="8"/>
    </row>
    <row r="1294" spans="1:30" x14ac:dyDescent="0.3">
      <c r="A1294" t="s">
        <v>1627</v>
      </c>
      <c r="B1294">
        <v>1363531</v>
      </c>
      <c r="D1294" t="s">
        <v>7</v>
      </c>
      <c r="E1294">
        <v>945918</v>
      </c>
      <c r="F1294">
        <v>9015884123</v>
      </c>
      <c r="G1294">
        <v>169</v>
      </c>
      <c r="H1294" t="s">
        <v>1597</v>
      </c>
      <c r="I1294">
        <v>0</v>
      </c>
      <c r="J1294" t="s">
        <v>1598</v>
      </c>
      <c r="K1294" t="s">
        <v>8</v>
      </c>
      <c r="L1294" t="s">
        <v>19</v>
      </c>
      <c r="M1294" t="s">
        <v>9</v>
      </c>
      <c r="N1294" t="s">
        <v>14</v>
      </c>
      <c r="O1294" s="2">
        <v>4423.09</v>
      </c>
      <c r="P1294" s="3">
        <v>22.385000000000002</v>
      </c>
      <c r="Q1294" s="1">
        <v>46033</v>
      </c>
      <c r="R1294" s="1">
        <v>45992</v>
      </c>
      <c r="S1294" s="1">
        <v>46022</v>
      </c>
      <c r="V1294" s="8">
        <v>1</v>
      </c>
      <c r="W1294" t="s">
        <v>24</v>
      </c>
      <c r="X1294" t="s">
        <v>1599</v>
      </c>
      <c r="Y1294" t="s">
        <v>10</v>
      </c>
      <c r="Z1294" t="s">
        <v>11</v>
      </c>
      <c r="AA1294">
        <v>62371</v>
      </c>
      <c r="AB1294">
        <v>17053454</v>
      </c>
      <c r="AC1294">
        <v>0</v>
      </c>
      <c r="AD1294" s="8"/>
    </row>
    <row r="1295" spans="1:30" x14ac:dyDescent="0.3">
      <c r="A1295" t="s">
        <v>1627</v>
      </c>
      <c r="B1295">
        <v>1363531</v>
      </c>
      <c r="D1295" t="s">
        <v>7</v>
      </c>
      <c r="E1295">
        <v>945918</v>
      </c>
      <c r="F1295">
        <v>9015884123</v>
      </c>
      <c r="G1295">
        <v>169</v>
      </c>
      <c r="H1295" t="s">
        <v>1597</v>
      </c>
      <c r="I1295">
        <v>0</v>
      </c>
      <c r="J1295" t="s">
        <v>1598</v>
      </c>
      <c r="K1295" t="s">
        <v>8</v>
      </c>
      <c r="L1295" t="s">
        <v>18</v>
      </c>
      <c r="M1295" t="s">
        <v>9</v>
      </c>
      <c r="N1295" t="s">
        <v>14</v>
      </c>
      <c r="O1295" s="2">
        <v>3.32</v>
      </c>
      <c r="P1295" s="3">
        <v>0</v>
      </c>
      <c r="Q1295" s="1">
        <v>46033</v>
      </c>
      <c r="R1295" s="1">
        <v>45992</v>
      </c>
      <c r="S1295" s="1">
        <v>46022</v>
      </c>
      <c r="V1295" s="8">
        <v>1</v>
      </c>
      <c r="W1295" t="s">
        <v>24</v>
      </c>
      <c r="X1295" t="s">
        <v>1599</v>
      </c>
      <c r="Y1295" t="s">
        <v>10</v>
      </c>
      <c r="Z1295" t="s">
        <v>11</v>
      </c>
      <c r="AA1295">
        <v>62371</v>
      </c>
      <c r="AB1295">
        <v>17053454</v>
      </c>
      <c r="AC1295">
        <v>0</v>
      </c>
      <c r="AD1295" s="8"/>
    </row>
    <row r="1296" spans="1:30" x14ac:dyDescent="0.3">
      <c r="A1296" t="s">
        <v>1627</v>
      </c>
      <c r="B1296">
        <v>1363541</v>
      </c>
      <c r="D1296" t="s">
        <v>7</v>
      </c>
      <c r="E1296">
        <v>945921</v>
      </c>
      <c r="F1296">
        <v>9015884123</v>
      </c>
      <c r="G1296">
        <v>172</v>
      </c>
      <c r="H1296" t="s">
        <v>839</v>
      </c>
      <c r="I1296">
        <v>0</v>
      </c>
      <c r="J1296" t="s">
        <v>840</v>
      </c>
      <c r="K1296" t="s">
        <v>8</v>
      </c>
      <c r="L1296" t="s">
        <v>67</v>
      </c>
      <c r="M1296" t="s">
        <v>9</v>
      </c>
      <c r="N1296" t="s">
        <v>14</v>
      </c>
      <c r="O1296" s="2">
        <v>320780.96000000002</v>
      </c>
      <c r="P1296" s="3">
        <v>2970.3110000000001</v>
      </c>
      <c r="Q1296" s="1">
        <v>46033</v>
      </c>
      <c r="R1296" s="1">
        <v>45992</v>
      </c>
      <c r="S1296" s="1">
        <v>46022</v>
      </c>
      <c r="V1296" s="8">
        <v>1</v>
      </c>
      <c r="W1296" t="s">
        <v>24</v>
      </c>
      <c r="X1296" t="s">
        <v>841</v>
      </c>
      <c r="Y1296" t="s">
        <v>10</v>
      </c>
      <c r="Z1296" t="s">
        <v>11</v>
      </c>
      <c r="AA1296">
        <v>62371</v>
      </c>
      <c r="AB1296">
        <v>21107604</v>
      </c>
      <c r="AC1296">
        <v>1</v>
      </c>
      <c r="AD1296" s="8"/>
    </row>
    <row r="1297" spans="1:30" x14ac:dyDescent="0.3">
      <c r="A1297" t="s">
        <v>1627</v>
      </c>
      <c r="B1297">
        <v>1363562</v>
      </c>
      <c r="D1297" t="s">
        <v>7</v>
      </c>
      <c r="E1297">
        <v>945925</v>
      </c>
      <c r="F1297">
        <v>9015884123</v>
      </c>
      <c r="G1297">
        <v>176</v>
      </c>
      <c r="H1297" t="s">
        <v>842</v>
      </c>
      <c r="I1297">
        <v>0</v>
      </c>
      <c r="J1297" t="s">
        <v>843</v>
      </c>
      <c r="K1297" t="s">
        <v>8</v>
      </c>
      <c r="L1297" t="s">
        <v>67</v>
      </c>
      <c r="M1297" t="s">
        <v>9</v>
      </c>
      <c r="N1297" t="s">
        <v>14</v>
      </c>
      <c r="O1297" s="2">
        <v>852541.31</v>
      </c>
      <c r="P1297" s="3">
        <v>5985.625</v>
      </c>
      <c r="Q1297" s="1">
        <v>46033</v>
      </c>
      <c r="R1297" s="1">
        <v>45992</v>
      </c>
      <c r="S1297" s="1">
        <v>46022</v>
      </c>
      <c r="V1297" s="8">
        <v>1</v>
      </c>
      <c r="W1297" t="s">
        <v>24</v>
      </c>
      <c r="X1297" t="s">
        <v>844</v>
      </c>
      <c r="Y1297" t="s">
        <v>10</v>
      </c>
      <c r="Z1297" t="s">
        <v>11</v>
      </c>
      <c r="AA1297">
        <v>62371</v>
      </c>
      <c r="AB1297">
        <v>17682334</v>
      </c>
      <c r="AC1297">
        <v>0</v>
      </c>
      <c r="AD1297" s="8"/>
    </row>
    <row r="1298" spans="1:30" x14ac:dyDescent="0.3">
      <c r="A1298" t="s">
        <v>1627</v>
      </c>
      <c r="B1298">
        <v>1356168</v>
      </c>
      <c r="D1298" t="s">
        <v>7</v>
      </c>
      <c r="E1298">
        <v>945398</v>
      </c>
      <c r="F1298">
        <v>9015884123</v>
      </c>
      <c r="G1298">
        <v>111</v>
      </c>
      <c r="H1298" t="s">
        <v>214</v>
      </c>
      <c r="I1298">
        <v>0</v>
      </c>
      <c r="J1298" t="s">
        <v>215</v>
      </c>
      <c r="K1298" t="s">
        <v>8</v>
      </c>
      <c r="L1298" t="s">
        <v>18</v>
      </c>
      <c r="M1298" t="s">
        <v>9</v>
      </c>
      <c r="N1298" t="s">
        <v>14</v>
      </c>
      <c r="O1298" s="2">
        <v>-3.62</v>
      </c>
      <c r="P1298" s="3">
        <v>0</v>
      </c>
      <c r="Q1298" s="1">
        <v>46033</v>
      </c>
      <c r="R1298" s="1">
        <v>45992</v>
      </c>
      <c r="S1298" s="1">
        <v>46022</v>
      </c>
      <c r="V1298" s="8">
        <v>1</v>
      </c>
      <c r="W1298" t="s">
        <v>24</v>
      </c>
      <c r="X1298" t="s">
        <v>216</v>
      </c>
      <c r="Y1298" t="s">
        <v>10</v>
      </c>
      <c r="Z1298" t="s">
        <v>11</v>
      </c>
      <c r="AA1298">
        <v>62371</v>
      </c>
      <c r="AB1298">
        <v>21107577</v>
      </c>
      <c r="AC1298">
        <v>1</v>
      </c>
      <c r="AD1298" s="8"/>
    </row>
    <row r="1299" spans="1:30" x14ac:dyDescent="0.3">
      <c r="A1299" t="s">
        <v>1627</v>
      </c>
      <c r="B1299">
        <v>1356216</v>
      </c>
      <c r="D1299" t="s">
        <v>7</v>
      </c>
      <c r="E1299">
        <v>945413</v>
      </c>
      <c r="F1299">
        <v>9015884123</v>
      </c>
      <c r="G1299">
        <v>116</v>
      </c>
      <c r="H1299" t="s">
        <v>223</v>
      </c>
      <c r="I1299">
        <v>0</v>
      </c>
      <c r="J1299" t="s">
        <v>224</v>
      </c>
      <c r="K1299" t="s">
        <v>8</v>
      </c>
      <c r="L1299" t="s">
        <v>18</v>
      </c>
      <c r="M1299" t="s">
        <v>9</v>
      </c>
      <c r="N1299" t="s">
        <v>14</v>
      </c>
      <c r="O1299" s="2">
        <v>4.4000000000000004</v>
      </c>
      <c r="P1299" s="3">
        <v>0</v>
      </c>
      <c r="Q1299" s="1">
        <v>46033</v>
      </c>
      <c r="R1299" s="1">
        <v>45992</v>
      </c>
      <c r="S1299" s="1">
        <v>46022</v>
      </c>
      <c r="V1299" s="8">
        <v>1</v>
      </c>
      <c r="W1299" t="s">
        <v>24</v>
      </c>
      <c r="X1299" t="s">
        <v>225</v>
      </c>
      <c r="Y1299" t="s">
        <v>10</v>
      </c>
      <c r="Z1299" t="s">
        <v>11</v>
      </c>
      <c r="AA1299">
        <v>62371</v>
      </c>
      <c r="AB1299">
        <v>17160281</v>
      </c>
      <c r="AC1299">
        <v>0</v>
      </c>
      <c r="AD1299" s="8"/>
    </row>
    <row r="1300" spans="1:30" x14ac:dyDescent="0.3">
      <c r="A1300" t="s">
        <v>1627</v>
      </c>
      <c r="B1300">
        <v>1356173</v>
      </c>
      <c r="D1300" t="s">
        <v>7</v>
      </c>
      <c r="E1300">
        <v>945401</v>
      </c>
      <c r="F1300">
        <v>9015884123</v>
      </c>
      <c r="G1300">
        <v>112</v>
      </c>
      <c r="H1300" t="s">
        <v>793</v>
      </c>
      <c r="I1300">
        <v>0</v>
      </c>
      <c r="J1300" t="s">
        <v>794</v>
      </c>
      <c r="K1300" t="s">
        <v>8</v>
      </c>
      <c r="L1300" t="s">
        <v>67</v>
      </c>
      <c r="M1300" t="s">
        <v>9</v>
      </c>
      <c r="N1300" t="s">
        <v>14</v>
      </c>
      <c r="O1300" s="2">
        <v>357863.79</v>
      </c>
      <c r="P1300" s="3">
        <v>3313.6840000000002</v>
      </c>
      <c r="Q1300" s="1">
        <v>46033</v>
      </c>
      <c r="R1300" s="1">
        <v>45992</v>
      </c>
      <c r="S1300" s="1">
        <v>46022</v>
      </c>
      <c r="V1300" s="8">
        <v>1</v>
      </c>
      <c r="W1300" t="s">
        <v>24</v>
      </c>
      <c r="X1300" t="s">
        <v>795</v>
      </c>
      <c r="Y1300" t="s">
        <v>10</v>
      </c>
      <c r="Z1300" t="s">
        <v>11</v>
      </c>
      <c r="AA1300">
        <v>62371</v>
      </c>
      <c r="AB1300">
        <v>21113537</v>
      </c>
      <c r="AC1300">
        <v>1</v>
      </c>
      <c r="AD1300" s="8"/>
    </row>
    <row r="1301" spans="1:30" x14ac:dyDescent="0.3">
      <c r="A1301" t="s">
        <v>1627</v>
      </c>
      <c r="B1301">
        <v>1356250</v>
      </c>
      <c r="D1301" t="s">
        <v>7</v>
      </c>
      <c r="E1301">
        <v>945441</v>
      </c>
      <c r="F1301">
        <v>9015884123</v>
      </c>
      <c r="G1301">
        <v>125</v>
      </c>
      <c r="H1301" t="s">
        <v>1542</v>
      </c>
      <c r="I1301">
        <v>0</v>
      </c>
      <c r="J1301" t="s">
        <v>1543</v>
      </c>
      <c r="K1301" t="s">
        <v>8</v>
      </c>
      <c r="L1301" t="s">
        <v>18</v>
      </c>
      <c r="M1301" t="s">
        <v>9</v>
      </c>
      <c r="N1301" t="s">
        <v>14</v>
      </c>
      <c r="O1301" s="2">
        <v>-0.1</v>
      </c>
      <c r="P1301" s="3">
        <v>0</v>
      </c>
      <c r="Q1301" s="1">
        <v>46033</v>
      </c>
      <c r="R1301" s="1">
        <v>45992</v>
      </c>
      <c r="S1301" s="1">
        <v>46022</v>
      </c>
      <c r="V1301" s="8">
        <v>1</v>
      </c>
      <c r="W1301" t="s">
        <v>24</v>
      </c>
      <c r="X1301" t="s">
        <v>1544</v>
      </c>
      <c r="Y1301" t="s">
        <v>10</v>
      </c>
      <c r="Z1301" t="s">
        <v>11</v>
      </c>
      <c r="AA1301">
        <v>62371</v>
      </c>
      <c r="AB1301">
        <v>19390712</v>
      </c>
      <c r="AC1301">
        <v>0</v>
      </c>
      <c r="AD1301" s="8"/>
    </row>
    <row r="1302" spans="1:30" x14ac:dyDescent="0.3">
      <c r="A1302" t="s">
        <v>1627</v>
      </c>
      <c r="B1302">
        <v>1398092</v>
      </c>
      <c r="D1302" t="s">
        <v>7</v>
      </c>
      <c r="E1302">
        <v>946071</v>
      </c>
      <c r="F1302">
        <v>9015884123</v>
      </c>
      <c r="G1302">
        <v>244</v>
      </c>
      <c r="H1302" t="s">
        <v>1536</v>
      </c>
      <c r="I1302">
        <v>0</v>
      </c>
      <c r="J1302" t="s">
        <v>1537</v>
      </c>
      <c r="K1302" t="s">
        <v>8</v>
      </c>
      <c r="L1302" t="s">
        <v>15</v>
      </c>
      <c r="M1302" t="s">
        <v>9</v>
      </c>
      <c r="N1302" t="s">
        <v>14</v>
      </c>
      <c r="O1302" s="2">
        <v>0</v>
      </c>
      <c r="P1302" s="3">
        <v>14053.259</v>
      </c>
      <c r="Q1302" s="1">
        <v>46033</v>
      </c>
      <c r="R1302" s="1">
        <v>45992</v>
      </c>
      <c r="S1302" s="1">
        <v>46022</v>
      </c>
      <c r="V1302" s="8">
        <v>2</v>
      </c>
      <c r="W1302" t="s">
        <v>24</v>
      </c>
      <c r="X1302" t="s">
        <v>1538</v>
      </c>
      <c r="Y1302" t="s">
        <v>37</v>
      </c>
      <c r="Z1302" t="s">
        <v>11</v>
      </c>
      <c r="AA1302">
        <v>62371</v>
      </c>
      <c r="AB1302">
        <v>17921534</v>
      </c>
      <c r="AC1302">
        <v>1</v>
      </c>
      <c r="AD1302" s="8"/>
    </row>
    <row r="1303" spans="1:30" x14ac:dyDescent="0.3">
      <c r="A1303" t="s">
        <v>1627</v>
      </c>
      <c r="B1303">
        <v>1408311</v>
      </c>
      <c r="D1303" t="s">
        <v>7</v>
      </c>
      <c r="E1303">
        <v>946329</v>
      </c>
      <c r="F1303">
        <v>9015884123</v>
      </c>
      <c r="G1303">
        <v>337</v>
      </c>
      <c r="H1303" t="s">
        <v>304</v>
      </c>
      <c r="I1303">
        <v>0</v>
      </c>
      <c r="J1303" t="s">
        <v>305</v>
      </c>
      <c r="K1303" t="s">
        <v>8</v>
      </c>
      <c r="L1303" t="s">
        <v>18</v>
      </c>
      <c r="M1303" t="s">
        <v>9</v>
      </c>
      <c r="N1303" t="s">
        <v>14</v>
      </c>
      <c r="O1303" s="2">
        <v>-2.57</v>
      </c>
      <c r="P1303" s="3">
        <v>0</v>
      </c>
      <c r="Q1303" s="1">
        <v>46033</v>
      </c>
      <c r="R1303" s="1">
        <v>45992</v>
      </c>
      <c r="S1303" s="1">
        <v>46022</v>
      </c>
      <c r="V1303" s="8">
        <v>1</v>
      </c>
      <c r="W1303" t="s">
        <v>24</v>
      </c>
      <c r="X1303" t="s">
        <v>306</v>
      </c>
      <c r="Y1303" t="s">
        <v>39</v>
      </c>
      <c r="Z1303" t="s">
        <v>11</v>
      </c>
      <c r="AA1303">
        <v>62371</v>
      </c>
      <c r="AB1303">
        <v>17901029</v>
      </c>
      <c r="AC1303">
        <v>0</v>
      </c>
      <c r="AD1303" s="8"/>
    </row>
    <row r="1304" spans="1:30" x14ac:dyDescent="0.3">
      <c r="A1304" t="s">
        <v>1627</v>
      </c>
      <c r="B1304">
        <v>1415695</v>
      </c>
      <c r="D1304" t="s">
        <v>7</v>
      </c>
      <c r="E1304">
        <v>946536</v>
      </c>
      <c r="F1304">
        <v>9015884123</v>
      </c>
      <c r="G1304">
        <v>416</v>
      </c>
      <c r="H1304" t="s">
        <v>1198</v>
      </c>
      <c r="I1304">
        <v>0</v>
      </c>
      <c r="J1304" t="s">
        <v>1199</v>
      </c>
      <c r="K1304" t="s">
        <v>8</v>
      </c>
      <c r="L1304" t="s">
        <v>19</v>
      </c>
      <c r="M1304" t="s">
        <v>9</v>
      </c>
      <c r="N1304" t="s">
        <v>14</v>
      </c>
      <c r="O1304" s="2">
        <v>4394.05</v>
      </c>
      <c r="P1304" s="3">
        <v>22.238</v>
      </c>
      <c r="Q1304" s="1">
        <v>46033</v>
      </c>
      <c r="R1304" s="1">
        <v>45992</v>
      </c>
      <c r="S1304" s="1">
        <v>46022</v>
      </c>
      <c r="V1304" s="8">
        <v>1</v>
      </c>
      <c r="W1304" t="s">
        <v>24</v>
      </c>
      <c r="X1304" t="s">
        <v>1200</v>
      </c>
      <c r="Y1304" t="s">
        <v>1201</v>
      </c>
      <c r="Z1304" t="s">
        <v>11</v>
      </c>
      <c r="AA1304">
        <v>62371</v>
      </c>
      <c r="AB1304">
        <v>18508884</v>
      </c>
      <c r="AC1304">
        <v>0</v>
      </c>
      <c r="AD1304" s="8"/>
    </row>
    <row r="1305" spans="1:30" x14ac:dyDescent="0.3">
      <c r="A1305" t="s">
        <v>1627</v>
      </c>
      <c r="B1305">
        <v>1364738</v>
      </c>
      <c r="D1305" t="s">
        <v>7</v>
      </c>
      <c r="E1305">
        <v>945930</v>
      </c>
      <c r="F1305">
        <v>9015884123</v>
      </c>
      <c r="G1305">
        <v>181</v>
      </c>
      <c r="H1305" t="s">
        <v>1545</v>
      </c>
      <c r="I1305">
        <v>0</v>
      </c>
      <c r="J1305" t="s">
        <v>1546</v>
      </c>
      <c r="K1305" t="s">
        <v>8</v>
      </c>
      <c r="L1305" t="s">
        <v>67</v>
      </c>
      <c r="M1305" t="s">
        <v>9</v>
      </c>
      <c r="N1305" t="s">
        <v>14</v>
      </c>
      <c r="O1305" s="2">
        <v>1336291.53</v>
      </c>
      <c r="P1305" s="3">
        <v>9381.9969999999994</v>
      </c>
      <c r="Q1305" s="1">
        <v>46033</v>
      </c>
      <c r="R1305" s="1">
        <v>45992</v>
      </c>
      <c r="S1305" s="1">
        <v>46022</v>
      </c>
      <c r="V1305" s="8">
        <v>1</v>
      </c>
      <c r="W1305" t="s">
        <v>24</v>
      </c>
      <c r="X1305" t="s">
        <v>1547</v>
      </c>
      <c r="Y1305" t="s">
        <v>10</v>
      </c>
      <c r="Z1305" t="s">
        <v>11</v>
      </c>
      <c r="AA1305">
        <v>62371</v>
      </c>
      <c r="AB1305">
        <v>19385333</v>
      </c>
      <c r="AC1305">
        <v>0</v>
      </c>
      <c r="AD1305" s="8"/>
    </row>
    <row r="1306" spans="1:30" x14ac:dyDescent="0.3">
      <c r="A1306" t="s">
        <v>1627</v>
      </c>
      <c r="B1306">
        <v>1356147</v>
      </c>
      <c r="D1306" t="s">
        <v>7</v>
      </c>
      <c r="E1306">
        <v>945444</v>
      </c>
      <c r="F1306">
        <v>9015884123</v>
      </c>
      <c r="G1306">
        <v>126</v>
      </c>
      <c r="H1306" t="s">
        <v>799</v>
      </c>
      <c r="I1306">
        <v>0</v>
      </c>
      <c r="J1306" t="s">
        <v>800</v>
      </c>
      <c r="K1306" t="s">
        <v>8</v>
      </c>
      <c r="L1306" t="s">
        <v>18</v>
      </c>
      <c r="M1306" t="s">
        <v>9</v>
      </c>
      <c r="N1306" t="s">
        <v>14</v>
      </c>
      <c r="O1306" s="2">
        <v>3.26</v>
      </c>
      <c r="P1306" s="3">
        <v>0</v>
      </c>
      <c r="Q1306" s="1">
        <v>46033</v>
      </c>
      <c r="R1306" s="1">
        <v>45992</v>
      </c>
      <c r="S1306" s="1">
        <v>46022</v>
      </c>
      <c r="V1306" s="8">
        <v>2</v>
      </c>
      <c r="W1306" t="s">
        <v>24</v>
      </c>
      <c r="X1306" t="s">
        <v>801</v>
      </c>
      <c r="Y1306" t="s">
        <v>10</v>
      </c>
      <c r="Z1306" t="s">
        <v>11</v>
      </c>
      <c r="AA1306">
        <v>62371</v>
      </c>
      <c r="AB1306">
        <v>17523610</v>
      </c>
      <c r="AC1306">
        <v>1</v>
      </c>
      <c r="AD1306" s="8"/>
    </row>
    <row r="1307" spans="1:30" x14ac:dyDescent="0.3">
      <c r="A1307" t="s">
        <v>1627</v>
      </c>
      <c r="B1307">
        <v>1359833</v>
      </c>
      <c r="D1307" t="s">
        <v>7</v>
      </c>
      <c r="E1307">
        <v>945475</v>
      </c>
      <c r="F1307">
        <v>9015884123</v>
      </c>
      <c r="G1307">
        <v>137</v>
      </c>
      <c r="H1307" t="s">
        <v>232</v>
      </c>
      <c r="I1307">
        <v>0</v>
      </c>
      <c r="J1307" t="s">
        <v>233</v>
      </c>
      <c r="K1307" t="s">
        <v>8</v>
      </c>
      <c r="L1307" t="s">
        <v>15</v>
      </c>
      <c r="M1307" t="s">
        <v>9</v>
      </c>
      <c r="N1307" t="s">
        <v>14</v>
      </c>
      <c r="O1307" s="2">
        <v>0</v>
      </c>
      <c r="P1307" s="3">
        <v>233.767</v>
      </c>
      <c r="Q1307" s="1">
        <v>46033</v>
      </c>
      <c r="R1307" s="1">
        <v>45992</v>
      </c>
      <c r="S1307" s="1">
        <v>46022</v>
      </c>
      <c r="V1307" s="8">
        <v>1</v>
      </c>
      <c r="W1307" t="s">
        <v>24</v>
      </c>
      <c r="X1307" t="s">
        <v>234</v>
      </c>
      <c r="Y1307" t="s">
        <v>10</v>
      </c>
      <c r="Z1307" t="s">
        <v>11</v>
      </c>
      <c r="AA1307">
        <v>62371</v>
      </c>
      <c r="AB1307">
        <v>21334311</v>
      </c>
      <c r="AC1307">
        <v>1</v>
      </c>
      <c r="AD1307" s="8"/>
    </row>
    <row r="1308" spans="1:30" x14ac:dyDescent="0.3">
      <c r="A1308" t="s">
        <v>1627</v>
      </c>
      <c r="B1308">
        <v>1364799</v>
      </c>
      <c r="D1308" t="s">
        <v>7</v>
      </c>
      <c r="E1308">
        <v>945932</v>
      </c>
      <c r="F1308">
        <v>9015884123</v>
      </c>
      <c r="G1308">
        <v>183</v>
      </c>
      <c r="H1308" t="s">
        <v>314</v>
      </c>
      <c r="I1308">
        <v>0</v>
      </c>
      <c r="J1308" t="s">
        <v>315</v>
      </c>
      <c r="K1308" t="s">
        <v>8</v>
      </c>
      <c r="L1308" t="s">
        <v>67</v>
      </c>
      <c r="M1308" t="s">
        <v>9</v>
      </c>
      <c r="N1308" t="s">
        <v>14</v>
      </c>
      <c r="O1308" s="2">
        <v>281049.11</v>
      </c>
      <c r="P1308" s="3">
        <v>2602.4090000000001</v>
      </c>
      <c r="Q1308" s="1">
        <v>46033</v>
      </c>
      <c r="R1308" s="1">
        <v>45992</v>
      </c>
      <c r="S1308" s="1">
        <v>46022</v>
      </c>
      <c r="V1308" s="8">
        <v>1</v>
      </c>
      <c r="W1308" t="s">
        <v>24</v>
      </c>
      <c r="X1308" t="s">
        <v>316</v>
      </c>
      <c r="Y1308" t="s">
        <v>10</v>
      </c>
      <c r="Z1308" t="s">
        <v>11</v>
      </c>
      <c r="AA1308">
        <v>62371</v>
      </c>
      <c r="AB1308">
        <v>19756562</v>
      </c>
      <c r="AC1308">
        <v>1</v>
      </c>
      <c r="AD1308" s="8"/>
    </row>
    <row r="1309" spans="1:30" x14ac:dyDescent="0.3">
      <c r="A1309" t="s">
        <v>1627</v>
      </c>
      <c r="B1309">
        <v>1364799</v>
      </c>
      <c r="D1309" t="s">
        <v>7</v>
      </c>
      <c r="E1309">
        <v>945932</v>
      </c>
      <c r="F1309">
        <v>9015884123</v>
      </c>
      <c r="G1309">
        <v>183</v>
      </c>
      <c r="H1309" t="s">
        <v>314</v>
      </c>
      <c r="I1309">
        <v>0</v>
      </c>
      <c r="J1309" t="s">
        <v>315</v>
      </c>
      <c r="K1309" t="s">
        <v>8</v>
      </c>
      <c r="L1309" t="s">
        <v>18</v>
      </c>
      <c r="M1309" t="s">
        <v>9</v>
      </c>
      <c r="N1309" t="s">
        <v>14</v>
      </c>
      <c r="O1309" s="2">
        <v>2.73</v>
      </c>
      <c r="P1309" s="3">
        <v>0</v>
      </c>
      <c r="Q1309" s="1">
        <v>46033</v>
      </c>
      <c r="R1309" s="1">
        <v>45992</v>
      </c>
      <c r="S1309" s="1">
        <v>46022</v>
      </c>
      <c r="V1309" s="8">
        <v>1</v>
      </c>
      <c r="W1309" t="s">
        <v>24</v>
      </c>
      <c r="X1309" t="s">
        <v>316</v>
      </c>
      <c r="Y1309" t="s">
        <v>10</v>
      </c>
      <c r="Z1309" t="s">
        <v>11</v>
      </c>
      <c r="AA1309">
        <v>62371</v>
      </c>
      <c r="AB1309">
        <v>19756562</v>
      </c>
      <c r="AC1309">
        <v>1</v>
      </c>
      <c r="AD1309" s="8"/>
    </row>
    <row r="1310" spans="1:30" x14ac:dyDescent="0.3">
      <c r="A1310" t="s">
        <v>1627</v>
      </c>
      <c r="B1310">
        <v>1364865</v>
      </c>
      <c r="D1310" t="s">
        <v>7</v>
      </c>
      <c r="E1310">
        <v>945934</v>
      </c>
      <c r="F1310">
        <v>9015884123</v>
      </c>
      <c r="G1310">
        <v>185</v>
      </c>
      <c r="H1310" t="s">
        <v>327</v>
      </c>
      <c r="I1310">
        <v>0</v>
      </c>
      <c r="J1310" t="s">
        <v>328</v>
      </c>
      <c r="K1310" t="s">
        <v>8</v>
      </c>
      <c r="L1310" t="s">
        <v>19</v>
      </c>
      <c r="M1310" t="s">
        <v>9</v>
      </c>
      <c r="N1310" t="s">
        <v>14</v>
      </c>
      <c r="O1310" s="2">
        <v>640.20000000000005</v>
      </c>
      <c r="P1310" s="3">
        <v>3.24</v>
      </c>
      <c r="Q1310" s="1">
        <v>46033</v>
      </c>
      <c r="R1310" s="1">
        <v>45992</v>
      </c>
      <c r="S1310" s="1">
        <v>46022</v>
      </c>
      <c r="V1310" s="8">
        <v>1</v>
      </c>
      <c r="W1310" t="s">
        <v>24</v>
      </c>
      <c r="X1310" t="s">
        <v>329</v>
      </c>
      <c r="Y1310" t="s">
        <v>10</v>
      </c>
      <c r="Z1310" t="s">
        <v>11</v>
      </c>
      <c r="AA1310">
        <v>62371</v>
      </c>
      <c r="AB1310">
        <v>17031126</v>
      </c>
      <c r="AC1310">
        <v>0</v>
      </c>
      <c r="AD1310" s="8"/>
    </row>
    <row r="1311" spans="1:30" x14ac:dyDescent="0.3">
      <c r="A1311" t="s">
        <v>1627</v>
      </c>
      <c r="B1311">
        <v>1320924</v>
      </c>
      <c r="D1311" t="s">
        <v>7</v>
      </c>
      <c r="E1311">
        <v>945188</v>
      </c>
      <c r="F1311">
        <v>9015884123</v>
      </c>
      <c r="G1311">
        <v>46</v>
      </c>
      <c r="H1311" t="s">
        <v>868</v>
      </c>
      <c r="I1311">
        <v>0</v>
      </c>
      <c r="J1311" t="s">
        <v>869</v>
      </c>
      <c r="K1311" t="s">
        <v>8</v>
      </c>
      <c r="L1311" t="s">
        <v>15</v>
      </c>
      <c r="M1311" t="s">
        <v>9</v>
      </c>
      <c r="N1311" t="s">
        <v>14</v>
      </c>
      <c r="O1311" s="2">
        <v>0</v>
      </c>
      <c r="P1311" s="3">
        <v>5094.3469999999998</v>
      </c>
      <c r="Q1311" s="1">
        <v>46033</v>
      </c>
      <c r="R1311" s="1">
        <v>45992</v>
      </c>
      <c r="S1311" s="1">
        <v>46022</v>
      </c>
      <c r="V1311" s="8">
        <v>1</v>
      </c>
      <c r="W1311" t="s">
        <v>24</v>
      </c>
      <c r="X1311" t="s">
        <v>870</v>
      </c>
      <c r="Y1311" t="s">
        <v>39</v>
      </c>
      <c r="Z1311" t="s">
        <v>11</v>
      </c>
      <c r="AA1311">
        <v>62371</v>
      </c>
      <c r="AB1311">
        <v>17913520</v>
      </c>
      <c r="AC1311">
        <v>0</v>
      </c>
      <c r="AD1311" s="8"/>
    </row>
    <row r="1312" spans="1:30" x14ac:dyDescent="0.3">
      <c r="A1312" t="s">
        <v>1627</v>
      </c>
      <c r="B1312">
        <v>1420049</v>
      </c>
      <c r="D1312" t="s">
        <v>7</v>
      </c>
      <c r="E1312">
        <v>946668</v>
      </c>
      <c r="F1312">
        <v>9015884123</v>
      </c>
      <c r="G1312">
        <v>458</v>
      </c>
      <c r="H1312" t="s">
        <v>343</v>
      </c>
      <c r="I1312">
        <v>0</v>
      </c>
      <c r="J1312" t="s">
        <v>344</v>
      </c>
      <c r="K1312" t="s">
        <v>8</v>
      </c>
      <c r="L1312" t="s">
        <v>15</v>
      </c>
      <c r="M1312" t="s">
        <v>9</v>
      </c>
      <c r="N1312" t="s">
        <v>14</v>
      </c>
      <c r="O1312" s="2">
        <v>0</v>
      </c>
      <c r="P1312" s="3">
        <v>1402.845</v>
      </c>
      <c r="Q1312" s="1">
        <v>46033</v>
      </c>
      <c r="R1312" s="1">
        <v>45992</v>
      </c>
      <c r="S1312" s="1">
        <v>46022</v>
      </c>
      <c r="V1312" s="8">
        <v>1</v>
      </c>
      <c r="W1312" t="s">
        <v>24</v>
      </c>
      <c r="X1312" t="s">
        <v>345</v>
      </c>
      <c r="Y1312" t="s">
        <v>41</v>
      </c>
      <c r="Z1312" t="s">
        <v>11</v>
      </c>
      <c r="AA1312">
        <v>62371</v>
      </c>
      <c r="AB1312">
        <v>17723762</v>
      </c>
      <c r="AC1312">
        <v>0</v>
      </c>
      <c r="AD1312" s="8"/>
    </row>
    <row r="1313" spans="1:30" x14ac:dyDescent="0.3">
      <c r="A1313" t="s">
        <v>1627</v>
      </c>
      <c r="B1313">
        <v>1408500</v>
      </c>
      <c r="D1313" t="s">
        <v>7</v>
      </c>
      <c r="E1313">
        <v>946332</v>
      </c>
      <c r="F1313">
        <v>9015884123</v>
      </c>
      <c r="G1313">
        <v>339</v>
      </c>
      <c r="H1313" t="s">
        <v>862</v>
      </c>
      <c r="I1313">
        <v>0</v>
      </c>
      <c r="J1313" t="s">
        <v>863</v>
      </c>
      <c r="K1313" t="s">
        <v>8</v>
      </c>
      <c r="L1313" t="s">
        <v>67</v>
      </c>
      <c r="M1313" t="s">
        <v>9</v>
      </c>
      <c r="N1313" t="s">
        <v>14</v>
      </c>
      <c r="O1313" s="2">
        <v>419793.37</v>
      </c>
      <c r="P1313" s="3">
        <v>2947.3359999999998</v>
      </c>
      <c r="Q1313" s="1">
        <v>46033</v>
      </c>
      <c r="R1313" s="1">
        <v>45992</v>
      </c>
      <c r="S1313" s="1">
        <v>46022</v>
      </c>
      <c r="V1313" s="8">
        <v>1</v>
      </c>
      <c r="W1313" t="s">
        <v>24</v>
      </c>
      <c r="X1313" t="s">
        <v>864</v>
      </c>
      <c r="Y1313" t="s">
        <v>41</v>
      </c>
      <c r="Z1313" t="s">
        <v>11</v>
      </c>
      <c r="AA1313">
        <v>62371</v>
      </c>
      <c r="AB1313">
        <v>17708078</v>
      </c>
      <c r="AC1313">
        <v>0</v>
      </c>
      <c r="AD1313" s="8"/>
    </row>
    <row r="1314" spans="1:30" x14ac:dyDescent="0.3">
      <c r="A1314" t="s">
        <v>1627</v>
      </c>
      <c r="B1314">
        <v>1413684</v>
      </c>
      <c r="D1314" t="s">
        <v>7</v>
      </c>
      <c r="E1314">
        <v>946576</v>
      </c>
      <c r="F1314">
        <v>9015884123</v>
      </c>
      <c r="G1314">
        <v>428</v>
      </c>
      <c r="H1314" t="s">
        <v>1409</v>
      </c>
      <c r="I1314">
        <v>0</v>
      </c>
      <c r="J1314" t="s">
        <v>1410</v>
      </c>
      <c r="K1314" t="s">
        <v>8</v>
      </c>
      <c r="L1314" t="s">
        <v>67</v>
      </c>
      <c r="M1314" t="s">
        <v>9</v>
      </c>
      <c r="N1314" t="s">
        <v>14</v>
      </c>
      <c r="O1314" s="2">
        <v>309686.02</v>
      </c>
      <c r="P1314" s="3">
        <v>2174.2809999999999</v>
      </c>
      <c r="Q1314" s="1">
        <v>46033</v>
      </c>
      <c r="R1314" s="1">
        <v>45992</v>
      </c>
      <c r="S1314" s="1">
        <v>46022</v>
      </c>
      <c r="V1314" s="8">
        <v>1</v>
      </c>
      <c r="W1314" t="s">
        <v>24</v>
      </c>
      <c r="X1314" t="s">
        <v>1411</v>
      </c>
      <c r="Y1314" t="s">
        <v>56</v>
      </c>
      <c r="Z1314" t="s">
        <v>11</v>
      </c>
      <c r="AA1314">
        <v>62371</v>
      </c>
      <c r="AB1314">
        <v>21385425</v>
      </c>
      <c r="AC1314">
        <v>0</v>
      </c>
      <c r="AD1314" s="8"/>
    </row>
    <row r="1315" spans="1:30" x14ac:dyDescent="0.3">
      <c r="A1315" t="s">
        <v>1627</v>
      </c>
      <c r="B1315">
        <v>1408948</v>
      </c>
      <c r="D1315" t="s">
        <v>7</v>
      </c>
      <c r="E1315">
        <v>946355</v>
      </c>
      <c r="F1315">
        <v>9015884123</v>
      </c>
      <c r="G1315">
        <v>350</v>
      </c>
      <c r="H1315" t="s">
        <v>238</v>
      </c>
      <c r="I1315">
        <v>0</v>
      </c>
      <c r="J1315" t="s">
        <v>239</v>
      </c>
      <c r="K1315" t="s">
        <v>8</v>
      </c>
      <c r="L1315" t="s">
        <v>18</v>
      </c>
      <c r="M1315" t="s">
        <v>9</v>
      </c>
      <c r="N1315" t="s">
        <v>14</v>
      </c>
      <c r="O1315" s="2">
        <v>1.03</v>
      </c>
      <c r="P1315" s="3">
        <v>0</v>
      </c>
      <c r="Q1315" s="1">
        <v>46033</v>
      </c>
      <c r="R1315" s="1">
        <v>45992</v>
      </c>
      <c r="S1315" s="1">
        <v>46022</v>
      </c>
      <c r="V1315" s="8">
        <v>1</v>
      </c>
      <c r="W1315" t="s">
        <v>24</v>
      </c>
      <c r="X1315" t="s">
        <v>240</v>
      </c>
      <c r="Y1315" t="s">
        <v>17</v>
      </c>
      <c r="Z1315" t="s">
        <v>11</v>
      </c>
      <c r="AA1315">
        <v>62371</v>
      </c>
      <c r="AB1315">
        <v>19966389</v>
      </c>
      <c r="AC1315">
        <v>1</v>
      </c>
      <c r="AD1315" s="8"/>
    </row>
    <row r="1316" spans="1:30" x14ac:dyDescent="0.3">
      <c r="A1316" t="s">
        <v>1627</v>
      </c>
      <c r="B1316">
        <v>1411964</v>
      </c>
      <c r="D1316" t="s">
        <v>7</v>
      </c>
      <c r="E1316">
        <v>946380</v>
      </c>
      <c r="F1316">
        <v>9015884123</v>
      </c>
      <c r="G1316">
        <v>364</v>
      </c>
      <c r="H1316" t="s">
        <v>244</v>
      </c>
      <c r="I1316">
        <v>0</v>
      </c>
      <c r="J1316" t="s">
        <v>245</v>
      </c>
      <c r="K1316" t="s">
        <v>8</v>
      </c>
      <c r="L1316" t="s">
        <v>18</v>
      </c>
      <c r="M1316" t="s">
        <v>9</v>
      </c>
      <c r="N1316" t="s">
        <v>14</v>
      </c>
      <c r="O1316" s="2">
        <v>-2.74</v>
      </c>
      <c r="P1316" s="3">
        <v>0</v>
      </c>
      <c r="Q1316" s="1">
        <v>46033</v>
      </c>
      <c r="R1316" s="1">
        <v>45992</v>
      </c>
      <c r="S1316" s="1">
        <v>46022</v>
      </c>
      <c r="V1316" s="8">
        <v>1</v>
      </c>
      <c r="W1316" t="s">
        <v>24</v>
      </c>
      <c r="X1316" t="s">
        <v>246</v>
      </c>
      <c r="Y1316" t="s">
        <v>17</v>
      </c>
      <c r="Z1316" t="s">
        <v>11</v>
      </c>
      <c r="AA1316">
        <v>62371</v>
      </c>
      <c r="AB1316">
        <v>19862171</v>
      </c>
      <c r="AC1316">
        <v>1</v>
      </c>
      <c r="AD1316" s="8"/>
    </row>
    <row r="1317" spans="1:30" x14ac:dyDescent="0.3">
      <c r="A1317" t="s">
        <v>1627</v>
      </c>
      <c r="B1317">
        <v>1415117</v>
      </c>
      <c r="D1317" t="s">
        <v>7</v>
      </c>
      <c r="E1317">
        <v>946496</v>
      </c>
      <c r="F1317">
        <v>9015884123</v>
      </c>
      <c r="G1317">
        <v>403</v>
      </c>
      <c r="H1317" t="s">
        <v>247</v>
      </c>
      <c r="I1317">
        <v>0</v>
      </c>
      <c r="J1317" t="s">
        <v>248</v>
      </c>
      <c r="K1317" t="s">
        <v>8</v>
      </c>
      <c r="L1317" t="s">
        <v>67</v>
      </c>
      <c r="M1317" t="s">
        <v>9</v>
      </c>
      <c r="N1317" t="s">
        <v>14</v>
      </c>
      <c r="O1317" s="2">
        <v>186800.43</v>
      </c>
      <c r="P1317" s="3">
        <v>1311.511</v>
      </c>
      <c r="Q1317" s="1">
        <v>46033</v>
      </c>
      <c r="R1317" s="1">
        <v>45992</v>
      </c>
      <c r="S1317" s="1">
        <v>46022</v>
      </c>
      <c r="V1317" s="8">
        <v>1</v>
      </c>
      <c r="W1317" t="s">
        <v>24</v>
      </c>
      <c r="X1317" t="s">
        <v>249</v>
      </c>
      <c r="Y1317" t="s">
        <v>20</v>
      </c>
      <c r="Z1317" t="s">
        <v>11</v>
      </c>
      <c r="AA1317">
        <v>62371</v>
      </c>
      <c r="AB1317">
        <v>17929206</v>
      </c>
      <c r="AC1317">
        <v>0</v>
      </c>
      <c r="AD1317" s="8"/>
    </row>
    <row r="1318" spans="1:30" x14ac:dyDescent="0.3">
      <c r="A1318" t="s">
        <v>1627</v>
      </c>
      <c r="B1318">
        <v>1415367</v>
      </c>
      <c r="D1318" t="s">
        <v>7</v>
      </c>
      <c r="E1318">
        <v>946532</v>
      </c>
      <c r="F1318">
        <v>9015884123</v>
      </c>
      <c r="G1318">
        <v>415</v>
      </c>
      <c r="H1318" t="s">
        <v>253</v>
      </c>
      <c r="I1318">
        <v>0</v>
      </c>
      <c r="J1318" t="s">
        <v>254</v>
      </c>
      <c r="K1318" t="s">
        <v>8</v>
      </c>
      <c r="L1318" t="s">
        <v>15</v>
      </c>
      <c r="M1318" t="s">
        <v>9</v>
      </c>
      <c r="N1318" t="s">
        <v>14</v>
      </c>
      <c r="O1318" s="2">
        <v>0</v>
      </c>
      <c r="P1318" s="3">
        <v>768.87599999999998</v>
      </c>
      <c r="Q1318" s="1">
        <v>46033</v>
      </c>
      <c r="R1318" s="1">
        <v>45992</v>
      </c>
      <c r="S1318" s="1">
        <v>46022</v>
      </c>
      <c r="V1318" s="8">
        <v>1</v>
      </c>
      <c r="W1318" t="s">
        <v>24</v>
      </c>
      <c r="X1318" t="s">
        <v>255</v>
      </c>
      <c r="Y1318" t="s">
        <v>17</v>
      </c>
      <c r="Z1318" t="s">
        <v>11</v>
      </c>
      <c r="AA1318">
        <v>62371</v>
      </c>
      <c r="AB1318">
        <v>18360148</v>
      </c>
      <c r="AC1318">
        <v>1</v>
      </c>
      <c r="AD1318" s="8"/>
    </row>
    <row r="1319" spans="1:30" x14ac:dyDescent="0.3">
      <c r="A1319" t="s">
        <v>1627</v>
      </c>
      <c r="B1319">
        <v>1415364</v>
      </c>
      <c r="D1319" t="s">
        <v>7</v>
      </c>
      <c r="E1319">
        <v>946553</v>
      </c>
      <c r="F1319">
        <v>9015884123</v>
      </c>
      <c r="G1319">
        <v>421</v>
      </c>
      <c r="H1319" t="s">
        <v>1403</v>
      </c>
      <c r="I1319">
        <v>0</v>
      </c>
      <c r="J1319" t="s">
        <v>1404</v>
      </c>
      <c r="K1319" t="s">
        <v>8</v>
      </c>
      <c r="L1319" t="s">
        <v>67</v>
      </c>
      <c r="M1319" t="s">
        <v>9</v>
      </c>
      <c r="N1319" t="s">
        <v>14</v>
      </c>
      <c r="O1319" s="2">
        <v>1329067.42</v>
      </c>
      <c r="P1319" s="3">
        <v>16175.768</v>
      </c>
      <c r="Q1319" s="1">
        <v>46033</v>
      </c>
      <c r="R1319" s="1">
        <v>45992</v>
      </c>
      <c r="S1319" s="1">
        <v>46022</v>
      </c>
      <c r="V1319" s="8">
        <v>2</v>
      </c>
      <c r="W1319" t="s">
        <v>24</v>
      </c>
      <c r="X1319" t="s">
        <v>1405</v>
      </c>
      <c r="Y1319" t="s">
        <v>17</v>
      </c>
      <c r="Z1319" t="s">
        <v>11</v>
      </c>
      <c r="AA1319">
        <v>62371</v>
      </c>
      <c r="AB1319">
        <v>19570725</v>
      </c>
      <c r="AC1319">
        <v>1</v>
      </c>
      <c r="AD1319" s="8"/>
    </row>
    <row r="1320" spans="1:30" x14ac:dyDescent="0.3">
      <c r="A1320" t="s">
        <v>1627</v>
      </c>
      <c r="B1320">
        <v>1417662</v>
      </c>
      <c r="D1320" t="s">
        <v>7</v>
      </c>
      <c r="E1320">
        <v>946597</v>
      </c>
      <c r="F1320">
        <v>9015884123</v>
      </c>
      <c r="G1320">
        <v>434</v>
      </c>
      <c r="H1320" t="s">
        <v>274</v>
      </c>
      <c r="I1320">
        <v>0</v>
      </c>
      <c r="J1320" t="s">
        <v>275</v>
      </c>
      <c r="K1320" t="s">
        <v>8</v>
      </c>
      <c r="L1320" t="s">
        <v>18</v>
      </c>
      <c r="M1320" t="s">
        <v>9</v>
      </c>
      <c r="N1320" t="s">
        <v>14</v>
      </c>
      <c r="O1320" s="2">
        <v>7.0000000000000007E-2</v>
      </c>
      <c r="P1320" s="3">
        <v>0</v>
      </c>
      <c r="Q1320" s="1">
        <v>46033</v>
      </c>
      <c r="R1320" s="1">
        <v>45992</v>
      </c>
      <c r="S1320" s="1">
        <v>46022</v>
      </c>
      <c r="V1320" s="8">
        <v>1</v>
      </c>
      <c r="W1320" t="s">
        <v>24</v>
      </c>
      <c r="X1320" t="s">
        <v>276</v>
      </c>
      <c r="Y1320" t="s">
        <v>17</v>
      </c>
      <c r="Z1320" t="s">
        <v>11</v>
      </c>
      <c r="AA1320">
        <v>62371</v>
      </c>
      <c r="AB1320">
        <v>17751495</v>
      </c>
      <c r="AC1320">
        <v>0</v>
      </c>
      <c r="AD1320" s="8"/>
    </row>
    <row r="1321" spans="1:30" x14ac:dyDescent="0.3">
      <c r="A1321" t="s">
        <v>1627</v>
      </c>
      <c r="B1321">
        <v>1379402</v>
      </c>
      <c r="D1321" t="s">
        <v>7</v>
      </c>
      <c r="E1321">
        <v>945971</v>
      </c>
      <c r="F1321">
        <v>9015884123</v>
      </c>
      <c r="G1321">
        <v>204</v>
      </c>
      <c r="H1321" t="s">
        <v>1211</v>
      </c>
      <c r="I1321">
        <v>0</v>
      </c>
      <c r="J1321" t="s">
        <v>1212</v>
      </c>
      <c r="K1321" t="s">
        <v>8</v>
      </c>
      <c r="L1321" t="s">
        <v>67</v>
      </c>
      <c r="M1321" t="s">
        <v>9</v>
      </c>
      <c r="N1321" t="s">
        <v>14</v>
      </c>
      <c r="O1321" s="2">
        <v>457458.37</v>
      </c>
      <c r="P1321" s="3">
        <v>3211.779</v>
      </c>
      <c r="Q1321" s="1">
        <v>46033</v>
      </c>
      <c r="R1321" s="1">
        <v>45992</v>
      </c>
      <c r="S1321" s="1">
        <v>46022</v>
      </c>
      <c r="V1321" s="8">
        <v>1</v>
      </c>
      <c r="W1321" t="s">
        <v>24</v>
      </c>
      <c r="X1321" t="s">
        <v>1213</v>
      </c>
      <c r="Y1321" t="s">
        <v>10</v>
      </c>
      <c r="Z1321" t="s">
        <v>11</v>
      </c>
      <c r="AA1321">
        <v>62371</v>
      </c>
      <c r="AB1321">
        <v>21177723</v>
      </c>
      <c r="AC1321">
        <v>0</v>
      </c>
      <c r="AD1321" s="8"/>
    </row>
    <row r="1322" spans="1:30" x14ac:dyDescent="0.3">
      <c r="A1322" t="s">
        <v>1627</v>
      </c>
      <c r="B1322">
        <v>1383128</v>
      </c>
      <c r="D1322" t="s">
        <v>7</v>
      </c>
      <c r="E1322">
        <v>946019</v>
      </c>
      <c r="F1322">
        <v>9015884123</v>
      </c>
      <c r="G1322">
        <v>227</v>
      </c>
      <c r="H1322" t="s">
        <v>1217</v>
      </c>
      <c r="I1322">
        <v>0</v>
      </c>
      <c r="J1322" t="s">
        <v>1218</v>
      </c>
      <c r="K1322" t="s">
        <v>8</v>
      </c>
      <c r="L1322" t="s">
        <v>18</v>
      </c>
      <c r="M1322" t="s">
        <v>9</v>
      </c>
      <c r="N1322" t="s">
        <v>14</v>
      </c>
      <c r="O1322" s="2">
        <v>-3.26</v>
      </c>
      <c r="P1322" s="3">
        <v>0</v>
      </c>
      <c r="Q1322" s="1">
        <v>46033</v>
      </c>
      <c r="R1322" s="1">
        <v>45992</v>
      </c>
      <c r="S1322" s="1">
        <v>46022</v>
      </c>
      <c r="V1322" s="8">
        <v>1</v>
      </c>
      <c r="W1322" t="s">
        <v>24</v>
      </c>
      <c r="X1322" t="s">
        <v>1219</v>
      </c>
      <c r="Y1322" t="s">
        <v>10</v>
      </c>
      <c r="Z1322" t="s">
        <v>11</v>
      </c>
      <c r="AA1322">
        <v>62371</v>
      </c>
      <c r="AB1322">
        <v>18799272</v>
      </c>
      <c r="AC1322">
        <v>1</v>
      </c>
      <c r="AD1322" s="8"/>
    </row>
    <row r="1323" spans="1:30" x14ac:dyDescent="0.3">
      <c r="A1323" t="s">
        <v>1627</v>
      </c>
      <c r="B1323">
        <v>1444625</v>
      </c>
      <c r="D1323" t="s">
        <v>7</v>
      </c>
      <c r="E1323">
        <v>946871</v>
      </c>
      <c r="F1323">
        <v>9015884123</v>
      </c>
      <c r="G1323">
        <v>523</v>
      </c>
      <c r="H1323" t="s">
        <v>826</v>
      </c>
      <c r="I1323">
        <v>0</v>
      </c>
      <c r="J1323" t="s">
        <v>827</v>
      </c>
      <c r="K1323" t="s">
        <v>8</v>
      </c>
      <c r="L1323" t="s">
        <v>19</v>
      </c>
      <c r="M1323" t="s">
        <v>9</v>
      </c>
      <c r="N1323" t="s">
        <v>14</v>
      </c>
      <c r="O1323" s="2">
        <v>181701.66</v>
      </c>
      <c r="P1323" s="3">
        <v>1113.6679999999999</v>
      </c>
      <c r="Q1323" s="1">
        <v>46033</v>
      </c>
      <c r="R1323" s="1">
        <v>45992</v>
      </c>
      <c r="S1323" s="1">
        <v>46022</v>
      </c>
      <c r="V1323" s="8">
        <v>1</v>
      </c>
      <c r="W1323" t="s">
        <v>24</v>
      </c>
      <c r="X1323" t="s">
        <v>828</v>
      </c>
      <c r="Y1323" t="s">
        <v>17</v>
      </c>
      <c r="Z1323" t="s">
        <v>11</v>
      </c>
      <c r="AA1323">
        <v>62371</v>
      </c>
      <c r="AB1323">
        <v>19847786</v>
      </c>
      <c r="AC1323">
        <v>1</v>
      </c>
      <c r="AD1323" s="8"/>
    </row>
    <row r="1324" spans="1:30" x14ac:dyDescent="0.3">
      <c r="A1324" t="s">
        <v>1627</v>
      </c>
      <c r="B1324">
        <v>1448586</v>
      </c>
      <c r="D1324" t="s">
        <v>7</v>
      </c>
      <c r="E1324">
        <v>949190</v>
      </c>
      <c r="F1324">
        <v>9015884123</v>
      </c>
      <c r="G1324">
        <v>536</v>
      </c>
      <c r="H1324" t="s">
        <v>1192</v>
      </c>
      <c r="I1324">
        <v>0</v>
      </c>
      <c r="J1324" t="s">
        <v>1193</v>
      </c>
      <c r="K1324" t="s">
        <v>8</v>
      </c>
      <c r="L1324" t="s">
        <v>15</v>
      </c>
      <c r="M1324" t="s">
        <v>9</v>
      </c>
      <c r="N1324" t="s">
        <v>14</v>
      </c>
      <c r="O1324" s="2">
        <v>0</v>
      </c>
      <c r="P1324" s="3">
        <v>31721.773000000001</v>
      </c>
      <c r="Q1324" s="1">
        <v>46035</v>
      </c>
      <c r="R1324" s="1">
        <v>45995</v>
      </c>
      <c r="S1324" s="1">
        <v>46022</v>
      </c>
      <c r="V1324" s="8">
        <v>2</v>
      </c>
      <c r="W1324" t="s">
        <v>24</v>
      </c>
      <c r="X1324" t="s">
        <v>1194</v>
      </c>
      <c r="Y1324" t="s">
        <v>17</v>
      </c>
      <c r="Z1324" t="s">
        <v>11</v>
      </c>
      <c r="AA1324">
        <v>62371</v>
      </c>
      <c r="AB1324">
        <v>21418922</v>
      </c>
      <c r="AC1324">
        <v>1</v>
      </c>
      <c r="AD1324" s="8"/>
    </row>
    <row r="1325" spans="1:30" x14ac:dyDescent="0.3">
      <c r="A1325" t="s">
        <v>1627</v>
      </c>
      <c r="B1325">
        <v>1303907</v>
      </c>
      <c r="D1325" t="s">
        <v>7</v>
      </c>
      <c r="E1325">
        <v>945160</v>
      </c>
      <c r="F1325">
        <v>9015884123</v>
      </c>
      <c r="G1325">
        <v>32</v>
      </c>
      <c r="H1325" t="s">
        <v>286</v>
      </c>
      <c r="I1325">
        <v>0</v>
      </c>
      <c r="J1325" t="s">
        <v>287</v>
      </c>
      <c r="K1325" t="s">
        <v>8</v>
      </c>
      <c r="L1325" t="s">
        <v>67</v>
      </c>
      <c r="M1325" t="s">
        <v>9</v>
      </c>
      <c r="N1325" t="s">
        <v>14</v>
      </c>
      <c r="O1325" s="2">
        <v>330590.21999999997</v>
      </c>
      <c r="P1325" s="3">
        <v>3061.1410000000001</v>
      </c>
      <c r="Q1325" s="1">
        <v>46033</v>
      </c>
      <c r="R1325" s="1">
        <v>45992</v>
      </c>
      <c r="S1325" s="1">
        <v>46022</v>
      </c>
      <c r="V1325" s="8">
        <v>1</v>
      </c>
      <c r="W1325" t="s">
        <v>24</v>
      </c>
      <c r="X1325" t="s">
        <v>288</v>
      </c>
      <c r="Y1325" t="s">
        <v>17</v>
      </c>
      <c r="Z1325" t="s">
        <v>11</v>
      </c>
      <c r="AA1325">
        <v>62371</v>
      </c>
      <c r="AB1325">
        <v>19971596</v>
      </c>
      <c r="AC1325">
        <v>1</v>
      </c>
      <c r="AD1325" s="8"/>
    </row>
    <row r="1326" spans="1:30" x14ac:dyDescent="0.3">
      <c r="A1326" t="s">
        <v>1627</v>
      </c>
      <c r="B1326">
        <v>1363529</v>
      </c>
      <c r="D1326" t="s">
        <v>7</v>
      </c>
      <c r="E1326">
        <v>945916</v>
      </c>
      <c r="F1326">
        <v>9015884123</v>
      </c>
      <c r="G1326">
        <v>167</v>
      </c>
      <c r="H1326" t="s">
        <v>297</v>
      </c>
      <c r="I1326">
        <v>0</v>
      </c>
      <c r="J1326" t="s">
        <v>298</v>
      </c>
      <c r="K1326" t="s">
        <v>8</v>
      </c>
      <c r="L1326" t="s">
        <v>67</v>
      </c>
      <c r="M1326" t="s">
        <v>9</v>
      </c>
      <c r="N1326" t="s">
        <v>14</v>
      </c>
      <c r="O1326" s="2">
        <v>1016081.54</v>
      </c>
      <c r="P1326" s="3">
        <v>7133.8280000000004</v>
      </c>
      <c r="Q1326" s="1">
        <v>46033</v>
      </c>
      <c r="R1326" s="1">
        <v>45992</v>
      </c>
      <c r="S1326" s="1">
        <v>46022</v>
      </c>
      <c r="V1326" s="8">
        <v>1</v>
      </c>
      <c r="W1326" t="s">
        <v>24</v>
      </c>
      <c r="X1326" t="s">
        <v>299</v>
      </c>
      <c r="Y1326" t="s">
        <v>10</v>
      </c>
      <c r="Z1326" t="s">
        <v>11</v>
      </c>
      <c r="AA1326">
        <v>62371</v>
      </c>
      <c r="AB1326">
        <v>18644325</v>
      </c>
      <c r="AC1326">
        <v>0</v>
      </c>
      <c r="AD1326" s="8"/>
    </row>
    <row r="1327" spans="1:30" x14ac:dyDescent="0.3">
      <c r="A1327" t="s">
        <v>1627</v>
      </c>
      <c r="B1327">
        <v>1363536</v>
      </c>
      <c r="D1327" t="s">
        <v>7</v>
      </c>
      <c r="E1327">
        <v>945920</v>
      </c>
      <c r="F1327">
        <v>9015884123</v>
      </c>
      <c r="G1327">
        <v>171</v>
      </c>
      <c r="H1327" t="s">
        <v>1600</v>
      </c>
      <c r="I1327">
        <v>0</v>
      </c>
      <c r="J1327" t="s">
        <v>1601</v>
      </c>
      <c r="K1327" t="s">
        <v>8</v>
      </c>
      <c r="L1327" t="s">
        <v>15</v>
      </c>
      <c r="M1327" t="s">
        <v>9</v>
      </c>
      <c r="N1327" t="s">
        <v>14</v>
      </c>
      <c r="O1327" s="2">
        <v>0</v>
      </c>
      <c r="P1327" s="3">
        <v>4115.22</v>
      </c>
      <c r="Q1327" s="1">
        <v>46033</v>
      </c>
      <c r="R1327" s="1">
        <v>45992</v>
      </c>
      <c r="S1327" s="1">
        <v>46022</v>
      </c>
      <c r="V1327" s="8">
        <v>1</v>
      </c>
      <c r="W1327" t="s">
        <v>24</v>
      </c>
      <c r="X1327" t="s">
        <v>1602</v>
      </c>
      <c r="Y1327" t="s">
        <v>10</v>
      </c>
      <c r="Z1327" t="s">
        <v>11</v>
      </c>
      <c r="AA1327">
        <v>62371</v>
      </c>
      <c r="AB1327">
        <v>18160219</v>
      </c>
      <c r="AC1327">
        <v>1</v>
      </c>
      <c r="AD1327" s="8"/>
    </row>
    <row r="1328" spans="1:30" x14ac:dyDescent="0.3">
      <c r="A1328" t="s">
        <v>1627</v>
      </c>
      <c r="B1328">
        <v>1363536</v>
      </c>
      <c r="D1328" t="s">
        <v>7</v>
      </c>
      <c r="E1328">
        <v>945920</v>
      </c>
      <c r="F1328">
        <v>9015884123</v>
      </c>
      <c r="G1328">
        <v>171</v>
      </c>
      <c r="H1328" t="s">
        <v>1600</v>
      </c>
      <c r="I1328">
        <v>0</v>
      </c>
      <c r="J1328" t="s">
        <v>1601</v>
      </c>
      <c r="K1328" t="s">
        <v>8</v>
      </c>
      <c r="L1328" t="s">
        <v>18</v>
      </c>
      <c r="M1328" t="s">
        <v>9</v>
      </c>
      <c r="N1328" t="s">
        <v>14</v>
      </c>
      <c r="O1328" s="2">
        <v>-1.89</v>
      </c>
      <c r="P1328" s="3">
        <v>0</v>
      </c>
      <c r="Q1328" s="1">
        <v>46033</v>
      </c>
      <c r="R1328" s="1">
        <v>45992</v>
      </c>
      <c r="S1328" s="1">
        <v>46022</v>
      </c>
      <c r="V1328" s="8">
        <v>1</v>
      </c>
      <c r="W1328" t="s">
        <v>24</v>
      </c>
      <c r="X1328" t="s">
        <v>1602</v>
      </c>
      <c r="Y1328" t="s">
        <v>10</v>
      </c>
      <c r="Z1328" t="s">
        <v>11</v>
      </c>
      <c r="AA1328">
        <v>62371</v>
      </c>
      <c r="AB1328">
        <v>18160219</v>
      </c>
      <c r="AC1328">
        <v>1</v>
      </c>
      <c r="AD1328" s="8"/>
    </row>
    <row r="1329" spans="1:30" x14ac:dyDescent="0.3">
      <c r="A1329" t="s">
        <v>1627</v>
      </c>
      <c r="B1329">
        <v>1364799</v>
      </c>
      <c r="D1329" t="s">
        <v>7</v>
      </c>
      <c r="E1329">
        <v>945932</v>
      </c>
      <c r="F1329">
        <v>9015884123</v>
      </c>
      <c r="G1329">
        <v>183</v>
      </c>
      <c r="H1329" t="s">
        <v>314</v>
      </c>
      <c r="I1329">
        <v>0</v>
      </c>
      <c r="J1329" t="s">
        <v>315</v>
      </c>
      <c r="K1329" t="s">
        <v>8</v>
      </c>
      <c r="L1329" t="s">
        <v>19</v>
      </c>
      <c r="M1329" t="s">
        <v>9</v>
      </c>
      <c r="N1329" t="s">
        <v>14</v>
      </c>
      <c r="O1329" s="2">
        <v>9938.16</v>
      </c>
      <c r="P1329" s="3">
        <v>60.911999999999999</v>
      </c>
      <c r="Q1329" s="1">
        <v>46033</v>
      </c>
      <c r="R1329" s="1">
        <v>45992</v>
      </c>
      <c r="S1329" s="1">
        <v>46022</v>
      </c>
      <c r="V1329" s="8">
        <v>1</v>
      </c>
      <c r="W1329" t="s">
        <v>24</v>
      </c>
      <c r="X1329" t="s">
        <v>316</v>
      </c>
      <c r="Y1329" t="s">
        <v>10</v>
      </c>
      <c r="Z1329" t="s">
        <v>11</v>
      </c>
      <c r="AA1329">
        <v>62371</v>
      </c>
      <c r="AB1329">
        <v>19756562</v>
      </c>
      <c r="AC1329">
        <v>1</v>
      </c>
      <c r="AD1329" s="8"/>
    </row>
    <row r="1330" spans="1:30" x14ac:dyDescent="0.3">
      <c r="A1330" t="s">
        <v>1627</v>
      </c>
      <c r="B1330">
        <v>1376593</v>
      </c>
      <c r="D1330" t="s">
        <v>7</v>
      </c>
      <c r="E1330">
        <v>945938</v>
      </c>
      <c r="F1330">
        <v>9015884123</v>
      </c>
      <c r="G1330">
        <v>187</v>
      </c>
      <c r="H1330" t="s">
        <v>855</v>
      </c>
      <c r="I1330">
        <v>0</v>
      </c>
      <c r="J1330" t="s">
        <v>856</v>
      </c>
      <c r="K1330" t="s">
        <v>8</v>
      </c>
      <c r="L1330" t="s">
        <v>18</v>
      </c>
      <c r="M1330" t="s">
        <v>9</v>
      </c>
      <c r="N1330" t="s">
        <v>14</v>
      </c>
      <c r="O1330" s="2">
        <v>1.88</v>
      </c>
      <c r="P1330" s="3">
        <v>0</v>
      </c>
      <c r="Q1330" s="1">
        <v>46033</v>
      </c>
      <c r="R1330" s="1">
        <v>45992</v>
      </c>
      <c r="S1330" s="1">
        <v>46022</v>
      </c>
      <c r="V1330" s="8">
        <v>2</v>
      </c>
      <c r="W1330" t="s">
        <v>24</v>
      </c>
      <c r="X1330" t="s">
        <v>857</v>
      </c>
      <c r="Y1330" t="s">
        <v>10</v>
      </c>
      <c r="Z1330" t="s">
        <v>11</v>
      </c>
      <c r="AA1330">
        <v>62371</v>
      </c>
      <c r="AB1330">
        <v>19812239</v>
      </c>
      <c r="AC1330">
        <v>1</v>
      </c>
      <c r="AD1330" s="8"/>
    </row>
    <row r="1331" spans="1:30" x14ac:dyDescent="0.3">
      <c r="A1331" t="s">
        <v>1627</v>
      </c>
      <c r="B1331">
        <v>1377789</v>
      </c>
      <c r="D1331" t="s">
        <v>7</v>
      </c>
      <c r="E1331">
        <v>945954</v>
      </c>
      <c r="F1331">
        <v>9015884123</v>
      </c>
      <c r="G1331">
        <v>195</v>
      </c>
      <c r="H1331" t="s">
        <v>1406</v>
      </c>
      <c r="I1331">
        <v>0</v>
      </c>
      <c r="J1331" t="s">
        <v>1407</v>
      </c>
      <c r="K1331" t="s">
        <v>8</v>
      </c>
      <c r="L1331" t="s">
        <v>19</v>
      </c>
      <c r="M1331" t="s">
        <v>9</v>
      </c>
      <c r="N1331" t="s">
        <v>14</v>
      </c>
      <c r="O1331" s="2">
        <v>5554.65</v>
      </c>
      <c r="P1331" s="3">
        <v>34.045000000000002</v>
      </c>
      <c r="Q1331" s="1">
        <v>46033</v>
      </c>
      <c r="R1331" s="1">
        <v>45992</v>
      </c>
      <c r="S1331" s="1">
        <v>46022</v>
      </c>
      <c r="V1331" s="8">
        <v>1</v>
      </c>
      <c r="W1331" t="s">
        <v>24</v>
      </c>
      <c r="X1331" t="s">
        <v>1408</v>
      </c>
      <c r="Y1331" t="s">
        <v>10</v>
      </c>
      <c r="Z1331" t="s">
        <v>11</v>
      </c>
      <c r="AA1331">
        <v>62371</v>
      </c>
      <c r="AB1331">
        <v>17031125</v>
      </c>
      <c r="AC1331">
        <v>1</v>
      </c>
      <c r="AD1331" s="8"/>
    </row>
    <row r="1332" spans="1:30" x14ac:dyDescent="0.3">
      <c r="A1332" t="s">
        <v>1627</v>
      </c>
      <c r="B1332">
        <v>1377789</v>
      </c>
      <c r="D1332" t="s">
        <v>7</v>
      </c>
      <c r="E1332">
        <v>945954</v>
      </c>
      <c r="F1332">
        <v>9015884123</v>
      </c>
      <c r="G1332">
        <v>195</v>
      </c>
      <c r="H1332" t="s">
        <v>1406</v>
      </c>
      <c r="I1332">
        <v>0</v>
      </c>
      <c r="J1332" t="s">
        <v>1407</v>
      </c>
      <c r="K1332" t="s">
        <v>8</v>
      </c>
      <c r="L1332" t="s">
        <v>18</v>
      </c>
      <c r="M1332" t="s">
        <v>9</v>
      </c>
      <c r="N1332" t="s">
        <v>14</v>
      </c>
      <c r="O1332" s="2">
        <v>-0.79</v>
      </c>
      <c r="P1332" s="3">
        <v>0</v>
      </c>
      <c r="Q1332" s="1">
        <v>46033</v>
      </c>
      <c r="R1332" s="1">
        <v>45992</v>
      </c>
      <c r="S1332" s="1">
        <v>46022</v>
      </c>
      <c r="V1332" s="8">
        <v>1</v>
      </c>
      <c r="W1332" t="s">
        <v>24</v>
      </c>
      <c r="X1332" t="s">
        <v>1408</v>
      </c>
      <c r="Y1332" t="s">
        <v>10</v>
      </c>
      <c r="Z1332" t="s">
        <v>11</v>
      </c>
      <c r="AA1332">
        <v>62371</v>
      </c>
      <c r="AB1332">
        <v>17031125</v>
      </c>
      <c r="AC1332">
        <v>1</v>
      </c>
      <c r="AD1332" s="8"/>
    </row>
    <row r="1333" spans="1:30" x14ac:dyDescent="0.3">
      <c r="A1333" t="s">
        <v>1627</v>
      </c>
      <c r="B1333">
        <v>1415558</v>
      </c>
      <c r="D1333" t="s">
        <v>7</v>
      </c>
      <c r="E1333">
        <v>946503</v>
      </c>
      <c r="F1333">
        <v>9015884123</v>
      </c>
      <c r="G1333">
        <v>406</v>
      </c>
      <c r="H1333" t="s">
        <v>1422</v>
      </c>
      <c r="I1333">
        <v>0</v>
      </c>
      <c r="J1333" t="s">
        <v>1423</v>
      </c>
      <c r="K1333" t="s">
        <v>8</v>
      </c>
      <c r="L1333" t="s">
        <v>18</v>
      </c>
      <c r="M1333" t="s">
        <v>9</v>
      </c>
      <c r="N1333" t="s">
        <v>14</v>
      </c>
      <c r="O1333" s="2">
        <v>1.36</v>
      </c>
      <c r="P1333" s="3">
        <v>0</v>
      </c>
      <c r="Q1333" s="1">
        <v>46033</v>
      </c>
      <c r="R1333" s="1">
        <v>45992</v>
      </c>
      <c r="S1333" s="1">
        <v>46022</v>
      </c>
      <c r="V1333" s="8">
        <v>1</v>
      </c>
      <c r="W1333" t="s">
        <v>24</v>
      </c>
      <c r="X1333" t="s">
        <v>1424</v>
      </c>
      <c r="Y1333" t="s">
        <v>45</v>
      </c>
      <c r="Z1333" t="s">
        <v>11</v>
      </c>
      <c r="AA1333">
        <v>62371</v>
      </c>
      <c r="AB1333">
        <v>18410124</v>
      </c>
      <c r="AC1333">
        <v>0</v>
      </c>
      <c r="AD1333" s="8"/>
    </row>
    <row r="1334" spans="1:30" x14ac:dyDescent="0.3">
      <c r="A1334" t="s">
        <v>1627</v>
      </c>
      <c r="B1334">
        <v>1395783</v>
      </c>
      <c r="D1334" t="s">
        <v>7</v>
      </c>
      <c r="E1334">
        <v>946058</v>
      </c>
      <c r="F1334">
        <v>9015884123</v>
      </c>
      <c r="G1334">
        <v>240</v>
      </c>
      <c r="H1334" t="s">
        <v>373</v>
      </c>
      <c r="I1334">
        <v>0</v>
      </c>
      <c r="J1334" t="s">
        <v>374</v>
      </c>
      <c r="K1334" t="s">
        <v>8</v>
      </c>
      <c r="L1334" t="s">
        <v>15</v>
      </c>
      <c r="M1334" t="s">
        <v>9</v>
      </c>
      <c r="N1334" t="s">
        <v>14</v>
      </c>
      <c r="O1334" s="2">
        <v>0</v>
      </c>
      <c r="P1334" s="3">
        <v>23632.927</v>
      </c>
      <c r="Q1334" s="1">
        <v>46033</v>
      </c>
      <c r="R1334" s="1">
        <v>45992</v>
      </c>
      <c r="S1334" s="1">
        <v>46022</v>
      </c>
      <c r="V1334" s="8">
        <v>1</v>
      </c>
      <c r="W1334" t="s">
        <v>24</v>
      </c>
      <c r="X1334" t="s">
        <v>375</v>
      </c>
      <c r="Y1334" t="s">
        <v>10</v>
      </c>
      <c r="Z1334" t="s">
        <v>11</v>
      </c>
      <c r="AA1334">
        <v>62371</v>
      </c>
      <c r="AB1334">
        <v>19374766</v>
      </c>
      <c r="AC1334">
        <v>1</v>
      </c>
      <c r="AD1334" s="8"/>
    </row>
    <row r="1335" spans="1:30" x14ac:dyDescent="0.3">
      <c r="A1335" t="s">
        <v>1627</v>
      </c>
      <c r="B1335">
        <v>1383092</v>
      </c>
      <c r="D1335" t="s">
        <v>7</v>
      </c>
      <c r="E1335">
        <v>946016</v>
      </c>
      <c r="F1335">
        <v>9015884123</v>
      </c>
      <c r="G1335">
        <v>226</v>
      </c>
      <c r="H1335" t="s">
        <v>1208</v>
      </c>
      <c r="I1335">
        <v>0</v>
      </c>
      <c r="J1335" t="s">
        <v>1209</v>
      </c>
      <c r="K1335" t="s">
        <v>8</v>
      </c>
      <c r="L1335" t="s">
        <v>67</v>
      </c>
      <c r="M1335" t="s">
        <v>9</v>
      </c>
      <c r="N1335" t="s">
        <v>14</v>
      </c>
      <c r="O1335" s="2">
        <v>1114727.49</v>
      </c>
      <c r="P1335" s="3">
        <v>10321.957</v>
      </c>
      <c r="Q1335" s="1">
        <v>46033</v>
      </c>
      <c r="R1335" s="1">
        <v>45992</v>
      </c>
      <c r="S1335" s="1">
        <v>46022</v>
      </c>
      <c r="V1335" s="8">
        <v>1</v>
      </c>
      <c r="W1335" t="s">
        <v>24</v>
      </c>
      <c r="X1335" t="s">
        <v>1210</v>
      </c>
      <c r="Y1335" t="s">
        <v>10</v>
      </c>
      <c r="Z1335" t="s">
        <v>11</v>
      </c>
      <c r="AA1335">
        <v>62371</v>
      </c>
      <c r="AB1335">
        <v>18347149</v>
      </c>
      <c r="AC1335">
        <v>1</v>
      </c>
      <c r="AD1335" s="8"/>
    </row>
    <row r="1336" spans="1:30" x14ac:dyDescent="0.3">
      <c r="A1336" t="s">
        <v>1627</v>
      </c>
      <c r="B1336">
        <v>1383092</v>
      </c>
      <c r="D1336" t="s">
        <v>7</v>
      </c>
      <c r="E1336">
        <v>946016</v>
      </c>
      <c r="F1336">
        <v>9015884123</v>
      </c>
      <c r="G1336">
        <v>226</v>
      </c>
      <c r="H1336" t="s">
        <v>1208</v>
      </c>
      <c r="I1336">
        <v>0</v>
      </c>
      <c r="J1336" t="s">
        <v>1209</v>
      </c>
      <c r="K1336" t="s">
        <v>8</v>
      </c>
      <c r="L1336" t="s">
        <v>18</v>
      </c>
      <c r="M1336" t="s">
        <v>9</v>
      </c>
      <c r="N1336" t="s">
        <v>14</v>
      </c>
      <c r="O1336" s="2">
        <v>2.5099999999999998</v>
      </c>
      <c r="P1336" s="3">
        <v>0</v>
      </c>
      <c r="Q1336" s="1">
        <v>46033</v>
      </c>
      <c r="R1336" s="1">
        <v>45992</v>
      </c>
      <c r="S1336" s="1">
        <v>46022</v>
      </c>
      <c r="V1336" s="8">
        <v>1</v>
      </c>
      <c r="W1336" t="s">
        <v>24</v>
      </c>
      <c r="X1336" t="s">
        <v>1210</v>
      </c>
      <c r="Y1336" t="s">
        <v>10</v>
      </c>
      <c r="Z1336" t="s">
        <v>11</v>
      </c>
      <c r="AA1336">
        <v>62371</v>
      </c>
      <c r="AB1336">
        <v>18347149</v>
      </c>
      <c r="AC1336">
        <v>1</v>
      </c>
      <c r="AD1336" s="8"/>
    </row>
    <row r="1337" spans="1:30" x14ac:dyDescent="0.3">
      <c r="A1337" t="s">
        <v>1627</v>
      </c>
      <c r="B1337">
        <v>1400914</v>
      </c>
      <c r="D1337" t="s">
        <v>7</v>
      </c>
      <c r="E1337">
        <v>946091</v>
      </c>
      <c r="F1337">
        <v>9015884123</v>
      </c>
      <c r="G1337">
        <v>250</v>
      </c>
      <c r="H1337" t="s">
        <v>889</v>
      </c>
      <c r="I1337">
        <v>0</v>
      </c>
      <c r="J1337" t="s">
        <v>890</v>
      </c>
      <c r="K1337" t="s">
        <v>8</v>
      </c>
      <c r="L1337" t="s">
        <v>15</v>
      </c>
      <c r="M1337" t="s">
        <v>9</v>
      </c>
      <c r="N1337" t="s">
        <v>14</v>
      </c>
      <c r="O1337" s="2">
        <v>0</v>
      </c>
      <c r="P1337" s="3">
        <v>55124.517</v>
      </c>
      <c r="Q1337" s="1">
        <v>46033</v>
      </c>
      <c r="R1337" s="1">
        <v>45992</v>
      </c>
      <c r="S1337" s="1">
        <v>46022</v>
      </c>
      <c r="V1337" s="8">
        <v>2</v>
      </c>
      <c r="W1337" t="s">
        <v>24</v>
      </c>
      <c r="X1337" t="s">
        <v>891</v>
      </c>
      <c r="Y1337" t="s">
        <v>10</v>
      </c>
      <c r="Z1337" t="s">
        <v>11</v>
      </c>
      <c r="AA1337">
        <v>62371</v>
      </c>
      <c r="AB1337">
        <v>17184893</v>
      </c>
      <c r="AC1337">
        <v>1</v>
      </c>
      <c r="AD1337" s="8"/>
    </row>
    <row r="1338" spans="1:30" x14ac:dyDescent="0.3">
      <c r="A1338" t="s">
        <v>1627</v>
      </c>
      <c r="B1338">
        <v>1379412</v>
      </c>
      <c r="D1338" t="s">
        <v>7</v>
      </c>
      <c r="E1338">
        <v>945980</v>
      </c>
      <c r="F1338">
        <v>9015884123</v>
      </c>
      <c r="G1338">
        <v>209</v>
      </c>
      <c r="H1338" t="s">
        <v>354</v>
      </c>
      <c r="I1338">
        <v>0</v>
      </c>
      <c r="J1338" t="s">
        <v>355</v>
      </c>
      <c r="K1338" t="s">
        <v>8</v>
      </c>
      <c r="L1338" t="s">
        <v>67</v>
      </c>
      <c r="M1338" t="s">
        <v>9</v>
      </c>
      <c r="N1338" t="s">
        <v>14</v>
      </c>
      <c r="O1338" s="2">
        <v>192880.84</v>
      </c>
      <c r="P1338" s="3">
        <v>1786.0039999999999</v>
      </c>
      <c r="Q1338" s="1">
        <v>46033</v>
      </c>
      <c r="R1338" s="1">
        <v>45992</v>
      </c>
      <c r="S1338" s="1">
        <v>46022</v>
      </c>
      <c r="V1338" s="8">
        <v>1</v>
      </c>
      <c r="W1338" t="s">
        <v>24</v>
      </c>
      <c r="X1338" t="s">
        <v>356</v>
      </c>
      <c r="Y1338" t="s">
        <v>10</v>
      </c>
      <c r="Z1338" t="s">
        <v>11</v>
      </c>
      <c r="AA1338">
        <v>62371</v>
      </c>
      <c r="AB1338">
        <v>21376636</v>
      </c>
      <c r="AC1338">
        <v>1</v>
      </c>
      <c r="AD1338" s="8"/>
    </row>
    <row r="1339" spans="1:30" x14ac:dyDescent="0.3">
      <c r="A1339" t="s">
        <v>1627</v>
      </c>
      <c r="B1339">
        <v>1383086</v>
      </c>
      <c r="D1339" t="s">
        <v>7</v>
      </c>
      <c r="E1339">
        <v>946008</v>
      </c>
      <c r="F1339">
        <v>9015884123</v>
      </c>
      <c r="G1339">
        <v>221</v>
      </c>
      <c r="H1339" t="s">
        <v>883</v>
      </c>
      <c r="I1339">
        <v>0</v>
      </c>
      <c r="J1339" t="s">
        <v>884</v>
      </c>
      <c r="K1339" t="s">
        <v>8</v>
      </c>
      <c r="L1339" t="s">
        <v>19</v>
      </c>
      <c r="M1339" t="s">
        <v>9</v>
      </c>
      <c r="N1339" t="s">
        <v>14</v>
      </c>
      <c r="O1339" s="2">
        <v>4.54</v>
      </c>
      <c r="P1339" s="3">
        <v>2.3E-2</v>
      </c>
      <c r="Q1339" s="1">
        <v>46033</v>
      </c>
      <c r="R1339" s="1">
        <v>45992</v>
      </c>
      <c r="S1339" s="1">
        <v>46022</v>
      </c>
      <c r="V1339" s="8">
        <v>1</v>
      </c>
      <c r="W1339" t="s">
        <v>24</v>
      </c>
      <c r="X1339" t="s">
        <v>885</v>
      </c>
      <c r="Y1339" t="s">
        <v>10</v>
      </c>
      <c r="Z1339" t="s">
        <v>11</v>
      </c>
      <c r="AA1339">
        <v>62371</v>
      </c>
      <c r="AB1339">
        <v>19669186</v>
      </c>
      <c r="AC1339">
        <v>0</v>
      </c>
      <c r="AD1339" s="8"/>
    </row>
    <row r="1340" spans="1:30" x14ac:dyDescent="0.3">
      <c r="A1340" t="s">
        <v>1627</v>
      </c>
      <c r="B1340">
        <v>1383087</v>
      </c>
      <c r="D1340" t="s">
        <v>7</v>
      </c>
      <c r="E1340">
        <v>946010</v>
      </c>
      <c r="F1340">
        <v>9015884123</v>
      </c>
      <c r="G1340">
        <v>222</v>
      </c>
      <c r="H1340" t="s">
        <v>1555</v>
      </c>
      <c r="I1340">
        <v>0</v>
      </c>
      <c r="J1340" t="s">
        <v>1556</v>
      </c>
      <c r="K1340" t="s">
        <v>8</v>
      </c>
      <c r="L1340" t="s">
        <v>19</v>
      </c>
      <c r="M1340" t="s">
        <v>9</v>
      </c>
      <c r="N1340" t="s">
        <v>14</v>
      </c>
      <c r="O1340" s="2">
        <v>24.5</v>
      </c>
      <c r="P1340" s="3">
        <v>0.124</v>
      </c>
      <c r="Q1340" s="1">
        <v>46033</v>
      </c>
      <c r="R1340" s="1">
        <v>45992</v>
      </c>
      <c r="S1340" s="1">
        <v>46022</v>
      </c>
      <c r="V1340" s="8">
        <v>1</v>
      </c>
      <c r="W1340" t="s">
        <v>24</v>
      </c>
      <c r="X1340" t="s">
        <v>1557</v>
      </c>
      <c r="Y1340" t="s">
        <v>10</v>
      </c>
      <c r="Z1340" t="s">
        <v>11</v>
      </c>
      <c r="AA1340">
        <v>62371</v>
      </c>
      <c r="AB1340">
        <v>18805630</v>
      </c>
      <c r="AC1340">
        <v>0</v>
      </c>
      <c r="AD1340" s="8"/>
    </row>
    <row r="1341" spans="1:30" x14ac:dyDescent="0.3">
      <c r="A1341" t="s">
        <v>1627</v>
      </c>
      <c r="B1341">
        <v>1403658</v>
      </c>
      <c r="D1341" t="s">
        <v>7</v>
      </c>
      <c r="E1341">
        <v>946133</v>
      </c>
      <c r="F1341">
        <v>9015884123</v>
      </c>
      <c r="G1341">
        <v>264</v>
      </c>
      <c r="H1341" t="s">
        <v>406</v>
      </c>
      <c r="I1341">
        <v>0</v>
      </c>
      <c r="J1341" t="s">
        <v>407</v>
      </c>
      <c r="K1341" t="s">
        <v>8</v>
      </c>
      <c r="L1341" t="s">
        <v>15</v>
      </c>
      <c r="M1341" t="s">
        <v>9</v>
      </c>
      <c r="N1341" t="s">
        <v>14</v>
      </c>
      <c r="O1341" s="2">
        <v>0</v>
      </c>
      <c r="P1341" s="3">
        <v>6407.8320000000003</v>
      </c>
      <c r="Q1341" s="1">
        <v>46033</v>
      </c>
      <c r="R1341" s="1">
        <v>45992</v>
      </c>
      <c r="S1341" s="1">
        <v>46022</v>
      </c>
      <c r="V1341" s="8">
        <v>2</v>
      </c>
      <c r="W1341" t="s">
        <v>24</v>
      </c>
      <c r="X1341" t="s">
        <v>408</v>
      </c>
      <c r="Y1341" t="s">
        <v>10</v>
      </c>
      <c r="Z1341" t="s">
        <v>11</v>
      </c>
      <c r="AA1341">
        <v>62371</v>
      </c>
      <c r="AB1341">
        <v>17187469</v>
      </c>
      <c r="AC1341">
        <v>1</v>
      </c>
      <c r="AD1341" s="8"/>
    </row>
    <row r="1342" spans="1:30" x14ac:dyDescent="0.3">
      <c r="A1342" t="s">
        <v>1627</v>
      </c>
      <c r="B1342">
        <v>1403729</v>
      </c>
      <c r="D1342" t="s">
        <v>7</v>
      </c>
      <c r="E1342">
        <v>946162</v>
      </c>
      <c r="F1342">
        <v>9015884123</v>
      </c>
      <c r="G1342">
        <v>272</v>
      </c>
      <c r="H1342" t="s">
        <v>1434</v>
      </c>
      <c r="I1342">
        <v>0</v>
      </c>
      <c r="J1342" t="s">
        <v>1435</v>
      </c>
      <c r="K1342" t="s">
        <v>8</v>
      </c>
      <c r="L1342" t="s">
        <v>18</v>
      </c>
      <c r="M1342" t="s">
        <v>9</v>
      </c>
      <c r="N1342" t="s">
        <v>14</v>
      </c>
      <c r="O1342" s="2">
        <v>-1.66</v>
      </c>
      <c r="P1342" s="3">
        <v>0</v>
      </c>
      <c r="Q1342" s="1">
        <v>46033</v>
      </c>
      <c r="R1342" s="1">
        <v>45992</v>
      </c>
      <c r="S1342" s="1">
        <v>46022</v>
      </c>
      <c r="V1342" s="8">
        <v>1</v>
      </c>
      <c r="W1342" t="s">
        <v>24</v>
      </c>
      <c r="X1342" t="s">
        <v>1436</v>
      </c>
      <c r="Y1342" t="s">
        <v>10</v>
      </c>
      <c r="Z1342" t="s">
        <v>11</v>
      </c>
      <c r="AA1342">
        <v>62371</v>
      </c>
      <c r="AB1342">
        <v>17033700</v>
      </c>
      <c r="AC1342">
        <v>0</v>
      </c>
      <c r="AD1342" s="8"/>
    </row>
    <row r="1343" spans="1:30" x14ac:dyDescent="0.3">
      <c r="A1343" t="s">
        <v>1627</v>
      </c>
      <c r="B1343">
        <v>1405499</v>
      </c>
      <c r="D1343" t="s">
        <v>7</v>
      </c>
      <c r="E1343">
        <v>946267</v>
      </c>
      <c r="F1343">
        <v>9015884123</v>
      </c>
      <c r="G1343">
        <v>308</v>
      </c>
      <c r="H1343" t="s">
        <v>1241</v>
      </c>
      <c r="I1343">
        <v>0</v>
      </c>
      <c r="J1343" t="s">
        <v>1242</v>
      </c>
      <c r="K1343" t="s">
        <v>8</v>
      </c>
      <c r="L1343" t="s">
        <v>18</v>
      </c>
      <c r="M1343" t="s">
        <v>9</v>
      </c>
      <c r="N1343" t="s">
        <v>14</v>
      </c>
      <c r="O1343" s="2">
        <v>0.34</v>
      </c>
      <c r="P1343" s="3">
        <v>0</v>
      </c>
      <c r="Q1343" s="1">
        <v>46033</v>
      </c>
      <c r="R1343" s="1">
        <v>45992</v>
      </c>
      <c r="S1343" s="1">
        <v>46022</v>
      </c>
      <c r="V1343" s="8">
        <v>1</v>
      </c>
      <c r="W1343" t="s">
        <v>24</v>
      </c>
      <c r="X1343" t="s">
        <v>1243</v>
      </c>
      <c r="Y1343" t="s">
        <v>10</v>
      </c>
      <c r="Z1343" t="s">
        <v>11</v>
      </c>
      <c r="AA1343">
        <v>62371</v>
      </c>
      <c r="AB1343">
        <v>19402887</v>
      </c>
      <c r="AC1343">
        <v>0</v>
      </c>
      <c r="AD1343" s="8"/>
    </row>
    <row r="1344" spans="1:30" x14ac:dyDescent="0.3">
      <c r="A1344" t="s">
        <v>1627</v>
      </c>
      <c r="B1344">
        <v>1384494</v>
      </c>
      <c r="D1344" t="s">
        <v>7</v>
      </c>
      <c r="E1344">
        <v>946035</v>
      </c>
      <c r="F1344">
        <v>9015884123</v>
      </c>
      <c r="G1344">
        <v>232</v>
      </c>
      <c r="H1344" t="s">
        <v>1603</v>
      </c>
      <c r="I1344">
        <v>0</v>
      </c>
      <c r="J1344" t="s">
        <v>1604</v>
      </c>
      <c r="K1344" t="s">
        <v>8</v>
      </c>
      <c r="L1344" t="s">
        <v>67</v>
      </c>
      <c r="M1344" t="s">
        <v>9</v>
      </c>
      <c r="N1344" t="s">
        <v>14</v>
      </c>
      <c r="O1344" s="2">
        <v>1740522.14</v>
      </c>
      <c r="P1344" s="3">
        <v>21183.487000000001</v>
      </c>
      <c r="Q1344" s="1">
        <v>46033</v>
      </c>
      <c r="R1344" s="1">
        <v>45992</v>
      </c>
      <c r="S1344" s="1">
        <v>46022</v>
      </c>
      <c r="V1344" s="8">
        <v>2</v>
      </c>
      <c r="W1344" t="s">
        <v>24</v>
      </c>
      <c r="X1344" t="s">
        <v>1605</v>
      </c>
      <c r="Y1344" t="s">
        <v>10</v>
      </c>
      <c r="Z1344" t="s">
        <v>11</v>
      </c>
      <c r="AA1344">
        <v>62371</v>
      </c>
      <c r="AB1344">
        <v>19315266</v>
      </c>
      <c r="AC1344">
        <v>1</v>
      </c>
      <c r="AD1344" s="8"/>
    </row>
    <row r="1345" spans="1:30" x14ac:dyDescent="0.3">
      <c r="A1345" t="s">
        <v>1627</v>
      </c>
      <c r="B1345">
        <v>1406183</v>
      </c>
      <c r="D1345" t="s">
        <v>7</v>
      </c>
      <c r="E1345">
        <v>946289</v>
      </c>
      <c r="F1345">
        <v>9015884123</v>
      </c>
      <c r="G1345">
        <v>317</v>
      </c>
      <c r="H1345" t="s">
        <v>1606</v>
      </c>
      <c r="I1345">
        <v>0</v>
      </c>
      <c r="J1345" t="s">
        <v>1607</v>
      </c>
      <c r="K1345" t="s">
        <v>8</v>
      </c>
      <c r="L1345" t="s">
        <v>67</v>
      </c>
      <c r="M1345" t="s">
        <v>9</v>
      </c>
      <c r="N1345" t="s">
        <v>14</v>
      </c>
      <c r="O1345" s="2">
        <v>4763997.08</v>
      </c>
      <c r="P1345" s="3">
        <v>44112.82</v>
      </c>
      <c r="Q1345" s="1">
        <v>46033</v>
      </c>
      <c r="R1345" s="1">
        <v>45992</v>
      </c>
      <c r="S1345" s="1">
        <v>46022</v>
      </c>
      <c r="V1345" s="8">
        <v>1</v>
      </c>
      <c r="W1345" t="s">
        <v>24</v>
      </c>
      <c r="X1345" t="s">
        <v>1608</v>
      </c>
      <c r="Y1345" t="s">
        <v>10</v>
      </c>
      <c r="Z1345" t="s">
        <v>11</v>
      </c>
      <c r="AA1345">
        <v>62371</v>
      </c>
      <c r="AB1345">
        <v>20066477</v>
      </c>
      <c r="AC1345">
        <v>1</v>
      </c>
      <c r="AD1345" s="8"/>
    </row>
    <row r="1346" spans="1:30" x14ac:dyDescent="0.3">
      <c r="A1346" t="s">
        <v>1627</v>
      </c>
      <c r="B1346">
        <v>1395801</v>
      </c>
      <c r="D1346" t="s">
        <v>7</v>
      </c>
      <c r="E1346">
        <v>946086</v>
      </c>
      <c r="F1346">
        <v>9015884123</v>
      </c>
      <c r="G1346">
        <v>248</v>
      </c>
      <c r="H1346" t="s">
        <v>376</v>
      </c>
      <c r="I1346">
        <v>0</v>
      </c>
      <c r="J1346" t="s">
        <v>377</v>
      </c>
      <c r="K1346" t="s">
        <v>8</v>
      </c>
      <c r="L1346" t="s">
        <v>67</v>
      </c>
      <c r="M1346" t="s">
        <v>9</v>
      </c>
      <c r="N1346" t="s">
        <v>14</v>
      </c>
      <c r="O1346" s="2">
        <v>280740.67</v>
      </c>
      <c r="P1346" s="3">
        <v>1971.058</v>
      </c>
      <c r="Q1346" s="1">
        <v>46033</v>
      </c>
      <c r="R1346" s="1">
        <v>45992</v>
      </c>
      <c r="S1346" s="1">
        <v>46022</v>
      </c>
      <c r="V1346" s="8">
        <v>1</v>
      </c>
      <c r="W1346" t="s">
        <v>24</v>
      </c>
      <c r="X1346" t="s">
        <v>378</v>
      </c>
      <c r="Y1346" t="s">
        <v>10</v>
      </c>
      <c r="Z1346" t="s">
        <v>11</v>
      </c>
      <c r="AA1346">
        <v>62371</v>
      </c>
      <c r="AB1346">
        <v>19392498</v>
      </c>
      <c r="AC1346">
        <v>0</v>
      </c>
      <c r="AD1346" s="8"/>
    </row>
    <row r="1347" spans="1:30" x14ac:dyDescent="0.3">
      <c r="A1347" t="s">
        <v>1627</v>
      </c>
      <c r="B1347">
        <v>1403649</v>
      </c>
      <c r="D1347" t="s">
        <v>7</v>
      </c>
      <c r="E1347">
        <v>946120</v>
      </c>
      <c r="F1347">
        <v>9015884123</v>
      </c>
      <c r="G1347">
        <v>260</v>
      </c>
      <c r="H1347" t="s">
        <v>1428</v>
      </c>
      <c r="I1347">
        <v>0</v>
      </c>
      <c r="J1347" t="s">
        <v>1429</v>
      </c>
      <c r="K1347" t="s">
        <v>8</v>
      </c>
      <c r="L1347" t="s">
        <v>19</v>
      </c>
      <c r="M1347" t="s">
        <v>9</v>
      </c>
      <c r="N1347" t="s">
        <v>14</v>
      </c>
      <c r="O1347" s="2">
        <v>2773.2</v>
      </c>
      <c r="P1347" s="3">
        <v>14.035</v>
      </c>
      <c r="Q1347" s="1">
        <v>46033</v>
      </c>
      <c r="R1347" s="1">
        <v>45992</v>
      </c>
      <c r="S1347" s="1">
        <v>46022</v>
      </c>
      <c r="V1347" s="8">
        <v>1</v>
      </c>
      <c r="W1347" t="s">
        <v>24</v>
      </c>
      <c r="X1347" t="s">
        <v>1430</v>
      </c>
      <c r="Y1347" t="s">
        <v>10</v>
      </c>
      <c r="Z1347" t="s">
        <v>11</v>
      </c>
      <c r="AA1347">
        <v>62371</v>
      </c>
      <c r="AB1347">
        <v>19394686</v>
      </c>
      <c r="AC1347">
        <v>0</v>
      </c>
      <c r="AD1347" s="8"/>
    </row>
    <row r="1348" spans="1:30" x14ac:dyDescent="0.3">
      <c r="A1348" t="s">
        <v>1627</v>
      </c>
      <c r="B1348">
        <v>1403655</v>
      </c>
      <c r="D1348" t="s">
        <v>7</v>
      </c>
      <c r="E1348">
        <v>946126</v>
      </c>
      <c r="F1348">
        <v>9015884123</v>
      </c>
      <c r="G1348">
        <v>262</v>
      </c>
      <c r="H1348" t="s">
        <v>1232</v>
      </c>
      <c r="I1348">
        <v>0</v>
      </c>
      <c r="J1348" t="s">
        <v>1233</v>
      </c>
      <c r="K1348" t="s">
        <v>8</v>
      </c>
      <c r="L1348" t="s">
        <v>15</v>
      </c>
      <c r="M1348" t="s">
        <v>9</v>
      </c>
      <c r="N1348" t="s">
        <v>14</v>
      </c>
      <c r="O1348" s="2">
        <v>0</v>
      </c>
      <c r="P1348" s="3">
        <v>6543.4040000000005</v>
      </c>
      <c r="Q1348" s="1">
        <v>46033</v>
      </c>
      <c r="R1348" s="1">
        <v>45992</v>
      </c>
      <c r="S1348" s="1">
        <v>46022</v>
      </c>
      <c r="V1348" s="8">
        <v>1</v>
      </c>
      <c r="W1348" t="s">
        <v>24</v>
      </c>
      <c r="X1348" t="s">
        <v>1234</v>
      </c>
      <c r="Y1348" t="s">
        <v>10</v>
      </c>
      <c r="Z1348" t="s">
        <v>11</v>
      </c>
      <c r="AA1348">
        <v>62371</v>
      </c>
      <c r="AB1348">
        <v>18164113</v>
      </c>
      <c r="AC1348">
        <v>1</v>
      </c>
      <c r="AD1348" s="8"/>
    </row>
    <row r="1349" spans="1:30" x14ac:dyDescent="0.3">
      <c r="A1349" t="s">
        <v>1627</v>
      </c>
      <c r="B1349">
        <v>1403655</v>
      </c>
      <c r="D1349" t="s">
        <v>7</v>
      </c>
      <c r="E1349">
        <v>946126</v>
      </c>
      <c r="F1349">
        <v>9015884123</v>
      </c>
      <c r="G1349">
        <v>262</v>
      </c>
      <c r="H1349" t="s">
        <v>1232</v>
      </c>
      <c r="I1349">
        <v>0</v>
      </c>
      <c r="J1349" t="s">
        <v>1233</v>
      </c>
      <c r="K1349" t="s">
        <v>8</v>
      </c>
      <c r="L1349" t="s">
        <v>67</v>
      </c>
      <c r="M1349" t="s">
        <v>9</v>
      </c>
      <c r="N1349" t="s">
        <v>14</v>
      </c>
      <c r="O1349" s="2">
        <v>706659.82</v>
      </c>
      <c r="P1349" s="3">
        <v>6543.4040000000005</v>
      </c>
      <c r="Q1349" s="1">
        <v>46033</v>
      </c>
      <c r="R1349" s="1">
        <v>45992</v>
      </c>
      <c r="S1349" s="1">
        <v>46022</v>
      </c>
      <c r="V1349" s="8">
        <v>1</v>
      </c>
      <c r="W1349" t="s">
        <v>24</v>
      </c>
      <c r="X1349" t="s">
        <v>1234</v>
      </c>
      <c r="Y1349" t="s">
        <v>10</v>
      </c>
      <c r="Z1349" t="s">
        <v>11</v>
      </c>
      <c r="AA1349">
        <v>62371</v>
      </c>
      <c r="AB1349">
        <v>18164113</v>
      </c>
      <c r="AC1349">
        <v>1</v>
      </c>
      <c r="AD1349" s="8"/>
    </row>
    <row r="1350" spans="1:30" x14ac:dyDescent="0.3">
      <c r="A1350" t="s">
        <v>1627</v>
      </c>
      <c r="B1350">
        <v>1405519</v>
      </c>
      <c r="D1350" t="s">
        <v>7</v>
      </c>
      <c r="E1350">
        <v>946274</v>
      </c>
      <c r="F1350">
        <v>9015884123</v>
      </c>
      <c r="G1350">
        <v>310</v>
      </c>
      <c r="H1350" t="s">
        <v>1609</v>
      </c>
      <c r="I1350">
        <v>0</v>
      </c>
      <c r="J1350" t="s">
        <v>1610</v>
      </c>
      <c r="K1350" t="s">
        <v>8</v>
      </c>
      <c r="L1350" t="s">
        <v>67</v>
      </c>
      <c r="M1350" t="s">
        <v>9</v>
      </c>
      <c r="N1350" t="s">
        <v>14</v>
      </c>
      <c r="O1350" s="2">
        <v>447256.29</v>
      </c>
      <c r="P1350" s="3">
        <v>3140.1509999999998</v>
      </c>
      <c r="Q1350" s="1">
        <v>46033</v>
      </c>
      <c r="R1350" s="1">
        <v>45992</v>
      </c>
      <c r="S1350" s="1">
        <v>46022</v>
      </c>
      <c r="V1350" s="8">
        <v>1</v>
      </c>
      <c r="W1350" t="s">
        <v>24</v>
      </c>
      <c r="X1350" t="s">
        <v>1611</v>
      </c>
      <c r="Y1350" t="s">
        <v>10</v>
      </c>
      <c r="Z1350" t="s">
        <v>11</v>
      </c>
      <c r="AA1350">
        <v>62371</v>
      </c>
      <c r="AB1350">
        <v>19276276</v>
      </c>
      <c r="AC1350">
        <v>0</v>
      </c>
      <c r="AD1350" s="8"/>
    </row>
    <row r="1351" spans="1:30" x14ac:dyDescent="0.3">
      <c r="A1351" t="s">
        <v>1627</v>
      </c>
      <c r="B1351">
        <v>1403735</v>
      </c>
      <c r="D1351" t="s">
        <v>7</v>
      </c>
      <c r="E1351">
        <v>946169</v>
      </c>
      <c r="F1351">
        <v>9015884123</v>
      </c>
      <c r="G1351">
        <v>274</v>
      </c>
      <c r="H1351" t="s">
        <v>394</v>
      </c>
      <c r="I1351">
        <v>0</v>
      </c>
      <c r="J1351" t="s">
        <v>395</v>
      </c>
      <c r="K1351" t="s">
        <v>8</v>
      </c>
      <c r="L1351" t="s">
        <v>15</v>
      </c>
      <c r="M1351" t="s">
        <v>9</v>
      </c>
      <c r="N1351" t="s">
        <v>14</v>
      </c>
      <c r="O1351" s="2">
        <v>0</v>
      </c>
      <c r="P1351" s="3">
        <v>2759.4119999999998</v>
      </c>
      <c r="Q1351" s="1">
        <v>46033</v>
      </c>
      <c r="R1351" s="1">
        <v>45992</v>
      </c>
      <c r="S1351" s="1">
        <v>46022</v>
      </c>
      <c r="V1351" s="8">
        <v>1</v>
      </c>
      <c r="W1351" t="s">
        <v>24</v>
      </c>
      <c r="X1351" t="s">
        <v>396</v>
      </c>
      <c r="Y1351" t="s">
        <v>10</v>
      </c>
      <c r="Z1351" t="s">
        <v>11</v>
      </c>
      <c r="AA1351">
        <v>62371</v>
      </c>
      <c r="AB1351">
        <v>19417863</v>
      </c>
      <c r="AC1351">
        <v>1</v>
      </c>
      <c r="AD1351" s="8"/>
    </row>
    <row r="1352" spans="1:30" x14ac:dyDescent="0.3">
      <c r="A1352" t="s">
        <v>1627</v>
      </c>
      <c r="B1352">
        <v>1403809</v>
      </c>
      <c r="D1352" t="s">
        <v>7</v>
      </c>
      <c r="E1352">
        <v>946203</v>
      </c>
      <c r="F1352">
        <v>9015884123</v>
      </c>
      <c r="G1352">
        <v>287</v>
      </c>
      <c r="H1352" t="s">
        <v>403</v>
      </c>
      <c r="I1352">
        <v>0</v>
      </c>
      <c r="J1352" t="s">
        <v>404</v>
      </c>
      <c r="K1352" t="s">
        <v>8</v>
      </c>
      <c r="L1352" t="s">
        <v>18</v>
      </c>
      <c r="M1352" t="s">
        <v>9</v>
      </c>
      <c r="N1352" t="s">
        <v>14</v>
      </c>
      <c r="O1352" s="2">
        <v>-0.46</v>
      </c>
      <c r="P1352" s="3">
        <v>0</v>
      </c>
      <c r="Q1352" s="1">
        <v>46033</v>
      </c>
      <c r="R1352" s="1">
        <v>45992</v>
      </c>
      <c r="S1352" s="1">
        <v>46022</v>
      </c>
      <c r="V1352" s="8">
        <v>1</v>
      </c>
      <c r="W1352" t="s">
        <v>24</v>
      </c>
      <c r="X1352" t="s">
        <v>405</v>
      </c>
      <c r="Y1352" t="s">
        <v>10</v>
      </c>
      <c r="Z1352" t="s">
        <v>11</v>
      </c>
      <c r="AA1352">
        <v>62371</v>
      </c>
      <c r="AB1352">
        <v>18587469</v>
      </c>
      <c r="AC1352">
        <v>0</v>
      </c>
      <c r="AD1352" s="8"/>
    </row>
    <row r="1353" spans="1:30" x14ac:dyDescent="0.3">
      <c r="A1353" t="s">
        <v>1627</v>
      </c>
      <c r="B1353">
        <v>1405493</v>
      </c>
      <c r="D1353" t="s">
        <v>7</v>
      </c>
      <c r="E1353">
        <v>946262</v>
      </c>
      <c r="F1353">
        <v>9015884123</v>
      </c>
      <c r="G1353">
        <v>306</v>
      </c>
      <c r="H1353" t="s">
        <v>1561</v>
      </c>
      <c r="I1353">
        <v>0</v>
      </c>
      <c r="J1353" t="s">
        <v>1562</v>
      </c>
      <c r="K1353" t="s">
        <v>8</v>
      </c>
      <c r="L1353" t="s">
        <v>67</v>
      </c>
      <c r="M1353" t="s">
        <v>9</v>
      </c>
      <c r="N1353" t="s">
        <v>14</v>
      </c>
      <c r="O1353" s="2">
        <v>602849.84</v>
      </c>
      <c r="P1353" s="3">
        <v>4232.5609999999997</v>
      </c>
      <c r="Q1353" s="1">
        <v>46033</v>
      </c>
      <c r="R1353" s="1">
        <v>45992</v>
      </c>
      <c r="S1353" s="1">
        <v>46022</v>
      </c>
      <c r="V1353" s="8">
        <v>1</v>
      </c>
      <c r="W1353" t="s">
        <v>24</v>
      </c>
      <c r="X1353" t="s">
        <v>1563</v>
      </c>
      <c r="Y1353" t="s">
        <v>10</v>
      </c>
      <c r="Z1353" t="s">
        <v>11</v>
      </c>
      <c r="AA1353">
        <v>62371</v>
      </c>
      <c r="AB1353">
        <v>19402782</v>
      </c>
      <c r="AC1353">
        <v>0</v>
      </c>
      <c r="AD1353" s="8"/>
    </row>
    <row r="1354" spans="1:30" x14ac:dyDescent="0.3">
      <c r="A1354" t="s">
        <v>1627</v>
      </c>
      <c r="B1354">
        <v>1405517</v>
      </c>
      <c r="D1354" t="s">
        <v>7</v>
      </c>
      <c r="E1354">
        <v>946270</v>
      </c>
      <c r="F1354">
        <v>9015884123</v>
      </c>
      <c r="G1354">
        <v>309</v>
      </c>
      <c r="H1354" t="s">
        <v>1235</v>
      </c>
      <c r="I1354">
        <v>0</v>
      </c>
      <c r="J1354" t="s">
        <v>1236</v>
      </c>
      <c r="K1354" t="s">
        <v>8</v>
      </c>
      <c r="L1354" t="s">
        <v>15</v>
      </c>
      <c r="M1354" t="s">
        <v>9</v>
      </c>
      <c r="N1354" t="s">
        <v>14</v>
      </c>
      <c r="O1354" s="2">
        <v>0</v>
      </c>
      <c r="P1354" s="3">
        <v>2213.2370000000001</v>
      </c>
      <c r="Q1354" s="1">
        <v>46033</v>
      </c>
      <c r="R1354" s="1">
        <v>45992</v>
      </c>
      <c r="S1354" s="1">
        <v>46022</v>
      </c>
      <c r="V1354" s="8">
        <v>1</v>
      </c>
      <c r="W1354" t="s">
        <v>24</v>
      </c>
      <c r="X1354" t="s">
        <v>1237</v>
      </c>
      <c r="Y1354" t="s">
        <v>10</v>
      </c>
      <c r="Z1354" t="s">
        <v>11</v>
      </c>
      <c r="AA1354">
        <v>62371</v>
      </c>
      <c r="AB1354">
        <v>19402884</v>
      </c>
      <c r="AC1354">
        <v>0</v>
      </c>
      <c r="AD1354" s="8"/>
    </row>
    <row r="1355" spans="1:30" x14ac:dyDescent="0.3">
      <c r="A1355" t="s">
        <v>1627</v>
      </c>
      <c r="B1355">
        <v>1407512</v>
      </c>
      <c r="D1355" t="s">
        <v>7</v>
      </c>
      <c r="E1355">
        <v>946321</v>
      </c>
      <c r="F1355">
        <v>9015884123</v>
      </c>
      <c r="G1355">
        <v>333</v>
      </c>
      <c r="H1355" t="s">
        <v>1262</v>
      </c>
      <c r="I1355">
        <v>0</v>
      </c>
      <c r="J1355" t="s">
        <v>1263</v>
      </c>
      <c r="K1355" t="s">
        <v>8</v>
      </c>
      <c r="L1355" t="s">
        <v>18</v>
      </c>
      <c r="M1355" t="s">
        <v>9</v>
      </c>
      <c r="N1355" t="s">
        <v>14</v>
      </c>
      <c r="O1355" s="2">
        <v>3.25</v>
      </c>
      <c r="P1355" s="3">
        <v>0</v>
      </c>
      <c r="Q1355" s="1">
        <v>46033</v>
      </c>
      <c r="R1355" s="1">
        <v>45992</v>
      </c>
      <c r="S1355" s="1">
        <v>46022</v>
      </c>
      <c r="V1355" s="8">
        <v>1</v>
      </c>
      <c r="W1355" t="s">
        <v>24</v>
      </c>
      <c r="X1355" t="s">
        <v>1264</v>
      </c>
      <c r="Y1355" t="s">
        <v>10</v>
      </c>
      <c r="Z1355" t="s">
        <v>11</v>
      </c>
      <c r="AA1355">
        <v>62371</v>
      </c>
      <c r="AB1355">
        <v>18543225</v>
      </c>
      <c r="AC1355">
        <v>0</v>
      </c>
      <c r="AD1355" s="8"/>
    </row>
    <row r="1356" spans="1:30" x14ac:dyDescent="0.3">
      <c r="A1356" t="s">
        <v>1627</v>
      </c>
      <c r="B1356">
        <v>1406179</v>
      </c>
      <c r="D1356" t="s">
        <v>7</v>
      </c>
      <c r="E1356">
        <v>946287</v>
      </c>
      <c r="F1356">
        <v>9015884123</v>
      </c>
      <c r="G1356">
        <v>316</v>
      </c>
      <c r="H1356" t="s">
        <v>1247</v>
      </c>
      <c r="I1356">
        <v>0</v>
      </c>
      <c r="J1356" t="s">
        <v>1248</v>
      </c>
      <c r="K1356" t="s">
        <v>8</v>
      </c>
      <c r="L1356" t="s">
        <v>67</v>
      </c>
      <c r="M1356" t="s">
        <v>9</v>
      </c>
      <c r="N1356" t="s">
        <v>14</v>
      </c>
      <c r="O1356" s="2">
        <v>1505925.55</v>
      </c>
      <c r="P1356" s="3">
        <v>10572.984</v>
      </c>
      <c r="Q1356" s="1">
        <v>46033</v>
      </c>
      <c r="R1356" s="1">
        <v>45992</v>
      </c>
      <c r="S1356" s="1">
        <v>46022</v>
      </c>
      <c r="V1356" s="8">
        <v>1</v>
      </c>
      <c r="W1356" t="s">
        <v>24</v>
      </c>
      <c r="X1356" t="s">
        <v>1249</v>
      </c>
      <c r="Y1356" t="s">
        <v>10</v>
      </c>
      <c r="Z1356" t="s">
        <v>11</v>
      </c>
      <c r="AA1356">
        <v>62371</v>
      </c>
      <c r="AB1356">
        <v>19395700</v>
      </c>
      <c r="AC1356">
        <v>0</v>
      </c>
      <c r="AD1356" s="8"/>
    </row>
    <row r="1357" spans="1:30" x14ac:dyDescent="0.3">
      <c r="A1357" t="s">
        <v>1627</v>
      </c>
      <c r="B1357">
        <v>1412130</v>
      </c>
      <c r="D1357" t="s">
        <v>7</v>
      </c>
      <c r="E1357">
        <v>946357</v>
      </c>
      <c r="F1357">
        <v>9015884123</v>
      </c>
      <c r="G1357">
        <v>351</v>
      </c>
      <c r="H1357" t="s">
        <v>1440</v>
      </c>
      <c r="I1357">
        <v>0</v>
      </c>
      <c r="J1357" t="s">
        <v>1441</v>
      </c>
      <c r="K1357" t="s">
        <v>8</v>
      </c>
      <c r="L1357" t="s">
        <v>15</v>
      </c>
      <c r="M1357" t="s">
        <v>9</v>
      </c>
      <c r="N1357" t="s">
        <v>14</v>
      </c>
      <c r="O1357" s="2">
        <v>0</v>
      </c>
      <c r="P1357" s="3">
        <v>1592.3879999999999</v>
      </c>
      <c r="Q1357" s="1">
        <v>46033</v>
      </c>
      <c r="R1357" s="1">
        <v>45992</v>
      </c>
      <c r="S1357" s="1">
        <v>46022</v>
      </c>
      <c r="V1357" s="8">
        <v>1</v>
      </c>
      <c r="W1357" t="s">
        <v>24</v>
      </c>
      <c r="X1357" t="s">
        <v>1442</v>
      </c>
      <c r="Y1357" t="s">
        <v>10</v>
      </c>
      <c r="Z1357" t="s">
        <v>11</v>
      </c>
      <c r="AA1357">
        <v>62371</v>
      </c>
      <c r="AB1357">
        <v>18194184</v>
      </c>
      <c r="AC1357">
        <v>0</v>
      </c>
      <c r="AD1357" s="8"/>
    </row>
    <row r="1358" spans="1:30" x14ac:dyDescent="0.3">
      <c r="A1358" t="s">
        <v>1627</v>
      </c>
      <c r="B1358">
        <v>1412140</v>
      </c>
      <c r="D1358" t="s">
        <v>7</v>
      </c>
      <c r="E1358">
        <v>946384</v>
      </c>
      <c r="F1358">
        <v>9015884123</v>
      </c>
      <c r="G1358">
        <v>366</v>
      </c>
      <c r="H1358" t="s">
        <v>1567</v>
      </c>
      <c r="I1358">
        <v>0</v>
      </c>
      <c r="J1358" t="s">
        <v>1568</v>
      </c>
      <c r="K1358" t="s">
        <v>8</v>
      </c>
      <c r="L1358" t="s">
        <v>15</v>
      </c>
      <c r="M1358" t="s">
        <v>9</v>
      </c>
      <c r="N1358" t="s">
        <v>14</v>
      </c>
      <c r="O1358" s="2">
        <v>0</v>
      </c>
      <c r="P1358" s="3">
        <v>2135.7739999999999</v>
      </c>
      <c r="Q1358" s="1">
        <v>46033</v>
      </c>
      <c r="R1358" s="1">
        <v>45992</v>
      </c>
      <c r="S1358" s="1">
        <v>46022</v>
      </c>
      <c r="V1358" s="8">
        <v>1</v>
      </c>
      <c r="W1358" t="s">
        <v>24</v>
      </c>
      <c r="X1358" t="s">
        <v>1569</v>
      </c>
      <c r="Y1358" t="s">
        <v>10</v>
      </c>
      <c r="Z1358" t="s">
        <v>11</v>
      </c>
      <c r="AA1358">
        <v>62371</v>
      </c>
      <c r="AB1358">
        <v>19402878</v>
      </c>
      <c r="AC1358">
        <v>0</v>
      </c>
      <c r="AD1358" s="8"/>
    </row>
    <row r="1359" spans="1:30" x14ac:dyDescent="0.3">
      <c r="A1359" t="s">
        <v>1627</v>
      </c>
      <c r="B1359">
        <v>1412646</v>
      </c>
      <c r="D1359" t="s">
        <v>7</v>
      </c>
      <c r="E1359">
        <v>946405</v>
      </c>
      <c r="F1359">
        <v>9015884123</v>
      </c>
      <c r="G1359">
        <v>375</v>
      </c>
      <c r="H1359" t="s">
        <v>1449</v>
      </c>
      <c r="I1359">
        <v>0</v>
      </c>
      <c r="J1359" t="s">
        <v>1450</v>
      </c>
      <c r="K1359" t="s">
        <v>8</v>
      </c>
      <c r="L1359" t="s">
        <v>15</v>
      </c>
      <c r="M1359" t="s">
        <v>9</v>
      </c>
      <c r="N1359" t="s">
        <v>14</v>
      </c>
      <c r="O1359" s="2">
        <v>0</v>
      </c>
      <c r="P1359" s="3">
        <v>1618.086</v>
      </c>
      <c r="Q1359" s="1">
        <v>46033</v>
      </c>
      <c r="R1359" s="1">
        <v>45992</v>
      </c>
      <c r="S1359" s="1">
        <v>46022</v>
      </c>
      <c r="V1359" s="8">
        <v>1</v>
      </c>
      <c r="W1359" t="s">
        <v>24</v>
      </c>
      <c r="X1359" t="s">
        <v>1451</v>
      </c>
      <c r="Y1359" t="s">
        <v>10</v>
      </c>
      <c r="Z1359" t="s">
        <v>11</v>
      </c>
      <c r="AA1359">
        <v>62371</v>
      </c>
      <c r="AB1359">
        <v>18954063</v>
      </c>
      <c r="AC1359">
        <v>1</v>
      </c>
      <c r="AD1359" s="8"/>
    </row>
    <row r="1360" spans="1:30" x14ac:dyDescent="0.3">
      <c r="A1360" t="s">
        <v>1627</v>
      </c>
      <c r="B1360">
        <v>1412646</v>
      </c>
      <c r="D1360" t="s">
        <v>7</v>
      </c>
      <c r="E1360">
        <v>946405</v>
      </c>
      <c r="F1360">
        <v>9015884123</v>
      </c>
      <c r="G1360">
        <v>375</v>
      </c>
      <c r="H1360" t="s">
        <v>1449</v>
      </c>
      <c r="I1360">
        <v>0</v>
      </c>
      <c r="J1360" t="s">
        <v>1450</v>
      </c>
      <c r="K1360" t="s">
        <v>8</v>
      </c>
      <c r="L1360" t="s">
        <v>67</v>
      </c>
      <c r="M1360" t="s">
        <v>9</v>
      </c>
      <c r="N1360" t="s">
        <v>14</v>
      </c>
      <c r="O1360" s="2">
        <v>174746.41</v>
      </c>
      <c r="P1360" s="3">
        <v>1618.086</v>
      </c>
      <c r="Q1360" s="1">
        <v>46033</v>
      </c>
      <c r="R1360" s="1">
        <v>45992</v>
      </c>
      <c r="S1360" s="1">
        <v>46022</v>
      </c>
      <c r="V1360" s="8">
        <v>1</v>
      </c>
      <c r="W1360" t="s">
        <v>24</v>
      </c>
      <c r="X1360" t="s">
        <v>1451</v>
      </c>
      <c r="Y1360" t="s">
        <v>10</v>
      </c>
      <c r="Z1360" t="s">
        <v>11</v>
      </c>
      <c r="AA1360">
        <v>62371</v>
      </c>
      <c r="AB1360">
        <v>18954063</v>
      </c>
      <c r="AC1360">
        <v>1</v>
      </c>
      <c r="AD1360" s="8"/>
    </row>
    <row r="1361" spans="1:30" x14ac:dyDescent="0.3">
      <c r="A1361" t="s">
        <v>1627</v>
      </c>
      <c r="B1361">
        <v>1415545</v>
      </c>
      <c r="D1361" t="s">
        <v>7</v>
      </c>
      <c r="E1361">
        <v>946446</v>
      </c>
      <c r="F1361">
        <v>9015884123</v>
      </c>
      <c r="G1361">
        <v>388</v>
      </c>
      <c r="H1361" t="s">
        <v>1271</v>
      </c>
      <c r="I1361">
        <v>0</v>
      </c>
      <c r="J1361" t="s">
        <v>1272</v>
      </c>
      <c r="K1361" t="s">
        <v>8</v>
      </c>
      <c r="L1361" t="s">
        <v>19</v>
      </c>
      <c r="M1361" t="s">
        <v>9</v>
      </c>
      <c r="N1361" t="s">
        <v>14</v>
      </c>
      <c r="O1361" s="2">
        <v>197632.41</v>
      </c>
      <c r="P1361" s="3">
        <v>1552.761</v>
      </c>
      <c r="Q1361" s="1">
        <v>46033</v>
      </c>
      <c r="R1361" s="1">
        <v>45992</v>
      </c>
      <c r="S1361" s="1">
        <v>46022</v>
      </c>
      <c r="V1361" s="8">
        <v>2</v>
      </c>
      <c r="W1361" t="s">
        <v>24</v>
      </c>
      <c r="X1361" t="s">
        <v>1273</v>
      </c>
      <c r="Y1361" t="s">
        <v>10</v>
      </c>
      <c r="Z1361" t="s">
        <v>11</v>
      </c>
      <c r="AA1361">
        <v>62371</v>
      </c>
      <c r="AB1361">
        <v>20035766</v>
      </c>
      <c r="AC1361">
        <v>1</v>
      </c>
      <c r="AD1361" s="8"/>
    </row>
    <row r="1362" spans="1:30" x14ac:dyDescent="0.3">
      <c r="A1362" t="s">
        <v>1627</v>
      </c>
      <c r="B1362">
        <v>1415379</v>
      </c>
      <c r="D1362" t="s">
        <v>7</v>
      </c>
      <c r="E1362">
        <v>946452</v>
      </c>
      <c r="F1362">
        <v>9015884123</v>
      </c>
      <c r="G1362">
        <v>390</v>
      </c>
      <c r="H1362" t="s">
        <v>460</v>
      </c>
      <c r="I1362">
        <v>0</v>
      </c>
      <c r="J1362" t="s">
        <v>461</v>
      </c>
      <c r="K1362" t="s">
        <v>8</v>
      </c>
      <c r="L1362" t="s">
        <v>15</v>
      </c>
      <c r="M1362" t="s">
        <v>9</v>
      </c>
      <c r="N1362" t="s">
        <v>14</v>
      </c>
      <c r="O1362" s="2">
        <v>0</v>
      </c>
      <c r="P1362" s="3">
        <v>844.875</v>
      </c>
      <c r="Q1362" s="1">
        <v>46033</v>
      </c>
      <c r="R1362" s="1">
        <v>45992</v>
      </c>
      <c r="S1362" s="1">
        <v>46022</v>
      </c>
      <c r="V1362" s="8">
        <v>1</v>
      </c>
      <c r="W1362" t="s">
        <v>24</v>
      </c>
      <c r="X1362" t="s">
        <v>462</v>
      </c>
      <c r="Y1362" t="s">
        <v>10</v>
      </c>
      <c r="Z1362" t="s">
        <v>11</v>
      </c>
      <c r="AA1362">
        <v>62371</v>
      </c>
      <c r="AB1362">
        <v>17041405</v>
      </c>
      <c r="AC1362">
        <v>0</v>
      </c>
      <c r="AD1362" s="8"/>
    </row>
    <row r="1363" spans="1:30" x14ac:dyDescent="0.3">
      <c r="A1363" t="s">
        <v>1627</v>
      </c>
      <c r="B1363">
        <v>1415530</v>
      </c>
      <c r="D1363" t="s">
        <v>7</v>
      </c>
      <c r="E1363">
        <v>946525</v>
      </c>
      <c r="F1363">
        <v>9015884123</v>
      </c>
      <c r="G1363">
        <v>413</v>
      </c>
      <c r="H1363" t="s">
        <v>1280</v>
      </c>
      <c r="I1363">
        <v>0</v>
      </c>
      <c r="J1363" t="s">
        <v>1281</v>
      </c>
      <c r="K1363" t="s">
        <v>8</v>
      </c>
      <c r="L1363" t="s">
        <v>18</v>
      </c>
      <c r="M1363" t="s">
        <v>9</v>
      </c>
      <c r="N1363" t="s">
        <v>14</v>
      </c>
      <c r="O1363" s="2">
        <v>4.72</v>
      </c>
      <c r="P1363" s="3">
        <v>0</v>
      </c>
      <c r="Q1363" s="1">
        <v>46033</v>
      </c>
      <c r="R1363" s="1">
        <v>45992</v>
      </c>
      <c r="S1363" s="1">
        <v>46022</v>
      </c>
      <c r="V1363" s="8">
        <v>1</v>
      </c>
      <c r="W1363" t="s">
        <v>24</v>
      </c>
      <c r="X1363" t="s">
        <v>1282</v>
      </c>
      <c r="Y1363" t="s">
        <v>10</v>
      </c>
      <c r="Z1363" t="s">
        <v>11</v>
      </c>
      <c r="AA1363">
        <v>62371</v>
      </c>
      <c r="AB1363">
        <v>19391536</v>
      </c>
      <c r="AC1363">
        <v>0</v>
      </c>
      <c r="AD1363" s="8"/>
    </row>
    <row r="1364" spans="1:30" x14ac:dyDescent="0.3">
      <c r="A1364" t="s">
        <v>1627</v>
      </c>
      <c r="B1364">
        <v>1415538</v>
      </c>
      <c r="D1364" t="s">
        <v>7</v>
      </c>
      <c r="E1364">
        <v>946547</v>
      </c>
      <c r="F1364">
        <v>9015884123</v>
      </c>
      <c r="G1364">
        <v>419</v>
      </c>
      <c r="H1364" t="s">
        <v>931</v>
      </c>
      <c r="I1364">
        <v>0</v>
      </c>
      <c r="J1364" t="s">
        <v>932</v>
      </c>
      <c r="K1364" t="s">
        <v>8</v>
      </c>
      <c r="L1364" t="s">
        <v>15</v>
      </c>
      <c r="M1364" t="s">
        <v>9</v>
      </c>
      <c r="N1364" t="s">
        <v>14</v>
      </c>
      <c r="O1364" s="2">
        <v>0</v>
      </c>
      <c r="P1364" s="3">
        <v>25749.681</v>
      </c>
      <c r="Q1364" s="1">
        <v>46033</v>
      </c>
      <c r="R1364" s="1">
        <v>45992</v>
      </c>
      <c r="S1364" s="1">
        <v>46022</v>
      </c>
      <c r="V1364" s="8">
        <v>2</v>
      </c>
      <c r="W1364" t="s">
        <v>24</v>
      </c>
      <c r="X1364" t="s">
        <v>933</v>
      </c>
      <c r="Y1364" t="s">
        <v>10</v>
      </c>
      <c r="Z1364" t="s">
        <v>11</v>
      </c>
      <c r="AA1364">
        <v>62371</v>
      </c>
      <c r="AB1364">
        <v>18326236</v>
      </c>
      <c r="AC1364">
        <v>1</v>
      </c>
      <c r="AD1364" s="8"/>
    </row>
    <row r="1365" spans="1:30" x14ac:dyDescent="0.3">
      <c r="A1365" t="s">
        <v>1627</v>
      </c>
      <c r="B1365">
        <v>1418011</v>
      </c>
      <c r="D1365" t="s">
        <v>7</v>
      </c>
      <c r="E1365">
        <v>946624</v>
      </c>
      <c r="F1365">
        <v>9015884123</v>
      </c>
      <c r="G1365">
        <v>443</v>
      </c>
      <c r="H1365" t="s">
        <v>1283</v>
      </c>
      <c r="I1365">
        <v>0</v>
      </c>
      <c r="J1365" t="s">
        <v>1284</v>
      </c>
      <c r="K1365" t="s">
        <v>8</v>
      </c>
      <c r="L1365" t="s">
        <v>15</v>
      </c>
      <c r="M1365" t="s">
        <v>9</v>
      </c>
      <c r="N1365" t="s">
        <v>14</v>
      </c>
      <c r="O1365" s="2">
        <v>0</v>
      </c>
      <c r="P1365" s="3">
        <v>11686.868</v>
      </c>
      <c r="Q1365" s="1">
        <v>46033</v>
      </c>
      <c r="R1365" s="1">
        <v>45992</v>
      </c>
      <c r="S1365" s="1">
        <v>46022</v>
      </c>
      <c r="V1365" s="8">
        <v>1</v>
      </c>
      <c r="W1365" t="s">
        <v>24</v>
      </c>
      <c r="X1365" t="s">
        <v>1285</v>
      </c>
      <c r="Y1365" t="s">
        <v>10</v>
      </c>
      <c r="Z1365" t="s">
        <v>11</v>
      </c>
      <c r="AA1365">
        <v>62371</v>
      </c>
      <c r="AB1365">
        <v>19954294</v>
      </c>
      <c r="AC1365">
        <v>1</v>
      </c>
      <c r="AD1365" s="8"/>
    </row>
    <row r="1366" spans="1:30" x14ac:dyDescent="0.3">
      <c r="A1366" t="s">
        <v>1627</v>
      </c>
      <c r="B1366">
        <v>1418011</v>
      </c>
      <c r="D1366" t="s">
        <v>7</v>
      </c>
      <c r="E1366">
        <v>946624</v>
      </c>
      <c r="F1366">
        <v>9015884123</v>
      </c>
      <c r="G1366">
        <v>443</v>
      </c>
      <c r="H1366" t="s">
        <v>1283</v>
      </c>
      <c r="I1366">
        <v>0</v>
      </c>
      <c r="J1366" t="s">
        <v>1284</v>
      </c>
      <c r="K1366" t="s">
        <v>8</v>
      </c>
      <c r="L1366" t="s">
        <v>19</v>
      </c>
      <c r="M1366" t="s">
        <v>9</v>
      </c>
      <c r="N1366" t="s">
        <v>14</v>
      </c>
      <c r="O1366" s="2">
        <v>332994.14</v>
      </c>
      <c r="P1366" s="3">
        <v>2040.9549999999999</v>
      </c>
      <c r="Q1366" s="1">
        <v>46033</v>
      </c>
      <c r="R1366" s="1">
        <v>45992</v>
      </c>
      <c r="S1366" s="1">
        <v>46022</v>
      </c>
      <c r="V1366" s="8">
        <v>1</v>
      </c>
      <c r="W1366" t="s">
        <v>24</v>
      </c>
      <c r="X1366" t="s">
        <v>1285</v>
      </c>
      <c r="Y1366" t="s">
        <v>10</v>
      </c>
      <c r="Z1366" t="s">
        <v>11</v>
      </c>
      <c r="AA1366">
        <v>62371</v>
      </c>
      <c r="AB1366">
        <v>19954294</v>
      </c>
      <c r="AC1366">
        <v>1</v>
      </c>
      <c r="AD1366" s="8"/>
    </row>
    <row r="1367" spans="1:30" x14ac:dyDescent="0.3">
      <c r="A1367" t="s">
        <v>1627</v>
      </c>
      <c r="B1367">
        <v>1418879</v>
      </c>
      <c r="D1367" t="s">
        <v>7</v>
      </c>
      <c r="E1367">
        <v>946655</v>
      </c>
      <c r="F1367">
        <v>9015884123</v>
      </c>
      <c r="G1367">
        <v>454</v>
      </c>
      <c r="H1367" t="s">
        <v>1570</v>
      </c>
      <c r="I1367">
        <v>0</v>
      </c>
      <c r="J1367" t="s">
        <v>1571</v>
      </c>
      <c r="K1367" t="s">
        <v>8</v>
      </c>
      <c r="L1367" t="s">
        <v>15</v>
      </c>
      <c r="M1367" t="s">
        <v>9</v>
      </c>
      <c r="N1367" t="s">
        <v>14</v>
      </c>
      <c r="O1367" s="2">
        <v>0</v>
      </c>
      <c r="P1367" s="3">
        <v>1908.4159999999999</v>
      </c>
      <c r="Q1367" s="1">
        <v>46033</v>
      </c>
      <c r="R1367" s="1">
        <v>45992</v>
      </c>
      <c r="S1367" s="1">
        <v>46022</v>
      </c>
      <c r="V1367" s="8">
        <v>1</v>
      </c>
      <c r="W1367" t="s">
        <v>24</v>
      </c>
      <c r="X1367" t="s">
        <v>1572</v>
      </c>
      <c r="Y1367" t="s">
        <v>10</v>
      </c>
      <c r="Z1367" t="s">
        <v>11</v>
      </c>
      <c r="AA1367">
        <v>62371</v>
      </c>
      <c r="AB1367">
        <v>21185176</v>
      </c>
      <c r="AC1367">
        <v>0</v>
      </c>
      <c r="AD1367" s="8"/>
    </row>
    <row r="1368" spans="1:30" x14ac:dyDescent="0.3">
      <c r="A1368" t="s">
        <v>1627</v>
      </c>
      <c r="B1368">
        <v>1407517</v>
      </c>
      <c r="D1368" t="s">
        <v>7</v>
      </c>
      <c r="E1368">
        <v>946323</v>
      </c>
      <c r="F1368">
        <v>9015884123</v>
      </c>
      <c r="G1368">
        <v>334</v>
      </c>
      <c r="H1368" t="s">
        <v>910</v>
      </c>
      <c r="I1368">
        <v>0</v>
      </c>
      <c r="J1368" t="s">
        <v>911</v>
      </c>
      <c r="K1368" t="s">
        <v>8</v>
      </c>
      <c r="L1368" t="s">
        <v>67</v>
      </c>
      <c r="M1368" t="s">
        <v>9</v>
      </c>
      <c r="N1368" t="s">
        <v>14</v>
      </c>
      <c r="O1368" s="2">
        <v>232538.3</v>
      </c>
      <c r="P1368" s="3">
        <v>1632.633</v>
      </c>
      <c r="Q1368" s="1">
        <v>46033</v>
      </c>
      <c r="R1368" s="1">
        <v>45992</v>
      </c>
      <c r="S1368" s="1">
        <v>46022</v>
      </c>
      <c r="V1368" s="8">
        <v>1</v>
      </c>
      <c r="W1368" t="s">
        <v>24</v>
      </c>
      <c r="X1368" t="s">
        <v>912</v>
      </c>
      <c r="Y1368" t="s">
        <v>10</v>
      </c>
      <c r="Z1368" t="s">
        <v>11</v>
      </c>
      <c r="AA1368">
        <v>62371</v>
      </c>
      <c r="AB1368">
        <v>19379503</v>
      </c>
      <c r="AC1368">
        <v>0</v>
      </c>
      <c r="AD1368" s="8"/>
    </row>
    <row r="1369" spans="1:30" x14ac:dyDescent="0.3">
      <c r="A1369" t="s">
        <v>1627</v>
      </c>
      <c r="B1369">
        <v>1407506</v>
      </c>
      <c r="D1369" t="s">
        <v>7</v>
      </c>
      <c r="E1369">
        <v>946313</v>
      </c>
      <c r="F1369">
        <v>9015884123</v>
      </c>
      <c r="G1369">
        <v>329</v>
      </c>
      <c r="H1369" t="s">
        <v>1253</v>
      </c>
      <c r="I1369">
        <v>0</v>
      </c>
      <c r="J1369" t="s">
        <v>1254</v>
      </c>
      <c r="K1369" t="s">
        <v>8</v>
      </c>
      <c r="L1369" t="s">
        <v>19</v>
      </c>
      <c r="M1369" t="s">
        <v>9</v>
      </c>
      <c r="N1369" t="s">
        <v>14</v>
      </c>
      <c r="O1369" s="2">
        <v>419.96</v>
      </c>
      <c r="P1369" s="3">
        <v>2.5739999999999998</v>
      </c>
      <c r="Q1369" s="1">
        <v>46033</v>
      </c>
      <c r="R1369" s="1">
        <v>45992</v>
      </c>
      <c r="S1369" s="1">
        <v>46022</v>
      </c>
      <c r="V1369" s="8">
        <v>1</v>
      </c>
      <c r="W1369" t="s">
        <v>24</v>
      </c>
      <c r="X1369" t="s">
        <v>1255</v>
      </c>
      <c r="Y1369" t="s">
        <v>10</v>
      </c>
      <c r="Z1369" t="s">
        <v>11</v>
      </c>
      <c r="AA1369">
        <v>62371</v>
      </c>
      <c r="AB1369">
        <v>18427569</v>
      </c>
      <c r="AC1369">
        <v>1</v>
      </c>
      <c r="AD1369" s="8"/>
    </row>
    <row r="1370" spans="1:30" x14ac:dyDescent="0.3">
      <c r="A1370" t="s">
        <v>1627</v>
      </c>
      <c r="B1370">
        <v>1407510</v>
      </c>
      <c r="D1370" t="s">
        <v>7</v>
      </c>
      <c r="E1370">
        <v>946319</v>
      </c>
      <c r="F1370">
        <v>9015884123</v>
      </c>
      <c r="G1370">
        <v>332</v>
      </c>
      <c r="H1370" t="s">
        <v>1256</v>
      </c>
      <c r="I1370">
        <v>0</v>
      </c>
      <c r="J1370" t="s">
        <v>1257</v>
      </c>
      <c r="K1370" t="s">
        <v>8</v>
      </c>
      <c r="L1370" t="s">
        <v>18</v>
      </c>
      <c r="M1370" t="s">
        <v>9</v>
      </c>
      <c r="N1370" t="s">
        <v>14</v>
      </c>
      <c r="O1370" s="2">
        <v>-4.62</v>
      </c>
      <c r="P1370" s="3">
        <v>0</v>
      </c>
      <c r="Q1370" s="1">
        <v>46033</v>
      </c>
      <c r="R1370" s="1">
        <v>45992</v>
      </c>
      <c r="S1370" s="1">
        <v>46022</v>
      </c>
      <c r="V1370" s="8">
        <v>1</v>
      </c>
      <c r="W1370" t="s">
        <v>24</v>
      </c>
      <c r="X1370" t="s">
        <v>1258</v>
      </c>
      <c r="Y1370" t="s">
        <v>10</v>
      </c>
      <c r="Z1370" t="s">
        <v>11</v>
      </c>
      <c r="AA1370">
        <v>62371</v>
      </c>
      <c r="AB1370">
        <v>21406893</v>
      </c>
      <c r="AC1370">
        <v>1</v>
      </c>
      <c r="AD1370" s="8"/>
    </row>
    <row r="1371" spans="1:30" x14ac:dyDescent="0.3">
      <c r="A1371" t="s">
        <v>1627</v>
      </c>
      <c r="B1371">
        <v>1408276</v>
      </c>
      <c r="D1371" t="s">
        <v>7</v>
      </c>
      <c r="E1371">
        <v>946327</v>
      </c>
      <c r="F1371">
        <v>9015884123</v>
      </c>
      <c r="G1371">
        <v>336</v>
      </c>
      <c r="H1371" t="s">
        <v>424</v>
      </c>
      <c r="I1371">
        <v>0</v>
      </c>
      <c r="J1371" t="s">
        <v>425</v>
      </c>
      <c r="K1371" t="s">
        <v>8</v>
      </c>
      <c r="L1371" t="s">
        <v>67</v>
      </c>
      <c r="M1371" t="s">
        <v>9</v>
      </c>
      <c r="N1371" t="s">
        <v>14</v>
      </c>
      <c r="O1371" s="2">
        <v>972792.77</v>
      </c>
      <c r="P1371" s="3">
        <v>6829.9009999999998</v>
      </c>
      <c r="Q1371" s="1">
        <v>46033</v>
      </c>
      <c r="R1371" s="1">
        <v>45992</v>
      </c>
      <c r="S1371" s="1">
        <v>46022</v>
      </c>
      <c r="V1371" s="8">
        <v>1</v>
      </c>
      <c r="W1371" t="s">
        <v>24</v>
      </c>
      <c r="X1371" t="s">
        <v>426</v>
      </c>
      <c r="Y1371" t="s">
        <v>10</v>
      </c>
      <c r="Z1371" t="s">
        <v>11</v>
      </c>
      <c r="AA1371">
        <v>62371</v>
      </c>
      <c r="AB1371">
        <v>19403252</v>
      </c>
      <c r="AC1371">
        <v>0</v>
      </c>
      <c r="AD1371" s="8"/>
    </row>
    <row r="1372" spans="1:30" x14ac:dyDescent="0.3">
      <c r="A1372" t="s">
        <v>1627</v>
      </c>
      <c r="B1372">
        <v>1412641</v>
      </c>
      <c r="D1372" t="s">
        <v>7</v>
      </c>
      <c r="E1372">
        <v>946398</v>
      </c>
      <c r="F1372">
        <v>9015884123</v>
      </c>
      <c r="G1372">
        <v>373</v>
      </c>
      <c r="H1372" t="s">
        <v>451</v>
      </c>
      <c r="I1372">
        <v>0</v>
      </c>
      <c r="J1372" t="s">
        <v>452</v>
      </c>
      <c r="K1372" t="s">
        <v>8</v>
      </c>
      <c r="L1372" t="s">
        <v>18</v>
      </c>
      <c r="M1372" t="s">
        <v>9</v>
      </c>
      <c r="N1372" t="s">
        <v>14</v>
      </c>
      <c r="O1372" s="2">
        <v>-4.83</v>
      </c>
      <c r="P1372" s="3">
        <v>0</v>
      </c>
      <c r="Q1372" s="1">
        <v>46033</v>
      </c>
      <c r="R1372" s="1">
        <v>45992</v>
      </c>
      <c r="S1372" s="1">
        <v>46022</v>
      </c>
      <c r="V1372" s="8">
        <v>1</v>
      </c>
      <c r="W1372" t="s">
        <v>24</v>
      </c>
      <c r="X1372" t="s">
        <v>453</v>
      </c>
      <c r="Y1372" t="s">
        <v>10</v>
      </c>
      <c r="Z1372" t="s">
        <v>11</v>
      </c>
      <c r="AA1372">
        <v>62371</v>
      </c>
      <c r="AB1372">
        <v>21238147</v>
      </c>
      <c r="AC1372">
        <v>0</v>
      </c>
      <c r="AD1372" s="8"/>
    </row>
    <row r="1373" spans="1:30" x14ac:dyDescent="0.3">
      <c r="A1373" t="s">
        <v>1627</v>
      </c>
      <c r="B1373">
        <v>1412680</v>
      </c>
      <c r="D1373" t="s">
        <v>7</v>
      </c>
      <c r="E1373">
        <v>946421</v>
      </c>
      <c r="F1373">
        <v>9015884123</v>
      </c>
      <c r="G1373">
        <v>380</v>
      </c>
      <c r="H1373" t="s">
        <v>1268</v>
      </c>
      <c r="I1373">
        <v>0</v>
      </c>
      <c r="J1373" t="s">
        <v>1269</v>
      </c>
      <c r="K1373" t="s">
        <v>8</v>
      </c>
      <c r="L1373" t="s">
        <v>18</v>
      </c>
      <c r="M1373" t="s">
        <v>9</v>
      </c>
      <c r="N1373" t="s">
        <v>14</v>
      </c>
      <c r="O1373" s="2">
        <v>1.67</v>
      </c>
      <c r="P1373" s="3">
        <v>0</v>
      </c>
      <c r="Q1373" s="1">
        <v>46033</v>
      </c>
      <c r="R1373" s="1">
        <v>45992</v>
      </c>
      <c r="S1373" s="1">
        <v>46022</v>
      </c>
      <c r="V1373" s="8">
        <v>1</v>
      </c>
      <c r="W1373" t="s">
        <v>24</v>
      </c>
      <c r="X1373" t="s">
        <v>1270</v>
      </c>
      <c r="Y1373" t="s">
        <v>10</v>
      </c>
      <c r="Z1373" t="s">
        <v>11</v>
      </c>
      <c r="AA1373">
        <v>62371</v>
      </c>
      <c r="AB1373">
        <v>17055396</v>
      </c>
      <c r="AC1373">
        <v>0</v>
      </c>
      <c r="AD1373" s="8"/>
    </row>
    <row r="1374" spans="1:30" x14ac:dyDescent="0.3">
      <c r="A1374" t="s">
        <v>1627</v>
      </c>
      <c r="B1374">
        <v>1426324</v>
      </c>
      <c r="D1374" t="s">
        <v>7</v>
      </c>
      <c r="E1374">
        <v>946715</v>
      </c>
      <c r="F1374">
        <v>9015884123</v>
      </c>
      <c r="G1374">
        <v>472</v>
      </c>
      <c r="H1374" t="s">
        <v>1452</v>
      </c>
      <c r="I1374">
        <v>0</v>
      </c>
      <c r="J1374" t="s">
        <v>1453</v>
      </c>
      <c r="K1374" t="s">
        <v>8</v>
      </c>
      <c r="L1374" t="s">
        <v>67</v>
      </c>
      <c r="M1374" t="s">
        <v>9</v>
      </c>
      <c r="N1374" t="s">
        <v>14</v>
      </c>
      <c r="O1374" s="2">
        <v>2236035.34</v>
      </c>
      <c r="P1374" s="3">
        <v>15699.027</v>
      </c>
      <c r="Q1374" s="1">
        <v>46033</v>
      </c>
      <c r="R1374" s="1">
        <v>45992</v>
      </c>
      <c r="S1374" s="1">
        <v>46022</v>
      </c>
      <c r="V1374" s="8">
        <v>1</v>
      </c>
      <c r="W1374" t="s">
        <v>24</v>
      </c>
      <c r="X1374" t="s">
        <v>1454</v>
      </c>
      <c r="Y1374" t="s">
        <v>10</v>
      </c>
      <c r="Z1374" t="s">
        <v>11</v>
      </c>
      <c r="AA1374">
        <v>62371</v>
      </c>
      <c r="AB1374">
        <v>17187451</v>
      </c>
      <c r="AC1374">
        <v>0</v>
      </c>
      <c r="AD1374" s="8"/>
    </row>
    <row r="1375" spans="1:30" x14ac:dyDescent="0.3">
      <c r="A1375" t="s">
        <v>1627</v>
      </c>
      <c r="B1375">
        <v>1428402</v>
      </c>
      <c r="D1375" t="s">
        <v>7</v>
      </c>
      <c r="E1375">
        <v>946722</v>
      </c>
      <c r="F1375">
        <v>9015884123</v>
      </c>
      <c r="G1375">
        <v>475</v>
      </c>
      <c r="H1375" t="s">
        <v>1298</v>
      </c>
      <c r="I1375">
        <v>0</v>
      </c>
      <c r="J1375" t="s">
        <v>1299</v>
      </c>
      <c r="K1375" t="s">
        <v>8</v>
      </c>
      <c r="L1375" t="s">
        <v>67</v>
      </c>
      <c r="M1375" t="s">
        <v>9</v>
      </c>
      <c r="N1375" t="s">
        <v>14</v>
      </c>
      <c r="O1375" s="2">
        <v>0</v>
      </c>
      <c r="P1375" s="3">
        <v>0</v>
      </c>
      <c r="Q1375" s="1">
        <v>46033</v>
      </c>
      <c r="R1375" s="1">
        <v>45992</v>
      </c>
      <c r="S1375" s="1">
        <v>46022</v>
      </c>
      <c r="V1375" s="8">
        <v>1</v>
      </c>
      <c r="W1375" t="s">
        <v>24</v>
      </c>
      <c r="X1375" t="s">
        <v>1300</v>
      </c>
      <c r="Y1375" t="s">
        <v>10</v>
      </c>
      <c r="Z1375" t="s">
        <v>11</v>
      </c>
      <c r="AA1375">
        <v>62371</v>
      </c>
      <c r="AB1375">
        <v>21376441</v>
      </c>
      <c r="AC1375">
        <v>1</v>
      </c>
      <c r="AD1375" s="8"/>
    </row>
    <row r="1376" spans="1:30" x14ac:dyDescent="0.3">
      <c r="A1376" t="s">
        <v>1627</v>
      </c>
      <c r="B1376">
        <v>1428431</v>
      </c>
      <c r="D1376" t="s">
        <v>7</v>
      </c>
      <c r="E1376">
        <v>946744</v>
      </c>
      <c r="F1376">
        <v>9015884123</v>
      </c>
      <c r="G1376">
        <v>482</v>
      </c>
      <c r="H1376" t="s">
        <v>1464</v>
      </c>
      <c r="I1376">
        <v>0</v>
      </c>
      <c r="J1376" t="s">
        <v>1465</v>
      </c>
      <c r="K1376" t="s">
        <v>8</v>
      </c>
      <c r="L1376" t="s">
        <v>67</v>
      </c>
      <c r="M1376" t="s">
        <v>9</v>
      </c>
      <c r="N1376" t="s">
        <v>14</v>
      </c>
      <c r="O1376" s="2">
        <v>252137.25</v>
      </c>
      <c r="P1376" s="3">
        <v>2334.6959999999999</v>
      </c>
      <c r="Q1376" s="1">
        <v>46033</v>
      </c>
      <c r="R1376" s="1">
        <v>45992</v>
      </c>
      <c r="S1376" s="1">
        <v>46022</v>
      </c>
      <c r="V1376" s="8">
        <v>1</v>
      </c>
      <c r="W1376" t="s">
        <v>24</v>
      </c>
      <c r="X1376" t="s">
        <v>1466</v>
      </c>
      <c r="Y1376" t="s">
        <v>10</v>
      </c>
      <c r="Z1376" t="s">
        <v>11</v>
      </c>
      <c r="AA1376">
        <v>62371</v>
      </c>
      <c r="AB1376">
        <v>21491303</v>
      </c>
      <c r="AC1376">
        <v>1</v>
      </c>
      <c r="AD1376" s="8"/>
    </row>
    <row r="1377" spans="1:30" x14ac:dyDescent="0.3">
      <c r="A1377" t="s">
        <v>1627</v>
      </c>
      <c r="B1377">
        <v>1428435</v>
      </c>
      <c r="D1377" t="s">
        <v>7</v>
      </c>
      <c r="E1377">
        <v>946769</v>
      </c>
      <c r="F1377">
        <v>9015884123</v>
      </c>
      <c r="G1377">
        <v>490</v>
      </c>
      <c r="H1377" t="s">
        <v>1576</v>
      </c>
      <c r="I1377">
        <v>0</v>
      </c>
      <c r="J1377" t="s">
        <v>1577</v>
      </c>
      <c r="K1377" t="s">
        <v>8</v>
      </c>
      <c r="L1377" t="s">
        <v>18</v>
      </c>
      <c r="M1377" t="s">
        <v>9</v>
      </c>
      <c r="N1377" t="s">
        <v>14</v>
      </c>
      <c r="O1377" s="2">
        <v>1.2</v>
      </c>
      <c r="P1377" s="3">
        <v>0</v>
      </c>
      <c r="Q1377" s="1">
        <v>46033</v>
      </c>
      <c r="R1377" s="1">
        <v>45992</v>
      </c>
      <c r="S1377" s="1">
        <v>46022</v>
      </c>
      <c r="V1377" s="8">
        <v>1</v>
      </c>
      <c r="W1377" t="s">
        <v>24</v>
      </c>
      <c r="X1377" t="s">
        <v>1578</v>
      </c>
      <c r="Y1377" t="s">
        <v>10</v>
      </c>
      <c r="Z1377" t="s">
        <v>11</v>
      </c>
      <c r="AA1377">
        <v>62371</v>
      </c>
      <c r="AB1377">
        <v>21491295</v>
      </c>
      <c r="AC1377">
        <v>1</v>
      </c>
      <c r="AD1377" s="8"/>
    </row>
    <row r="1378" spans="1:30" x14ac:dyDescent="0.3">
      <c r="A1378" t="s">
        <v>1627</v>
      </c>
      <c r="B1378">
        <v>1415538</v>
      </c>
      <c r="D1378" t="s">
        <v>7</v>
      </c>
      <c r="E1378">
        <v>946547</v>
      </c>
      <c r="F1378">
        <v>9015884123</v>
      </c>
      <c r="G1378">
        <v>419</v>
      </c>
      <c r="H1378" t="s">
        <v>931</v>
      </c>
      <c r="I1378">
        <v>0</v>
      </c>
      <c r="J1378" t="s">
        <v>932</v>
      </c>
      <c r="K1378" t="s">
        <v>8</v>
      </c>
      <c r="L1378" t="s">
        <v>18</v>
      </c>
      <c r="M1378" t="s">
        <v>9</v>
      </c>
      <c r="N1378" t="s">
        <v>14</v>
      </c>
      <c r="O1378" s="2">
        <v>2.08</v>
      </c>
      <c r="P1378" s="3">
        <v>0</v>
      </c>
      <c r="Q1378" s="1">
        <v>46033</v>
      </c>
      <c r="R1378" s="1">
        <v>45992</v>
      </c>
      <c r="S1378" s="1">
        <v>46022</v>
      </c>
      <c r="V1378" s="8">
        <v>2</v>
      </c>
      <c r="W1378" t="s">
        <v>24</v>
      </c>
      <c r="X1378" t="s">
        <v>933</v>
      </c>
      <c r="Y1378" t="s">
        <v>10</v>
      </c>
      <c r="Z1378" t="s">
        <v>11</v>
      </c>
      <c r="AA1378">
        <v>62371</v>
      </c>
      <c r="AB1378">
        <v>18326236</v>
      </c>
      <c r="AC1378">
        <v>1</v>
      </c>
      <c r="AD1378" s="8"/>
    </row>
    <row r="1379" spans="1:30" x14ac:dyDescent="0.3">
      <c r="A1379" t="s">
        <v>1627</v>
      </c>
      <c r="B1379">
        <v>1418008</v>
      </c>
      <c r="D1379" t="s">
        <v>7</v>
      </c>
      <c r="E1379">
        <v>946612</v>
      </c>
      <c r="F1379">
        <v>9015884123</v>
      </c>
      <c r="G1379">
        <v>439</v>
      </c>
      <c r="H1379" t="s">
        <v>469</v>
      </c>
      <c r="I1379">
        <v>0</v>
      </c>
      <c r="J1379" t="s">
        <v>470</v>
      </c>
      <c r="K1379" t="s">
        <v>8</v>
      </c>
      <c r="L1379" t="s">
        <v>15</v>
      </c>
      <c r="M1379" t="s">
        <v>9</v>
      </c>
      <c r="N1379" t="s">
        <v>14</v>
      </c>
      <c r="O1379" s="2">
        <v>0</v>
      </c>
      <c r="P1379" s="3">
        <v>5297.4930000000004</v>
      </c>
      <c r="Q1379" s="1">
        <v>46033</v>
      </c>
      <c r="R1379" s="1">
        <v>45992</v>
      </c>
      <c r="S1379" s="1">
        <v>46022</v>
      </c>
      <c r="V1379" s="8">
        <v>1</v>
      </c>
      <c r="W1379" t="s">
        <v>24</v>
      </c>
      <c r="X1379" t="s">
        <v>471</v>
      </c>
      <c r="Y1379" t="s">
        <v>10</v>
      </c>
      <c r="Z1379" t="s">
        <v>11</v>
      </c>
      <c r="AA1379">
        <v>62371</v>
      </c>
      <c r="AB1379">
        <v>18579460</v>
      </c>
      <c r="AC1379">
        <v>0</v>
      </c>
      <c r="AD1379" s="8"/>
    </row>
    <row r="1380" spans="1:30" x14ac:dyDescent="0.3">
      <c r="A1380" t="s">
        <v>1627</v>
      </c>
      <c r="B1380">
        <v>1418010</v>
      </c>
      <c r="D1380" t="s">
        <v>7</v>
      </c>
      <c r="E1380">
        <v>946618</v>
      </c>
      <c r="F1380">
        <v>9015884123</v>
      </c>
      <c r="G1380">
        <v>441</v>
      </c>
      <c r="H1380" t="s">
        <v>463</v>
      </c>
      <c r="I1380">
        <v>0</v>
      </c>
      <c r="J1380" t="s">
        <v>464</v>
      </c>
      <c r="K1380" t="s">
        <v>8</v>
      </c>
      <c r="L1380" t="s">
        <v>19</v>
      </c>
      <c r="M1380" t="s">
        <v>9</v>
      </c>
      <c r="N1380" t="s">
        <v>14</v>
      </c>
      <c r="O1380" s="2">
        <v>5193.91</v>
      </c>
      <c r="P1380" s="3">
        <v>31.834</v>
      </c>
      <c r="Q1380" s="1">
        <v>46033</v>
      </c>
      <c r="R1380" s="1">
        <v>45992</v>
      </c>
      <c r="S1380" s="1">
        <v>46022</v>
      </c>
      <c r="V1380" s="8">
        <v>1</v>
      </c>
      <c r="W1380" t="s">
        <v>24</v>
      </c>
      <c r="X1380" t="s">
        <v>465</v>
      </c>
      <c r="Y1380" t="s">
        <v>10</v>
      </c>
      <c r="Z1380" t="s">
        <v>11</v>
      </c>
      <c r="AA1380">
        <v>62371</v>
      </c>
      <c r="AB1380">
        <v>17037607</v>
      </c>
      <c r="AC1380">
        <v>1</v>
      </c>
      <c r="AD1380" s="8"/>
    </row>
    <row r="1381" spans="1:30" x14ac:dyDescent="0.3">
      <c r="A1381" t="s">
        <v>1627</v>
      </c>
      <c r="B1381">
        <v>1438071</v>
      </c>
      <c r="D1381" t="s">
        <v>7</v>
      </c>
      <c r="E1381">
        <v>946832</v>
      </c>
      <c r="F1381">
        <v>9015884123</v>
      </c>
      <c r="G1381">
        <v>511</v>
      </c>
      <c r="H1381" t="s">
        <v>1455</v>
      </c>
      <c r="I1381">
        <v>0</v>
      </c>
      <c r="J1381" t="s">
        <v>1456</v>
      </c>
      <c r="K1381" t="s">
        <v>8</v>
      </c>
      <c r="L1381" t="s">
        <v>18</v>
      </c>
      <c r="M1381" t="s">
        <v>9</v>
      </c>
      <c r="N1381" t="s">
        <v>14</v>
      </c>
      <c r="O1381" s="2">
        <v>-1.52</v>
      </c>
      <c r="P1381" s="3">
        <v>0</v>
      </c>
      <c r="Q1381" s="1">
        <v>46033</v>
      </c>
      <c r="R1381" s="1">
        <v>45992</v>
      </c>
      <c r="S1381" s="1">
        <v>46022</v>
      </c>
      <c r="V1381" s="8">
        <v>1</v>
      </c>
      <c r="W1381" t="s">
        <v>24</v>
      </c>
      <c r="X1381" t="s">
        <v>1457</v>
      </c>
      <c r="Y1381" t="s">
        <v>10</v>
      </c>
      <c r="Z1381" t="s">
        <v>11</v>
      </c>
      <c r="AA1381">
        <v>62371</v>
      </c>
      <c r="AB1381">
        <v>21376595</v>
      </c>
      <c r="AC1381">
        <v>1</v>
      </c>
      <c r="AD1381" s="8"/>
    </row>
    <row r="1382" spans="1:30" x14ac:dyDescent="0.3">
      <c r="A1382" t="s">
        <v>1627</v>
      </c>
      <c r="B1382">
        <v>1418636</v>
      </c>
      <c r="D1382" t="s">
        <v>7</v>
      </c>
      <c r="E1382">
        <v>946644</v>
      </c>
      <c r="F1382">
        <v>9015884123</v>
      </c>
      <c r="G1382">
        <v>450</v>
      </c>
      <c r="H1382" t="s">
        <v>475</v>
      </c>
      <c r="I1382">
        <v>0</v>
      </c>
      <c r="J1382" t="s">
        <v>476</v>
      </c>
      <c r="K1382" t="s">
        <v>8</v>
      </c>
      <c r="L1382" t="s">
        <v>15</v>
      </c>
      <c r="M1382" t="s">
        <v>9</v>
      </c>
      <c r="N1382" t="s">
        <v>14</v>
      </c>
      <c r="O1382" s="2">
        <v>0</v>
      </c>
      <c r="P1382" s="3">
        <v>912.154</v>
      </c>
      <c r="Q1382" s="1">
        <v>46033</v>
      </c>
      <c r="R1382" s="1">
        <v>45992</v>
      </c>
      <c r="S1382" s="1">
        <v>46022</v>
      </c>
      <c r="V1382" s="8">
        <v>1</v>
      </c>
      <c r="W1382" t="s">
        <v>24</v>
      </c>
      <c r="X1382" t="s">
        <v>477</v>
      </c>
      <c r="Y1382" t="s">
        <v>353</v>
      </c>
      <c r="Z1382" t="s">
        <v>11</v>
      </c>
      <c r="AA1382">
        <v>62371</v>
      </c>
      <c r="AB1382">
        <v>19419645</v>
      </c>
      <c r="AC1382">
        <v>0</v>
      </c>
      <c r="AD1382" s="8"/>
    </row>
    <row r="1383" spans="1:30" x14ac:dyDescent="0.3">
      <c r="A1383" t="s">
        <v>1627</v>
      </c>
      <c r="B1383">
        <v>1428433</v>
      </c>
      <c r="D1383" t="s">
        <v>7</v>
      </c>
      <c r="E1383">
        <v>946747</v>
      </c>
      <c r="F1383">
        <v>9015884123</v>
      </c>
      <c r="G1383">
        <v>483</v>
      </c>
      <c r="H1383" t="s">
        <v>478</v>
      </c>
      <c r="I1383">
        <v>0</v>
      </c>
      <c r="J1383" t="s">
        <v>479</v>
      </c>
      <c r="K1383" t="s">
        <v>8</v>
      </c>
      <c r="L1383" t="s">
        <v>19</v>
      </c>
      <c r="M1383" t="s">
        <v>9</v>
      </c>
      <c r="N1383" t="s">
        <v>14</v>
      </c>
      <c r="O1383" s="2">
        <v>2478.9899999999998</v>
      </c>
      <c r="P1383" s="3">
        <v>15.194000000000001</v>
      </c>
      <c r="Q1383" s="1">
        <v>46033</v>
      </c>
      <c r="R1383" s="1">
        <v>45992</v>
      </c>
      <c r="S1383" s="1">
        <v>46022</v>
      </c>
      <c r="V1383" s="8">
        <v>1</v>
      </c>
      <c r="W1383" t="s">
        <v>24</v>
      </c>
      <c r="X1383" t="s">
        <v>480</v>
      </c>
      <c r="Y1383" t="s">
        <v>10</v>
      </c>
      <c r="Z1383" t="s">
        <v>11</v>
      </c>
      <c r="AA1383">
        <v>62371</v>
      </c>
      <c r="AB1383">
        <v>21491300</v>
      </c>
      <c r="AC1383">
        <v>1</v>
      </c>
      <c r="AD1383" s="8"/>
    </row>
    <row r="1384" spans="1:30" x14ac:dyDescent="0.3">
      <c r="A1384" t="s">
        <v>1627</v>
      </c>
      <c r="B1384">
        <v>1428425</v>
      </c>
      <c r="D1384" t="s">
        <v>7</v>
      </c>
      <c r="E1384">
        <v>946778</v>
      </c>
      <c r="F1384">
        <v>9015884123</v>
      </c>
      <c r="G1384">
        <v>494</v>
      </c>
      <c r="H1384" t="s">
        <v>964</v>
      </c>
      <c r="I1384">
        <v>0</v>
      </c>
      <c r="J1384" t="s">
        <v>965</v>
      </c>
      <c r="K1384" t="s">
        <v>8</v>
      </c>
      <c r="L1384" t="s">
        <v>18</v>
      </c>
      <c r="M1384" t="s">
        <v>9</v>
      </c>
      <c r="N1384" t="s">
        <v>14</v>
      </c>
      <c r="O1384" s="2">
        <v>-3.21</v>
      </c>
      <c r="P1384" s="3">
        <v>0</v>
      </c>
      <c r="Q1384" s="1">
        <v>46033</v>
      </c>
      <c r="R1384" s="1">
        <v>45992</v>
      </c>
      <c r="S1384" s="1">
        <v>46022</v>
      </c>
      <c r="V1384" s="8">
        <v>1</v>
      </c>
      <c r="W1384" t="s">
        <v>24</v>
      </c>
      <c r="X1384" t="s">
        <v>966</v>
      </c>
      <c r="Y1384" t="s">
        <v>10</v>
      </c>
      <c r="Z1384" t="s">
        <v>11</v>
      </c>
      <c r="AA1384">
        <v>62371</v>
      </c>
      <c r="AB1384">
        <v>21512919</v>
      </c>
      <c r="AC1384">
        <v>0</v>
      </c>
      <c r="AD1384" s="8"/>
    </row>
    <row r="1385" spans="1:30" x14ac:dyDescent="0.3">
      <c r="A1385" t="s">
        <v>1627</v>
      </c>
      <c r="B1385">
        <v>1425190</v>
      </c>
      <c r="D1385" t="s">
        <v>7</v>
      </c>
      <c r="E1385">
        <v>946712</v>
      </c>
      <c r="F1385">
        <v>9015884123</v>
      </c>
      <c r="G1385">
        <v>471</v>
      </c>
      <c r="H1385" t="s">
        <v>1292</v>
      </c>
      <c r="I1385">
        <v>0</v>
      </c>
      <c r="J1385" t="s">
        <v>1293</v>
      </c>
      <c r="K1385" t="s">
        <v>8</v>
      </c>
      <c r="L1385" t="s">
        <v>15</v>
      </c>
      <c r="M1385" t="s">
        <v>9</v>
      </c>
      <c r="N1385" t="s">
        <v>14</v>
      </c>
      <c r="O1385" s="2">
        <v>0</v>
      </c>
      <c r="P1385" s="3">
        <v>1452.0409999999999</v>
      </c>
      <c r="Q1385" s="1">
        <v>46033</v>
      </c>
      <c r="R1385" s="1">
        <v>45992</v>
      </c>
      <c r="S1385" s="1">
        <v>46022</v>
      </c>
      <c r="V1385" s="8">
        <v>1</v>
      </c>
      <c r="W1385" t="s">
        <v>24</v>
      </c>
      <c r="X1385" t="s">
        <v>1294</v>
      </c>
      <c r="Y1385" t="s">
        <v>10</v>
      </c>
      <c r="Z1385" t="s">
        <v>11</v>
      </c>
      <c r="AA1385">
        <v>62371</v>
      </c>
      <c r="AB1385">
        <v>18930907</v>
      </c>
      <c r="AC1385">
        <v>1</v>
      </c>
      <c r="AD1385" s="8"/>
    </row>
    <row r="1386" spans="1:30" x14ac:dyDescent="0.3">
      <c r="A1386" t="s">
        <v>1627</v>
      </c>
      <c r="B1386">
        <v>1428528</v>
      </c>
      <c r="D1386" t="s">
        <v>7</v>
      </c>
      <c r="E1386">
        <v>946806</v>
      </c>
      <c r="F1386">
        <v>9015884123</v>
      </c>
      <c r="G1386">
        <v>503</v>
      </c>
      <c r="H1386" t="s">
        <v>487</v>
      </c>
      <c r="I1386">
        <v>0</v>
      </c>
      <c r="J1386" t="s">
        <v>488</v>
      </c>
      <c r="K1386" t="s">
        <v>8</v>
      </c>
      <c r="L1386" t="s">
        <v>19</v>
      </c>
      <c r="M1386" t="s">
        <v>9</v>
      </c>
      <c r="N1386" t="s">
        <v>14</v>
      </c>
      <c r="O1386" s="2">
        <v>22851.31</v>
      </c>
      <c r="P1386" s="3">
        <v>140.05799999999999</v>
      </c>
      <c r="Q1386" s="1">
        <v>46033</v>
      </c>
      <c r="R1386" s="1">
        <v>45992</v>
      </c>
      <c r="S1386" s="1">
        <v>46022</v>
      </c>
      <c r="V1386" s="8">
        <v>1</v>
      </c>
      <c r="W1386" t="s">
        <v>24</v>
      </c>
      <c r="X1386" t="s">
        <v>489</v>
      </c>
      <c r="Y1386" t="s">
        <v>10</v>
      </c>
      <c r="Z1386" t="s">
        <v>11</v>
      </c>
      <c r="AA1386">
        <v>62371</v>
      </c>
      <c r="AB1386">
        <v>21376634</v>
      </c>
      <c r="AC1386">
        <v>1</v>
      </c>
      <c r="AD1386" s="8"/>
    </row>
    <row r="1387" spans="1:30" x14ac:dyDescent="0.3">
      <c r="A1387" t="s">
        <v>1627</v>
      </c>
      <c r="B1387">
        <v>1428408</v>
      </c>
      <c r="D1387" t="s">
        <v>7</v>
      </c>
      <c r="E1387">
        <v>946753</v>
      </c>
      <c r="F1387">
        <v>9015884123</v>
      </c>
      <c r="G1387">
        <v>485</v>
      </c>
      <c r="H1387" t="s">
        <v>970</v>
      </c>
      <c r="I1387">
        <v>0</v>
      </c>
      <c r="J1387" t="s">
        <v>971</v>
      </c>
      <c r="K1387" t="s">
        <v>8</v>
      </c>
      <c r="L1387" t="s">
        <v>19</v>
      </c>
      <c r="M1387" t="s">
        <v>9</v>
      </c>
      <c r="N1387" t="s">
        <v>14</v>
      </c>
      <c r="O1387" s="2">
        <v>9694.08</v>
      </c>
      <c r="P1387" s="3">
        <v>59.415999999999997</v>
      </c>
      <c r="Q1387" s="1">
        <v>46033</v>
      </c>
      <c r="R1387" s="1">
        <v>45992</v>
      </c>
      <c r="S1387" s="1">
        <v>46022</v>
      </c>
      <c r="V1387" s="8">
        <v>1</v>
      </c>
      <c r="W1387" t="s">
        <v>24</v>
      </c>
      <c r="X1387" t="s">
        <v>972</v>
      </c>
      <c r="Y1387" t="s">
        <v>10</v>
      </c>
      <c r="Z1387" t="s">
        <v>11</v>
      </c>
      <c r="AA1387">
        <v>62371</v>
      </c>
      <c r="AB1387">
        <v>21376442</v>
      </c>
      <c r="AC1387">
        <v>1</v>
      </c>
      <c r="AD1387" s="8"/>
    </row>
    <row r="1388" spans="1:30" x14ac:dyDescent="0.3">
      <c r="A1388" t="s">
        <v>1627</v>
      </c>
      <c r="B1388">
        <v>1443052</v>
      </c>
      <c r="D1388" t="s">
        <v>7</v>
      </c>
      <c r="E1388">
        <v>946853</v>
      </c>
      <c r="F1388">
        <v>9015884123</v>
      </c>
      <c r="G1388">
        <v>518</v>
      </c>
      <c r="H1388" t="s">
        <v>976</v>
      </c>
      <c r="I1388">
        <v>0</v>
      </c>
      <c r="J1388" t="s">
        <v>977</v>
      </c>
      <c r="K1388" t="s">
        <v>8</v>
      </c>
      <c r="L1388" t="s">
        <v>15</v>
      </c>
      <c r="M1388" t="s">
        <v>9</v>
      </c>
      <c r="N1388" t="s">
        <v>14</v>
      </c>
      <c r="O1388" s="2">
        <v>0</v>
      </c>
      <c r="P1388" s="3">
        <v>3417.5459999999998</v>
      </c>
      <c r="Q1388" s="1">
        <v>46033</v>
      </c>
      <c r="R1388" s="1">
        <v>45992</v>
      </c>
      <c r="S1388" s="1">
        <v>46022</v>
      </c>
      <c r="V1388" s="8">
        <v>1</v>
      </c>
      <c r="W1388" t="s">
        <v>24</v>
      </c>
      <c r="X1388" t="s">
        <v>978</v>
      </c>
      <c r="Y1388" t="s">
        <v>10</v>
      </c>
      <c r="Z1388" t="s">
        <v>11</v>
      </c>
      <c r="AA1388">
        <v>62371</v>
      </c>
      <c r="AB1388">
        <v>19770738</v>
      </c>
      <c r="AC1388">
        <v>0</v>
      </c>
      <c r="AD1388" s="8"/>
    </row>
    <row r="1389" spans="1:30" x14ac:dyDescent="0.3">
      <c r="A1389" t="s">
        <v>1627</v>
      </c>
      <c r="B1389">
        <v>1443052</v>
      </c>
      <c r="D1389" t="s">
        <v>7</v>
      </c>
      <c r="E1389">
        <v>946853</v>
      </c>
      <c r="F1389">
        <v>9015884123</v>
      </c>
      <c r="G1389">
        <v>518</v>
      </c>
      <c r="H1389" t="s">
        <v>976</v>
      </c>
      <c r="I1389">
        <v>0</v>
      </c>
      <c r="J1389" t="s">
        <v>977</v>
      </c>
      <c r="K1389" t="s">
        <v>8</v>
      </c>
      <c r="L1389" t="s">
        <v>67</v>
      </c>
      <c r="M1389" t="s">
        <v>9</v>
      </c>
      <c r="N1389" t="s">
        <v>14</v>
      </c>
      <c r="O1389" s="2">
        <v>486766.07</v>
      </c>
      <c r="P1389" s="3">
        <v>3417.5459999999998</v>
      </c>
      <c r="Q1389" s="1">
        <v>46033</v>
      </c>
      <c r="R1389" s="1">
        <v>45992</v>
      </c>
      <c r="S1389" s="1">
        <v>46022</v>
      </c>
      <c r="V1389" s="8">
        <v>1</v>
      </c>
      <c r="W1389" t="s">
        <v>24</v>
      </c>
      <c r="X1389" t="s">
        <v>978</v>
      </c>
      <c r="Y1389" t="s">
        <v>10</v>
      </c>
      <c r="Z1389" t="s">
        <v>11</v>
      </c>
      <c r="AA1389">
        <v>62371</v>
      </c>
      <c r="AB1389">
        <v>19770738</v>
      </c>
      <c r="AC1389">
        <v>0</v>
      </c>
      <c r="AD1389" s="8"/>
    </row>
    <row r="1390" spans="1:30" x14ac:dyDescent="0.3">
      <c r="A1390" t="s">
        <v>1627</v>
      </c>
      <c r="B1390">
        <v>1441789</v>
      </c>
      <c r="D1390" t="s">
        <v>7</v>
      </c>
      <c r="E1390">
        <v>946841</v>
      </c>
      <c r="F1390">
        <v>9015884123</v>
      </c>
      <c r="G1390">
        <v>515</v>
      </c>
      <c r="H1390" t="s">
        <v>1467</v>
      </c>
      <c r="I1390">
        <v>0</v>
      </c>
      <c r="J1390" t="s">
        <v>1468</v>
      </c>
      <c r="K1390" t="s">
        <v>8</v>
      </c>
      <c r="L1390" t="s">
        <v>15</v>
      </c>
      <c r="M1390" t="s">
        <v>9</v>
      </c>
      <c r="N1390" t="s">
        <v>14</v>
      </c>
      <c r="O1390" s="2">
        <v>0</v>
      </c>
      <c r="P1390" s="3">
        <v>616.12699999999995</v>
      </c>
      <c r="Q1390" s="1">
        <v>46033</v>
      </c>
      <c r="R1390" s="1">
        <v>45992</v>
      </c>
      <c r="S1390" s="1">
        <v>46022</v>
      </c>
      <c r="V1390" s="8">
        <v>1</v>
      </c>
      <c r="W1390" t="s">
        <v>24</v>
      </c>
      <c r="X1390" t="s">
        <v>1469</v>
      </c>
      <c r="Y1390" t="s">
        <v>10</v>
      </c>
      <c r="Z1390" t="s">
        <v>11</v>
      </c>
      <c r="AA1390">
        <v>62371</v>
      </c>
      <c r="AB1390">
        <v>19890011</v>
      </c>
      <c r="AC1390">
        <v>1</v>
      </c>
      <c r="AD1390" s="8"/>
    </row>
    <row r="1391" spans="1:30" x14ac:dyDescent="0.3">
      <c r="A1391" t="s">
        <v>1627</v>
      </c>
      <c r="B1391">
        <v>1443051</v>
      </c>
      <c r="D1391" t="s">
        <v>7</v>
      </c>
      <c r="E1391">
        <v>946849</v>
      </c>
      <c r="F1391">
        <v>9015884123</v>
      </c>
      <c r="G1391">
        <v>517</v>
      </c>
      <c r="H1391" t="s">
        <v>1304</v>
      </c>
      <c r="I1391">
        <v>0</v>
      </c>
      <c r="J1391" t="s">
        <v>1305</v>
      </c>
      <c r="K1391" t="s">
        <v>8</v>
      </c>
      <c r="L1391" t="s">
        <v>67</v>
      </c>
      <c r="M1391" t="s">
        <v>9</v>
      </c>
      <c r="N1391" t="s">
        <v>14</v>
      </c>
      <c r="O1391" s="2">
        <v>135118.13</v>
      </c>
      <c r="P1391" s="3">
        <v>1251.143</v>
      </c>
      <c r="Q1391" s="1">
        <v>46033</v>
      </c>
      <c r="R1391" s="1">
        <v>45992</v>
      </c>
      <c r="S1391" s="1">
        <v>46022</v>
      </c>
      <c r="V1391" s="8">
        <v>1</v>
      </c>
      <c r="W1391" t="s">
        <v>24</v>
      </c>
      <c r="X1391" t="s">
        <v>1306</v>
      </c>
      <c r="Y1391" t="s">
        <v>10</v>
      </c>
      <c r="Z1391" t="s">
        <v>11</v>
      </c>
      <c r="AA1391">
        <v>62371</v>
      </c>
      <c r="AB1391">
        <v>17675642</v>
      </c>
      <c r="AC1391">
        <v>1</v>
      </c>
      <c r="AD1391" s="8"/>
    </row>
    <row r="1392" spans="1:30" x14ac:dyDescent="0.3">
      <c r="A1392" t="s">
        <v>1627</v>
      </c>
      <c r="B1392">
        <v>1446205</v>
      </c>
      <c r="D1392" t="s">
        <v>7</v>
      </c>
      <c r="E1392">
        <v>946898</v>
      </c>
      <c r="F1392">
        <v>9015884123</v>
      </c>
      <c r="G1392">
        <v>530</v>
      </c>
      <c r="H1392" t="s">
        <v>535</v>
      </c>
      <c r="I1392">
        <v>0</v>
      </c>
      <c r="J1392" t="s">
        <v>536</v>
      </c>
      <c r="K1392" t="s">
        <v>8</v>
      </c>
      <c r="L1392" t="s">
        <v>18</v>
      </c>
      <c r="M1392" t="s">
        <v>9</v>
      </c>
      <c r="N1392" t="s">
        <v>14</v>
      </c>
      <c r="O1392" s="2">
        <v>2.67</v>
      </c>
      <c r="P1392" s="3">
        <v>0</v>
      </c>
      <c r="Q1392" s="1">
        <v>46033</v>
      </c>
      <c r="R1392" s="1">
        <v>45992</v>
      </c>
      <c r="S1392" s="1">
        <v>46022</v>
      </c>
      <c r="V1392" s="8">
        <v>1</v>
      </c>
      <c r="W1392" t="s">
        <v>24</v>
      </c>
      <c r="X1392" t="s">
        <v>537</v>
      </c>
      <c r="Y1392" t="s">
        <v>10</v>
      </c>
      <c r="Z1392" t="s">
        <v>11</v>
      </c>
      <c r="AA1392">
        <v>62371</v>
      </c>
      <c r="AB1392">
        <v>21127206</v>
      </c>
      <c r="AC1392">
        <v>1</v>
      </c>
      <c r="AD1392" s="8"/>
    </row>
    <row r="1393" spans="1:30" x14ac:dyDescent="0.3">
      <c r="A1393" t="s">
        <v>1627</v>
      </c>
      <c r="B1393">
        <v>1446206</v>
      </c>
      <c r="D1393" t="s">
        <v>7</v>
      </c>
      <c r="E1393">
        <v>946901</v>
      </c>
      <c r="F1393">
        <v>9015884123</v>
      </c>
      <c r="G1393">
        <v>531</v>
      </c>
      <c r="H1393" t="s">
        <v>1612</v>
      </c>
      <c r="I1393">
        <v>0</v>
      </c>
      <c r="J1393" t="s">
        <v>1613</v>
      </c>
      <c r="K1393" t="s">
        <v>8</v>
      </c>
      <c r="L1393" t="s">
        <v>19</v>
      </c>
      <c r="M1393" t="s">
        <v>9</v>
      </c>
      <c r="N1393" t="s">
        <v>14</v>
      </c>
      <c r="O1393" s="2">
        <v>104226.2</v>
      </c>
      <c r="P1393" s="3">
        <v>638.81299999999999</v>
      </c>
      <c r="Q1393" s="1">
        <v>46033</v>
      </c>
      <c r="R1393" s="1">
        <v>45992</v>
      </c>
      <c r="S1393" s="1">
        <v>46022</v>
      </c>
      <c r="V1393" s="8">
        <v>1</v>
      </c>
      <c r="W1393" t="s">
        <v>24</v>
      </c>
      <c r="X1393" t="s">
        <v>1614</v>
      </c>
      <c r="Y1393" t="s">
        <v>10</v>
      </c>
      <c r="Z1393" t="s">
        <v>11</v>
      </c>
      <c r="AA1393">
        <v>62371</v>
      </c>
      <c r="AB1393">
        <v>19594784</v>
      </c>
      <c r="AC1393">
        <v>1</v>
      </c>
      <c r="AD1393" s="8"/>
    </row>
    <row r="1394" spans="1:30" x14ac:dyDescent="0.3">
      <c r="A1394" t="s">
        <v>1627</v>
      </c>
      <c r="B1394">
        <v>1282988</v>
      </c>
      <c r="D1394" t="s">
        <v>7</v>
      </c>
      <c r="E1394">
        <v>945173</v>
      </c>
      <c r="F1394">
        <v>9015884123</v>
      </c>
      <c r="G1394">
        <v>4</v>
      </c>
      <c r="H1394" t="s">
        <v>523</v>
      </c>
      <c r="I1394">
        <v>0</v>
      </c>
      <c r="J1394" t="s">
        <v>524</v>
      </c>
      <c r="K1394" t="s">
        <v>8</v>
      </c>
      <c r="L1394" t="s">
        <v>67</v>
      </c>
      <c r="M1394" t="s">
        <v>9</v>
      </c>
      <c r="N1394" t="s">
        <v>14</v>
      </c>
      <c r="O1394" s="2">
        <v>185922.46</v>
      </c>
      <c r="P1394" s="3">
        <v>1721.5719999999999</v>
      </c>
      <c r="Q1394" s="1">
        <v>46033</v>
      </c>
      <c r="R1394" s="1">
        <v>45992</v>
      </c>
      <c r="S1394" s="1">
        <v>46022</v>
      </c>
      <c r="V1394" s="8">
        <v>1</v>
      </c>
      <c r="W1394" t="s">
        <v>24</v>
      </c>
      <c r="X1394" t="s">
        <v>525</v>
      </c>
      <c r="Y1394" t="s">
        <v>10</v>
      </c>
      <c r="Z1394" t="s">
        <v>11</v>
      </c>
      <c r="AA1394">
        <v>62371</v>
      </c>
      <c r="AB1394">
        <v>17174041</v>
      </c>
      <c r="AC1394">
        <v>1</v>
      </c>
      <c r="AD1394" s="8"/>
    </row>
    <row r="1395" spans="1:30" x14ac:dyDescent="0.3">
      <c r="A1395" t="s">
        <v>1627</v>
      </c>
      <c r="B1395">
        <v>1427128</v>
      </c>
      <c r="D1395" t="s">
        <v>7</v>
      </c>
      <c r="E1395">
        <v>946909</v>
      </c>
      <c r="F1395">
        <v>9015884123</v>
      </c>
      <c r="G1395">
        <v>533</v>
      </c>
      <c r="H1395" t="s">
        <v>1473</v>
      </c>
      <c r="I1395">
        <v>0</v>
      </c>
      <c r="J1395" t="s">
        <v>1474</v>
      </c>
      <c r="K1395" t="s">
        <v>8</v>
      </c>
      <c r="L1395" t="s">
        <v>18</v>
      </c>
      <c r="M1395" t="s">
        <v>9</v>
      </c>
      <c r="N1395" t="s">
        <v>14</v>
      </c>
      <c r="O1395" s="2">
        <v>-0.43</v>
      </c>
      <c r="P1395" s="3">
        <v>0</v>
      </c>
      <c r="Q1395" s="1">
        <v>46033</v>
      </c>
      <c r="R1395" s="1">
        <v>45992</v>
      </c>
      <c r="S1395" s="1">
        <v>46022</v>
      </c>
      <c r="V1395" s="8">
        <v>2</v>
      </c>
      <c r="W1395" t="s">
        <v>24</v>
      </c>
      <c r="X1395" t="s">
        <v>1475</v>
      </c>
      <c r="Y1395" t="s">
        <v>10</v>
      </c>
      <c r="Z1395" t="s">
        <v>11</v>
      </c>
      <c r="AA1395">
        <v>62371</v>
      </c>
      <c r="AB1395">
        <v>19382091</v>
      </c>
      <c r="AC1395">
        <v>1</v>
      </c>
      <c r="AD1395" s="8"/>
    </row>
    <row r="1396" spans="1:30" x14ac:dyDescent="0.3">
      <c r="A1396" t="s">
        <v>1627</v>
      </c>
      <c r="B1396">
        <v>1303708</v>
      </c>
      <c r="D1396" t="s">
        <v>7</v>
      </c>
      <c r="E1396">
        <v>945148</v>
      </c>
      <c r="F1396">
        <v>9015884123</v>
      </c>
      <c r="G1396">
        <v>26</v>
      </c>
      <c r="H1396" t="s">
        <v>1322</v>
      </c>
      <c r="I1396">
        <v>0</v>
      </c>
      <c r="J1396" t="s">
        <v>1323</v>
      </c>
      <c r="K1396" t="s">
        <v>8</v>
      </c>
      <c r="L1396" t="s">
        <v>18</v>
      </c>
      <c r="M1396" t="s">
        <v>9</v>
      </c>
      <c r="N1396" t="s">
        <v>14</v>
      </c>
      <c r="O1396" s="2">
        <v>-4.2300000000000004</v>
      </c>
      <c r="P1396" s="3">
        <v>0</v>
      </c>
      <c r="Q1396" s="1">
        <v>46033</v>
      </c>
      <c r="R1396" s="1">
        <v>45992</v>
      </c>
      <c r="S1396" s="1">
        <v>46022</v>
      </c>
      <c r="V1396" s="8">
        <v>1</v>
      </c>
      <c r="W1396" t="s">
        <v>24</v>
      </c>
      <c r="X1396" t="s">
        <v>1324</v>
      </c>
      <c r="Y1396" t="s">
        <v>10</v>
      </c>
      <c r="Z1396" t="s">
        <v>11</v>
      </c>
      <c r="AA1396">
        <v>62371</v>
      </c>
      <c r="AB1396">
        <v>17060389</v>
      </c>
      <c r="AC1396">
        <v>1</v>
      </c>
      <c r="AD1396" s="8"/>
    </row>
    <row r="1397" spans="1:30" x14ac:dyDescent="0.3">
      <c r="A1397" t="s">
        <v>1627</v>
      </c>
      <c r="B1397">
        <v>1303720</v>
      </c>
      <c r="D1397" t="s">
        <v>7</v>
      </c>
      <c r="E1397">
        <v>945156</v>
      </c>
      <c r="F1397">
        <v>9015884123</v>
      </c>
      <c r="G1397">
        <v>30</v>
      </c>
      <c r="H1397" t="s">
        <v>1476</v>
      </c>
      <c r="I1397">
        <v>0</v>
      </c>
      <c r="J1397" t="s">
        <v>1477</v>
      </c>
      <c r="K1397" t="s">
        <v>8</v>
      </c>
      <c r="L1397" t="s">
        <v>15</v>
      </c>
      <c r="M1397" t="s">
        <v>9</v>
      </c>
      <c r="N1397" t="s">
        <v>14</v>
      </c>
      <c r="O1397" s="2">
        <v>0</v>
      </c>
      <c r="P1397" s="3">
        <v>4715.8090000000002</v>
      </c>
      <c r="Q1397" s="1">
        <v>46033</v>
      </c>
      <c r="R1397" s="1">
        <v>45992</v>
      </c>
      <c r="S1397" s="1">
        <v>46022</v>
      </c>
      <c r="V1397" s="8">
        <v>1</v>
      </c>
      <c r="W1397" t="s">
        <v>24</v>
      </c>
      <c r="X1397" t="s">
        <v>1478</v>
      </c>
      <c r="Y1397" t="s">
        <v>10</v>
      </c>
      <c r="Z1397" t="s">
        <v>11</v>
      </c>
      <c r="AA1397">
        <v>62371</v>
      </c>
      <c r="AB1397">
        <v>19402714</v>
      </c>
      <c r="AC1397">
        <v>0</v>
      </c>
      <c r="AD1397" s="8"/>
    </row>
    <row r="1398" spans="1:30" x14ac:dyDescent="0.3">
      <c r="A1398" t="s">
        <v>1627</v>
      </c>
      <c r="B1398">
        <v>1303711</v>
      </c>
      <c r="D1398" t="s">
        <v>7</v>
      </c>
      <c r="E1398">
        <v>945150</v>
      </c>
      <c r="F1398">
        <v>9015884123</v>
      </c>
      <c r="G1398">
        <v>27</v>
      </c>
      <c r="H1398" t="s">
        <v>1009</v>
      </c>
      <c r="I1398">
        <v>0</v>
      </c>
      <c r="J1398" t="s">
        <v>1010</v>
      </c>
      <c r="K1398" t="s">
        <v>8</v>
      </c>
      <c r="L1398" t="s">
        <v>67</v>
      </c>
      <c r="M1398" t="s">
        <v>9</v>
      </c>
      <c r="N1398" t="s">
        <v>14</v>
      </c>
      <c r="O1398" s="2">
        <v>622860.74</v>
      </c>
      <c r="P1398" s="3">
        <v>5767.4560000000001</v>
      </c>
      <c r="Q1398" s="1">
        <v>46033</v>
      </c>
      <c r="R1398" s="1">
        <v>45992</v>
      </c>
      <c r="S1398" s="1">
        <v>46022</v>
      </c>
      <c r="V1398" s="8">
        <v>1</v>
      </c>
      <c r="W1398" t="s">
        <v>24</v>
      </c>
      <c r="X1398" t="s">
        <v>1011</v>
      </c>
      <c r="Y1398" t="s">
        <v>10</v>
      </c>
      <c r="Z1398" t="s">
        <v>11</v>
      </c>
      <c r="AA1398">
        <v>62371</v>
      </c>
      <c r="AB1398">
        <v>19385497</v>
      </c>
      <c r="AC1398">
        <v>1</v>
      </c>
      <c r="AD1398" s="8"/>
    </row>
    <row r="1399" spans="1:30" x14ac:dyDescent="0.3">
      <c r="A1399" t="s">
        <v>1627</v>
      </c>
      <c r="B1399">
        <v>1317345</v>
      </c>
      <c r="D1399" t="s">
        <v>7</v>
      </c>
      <c r="E1399">
        <v>945182</v>
      </c>
      <c r="F1399">
        <v>9015884123</v>
      </c>
      <c r="G1399">
        <v>43</v>
      </c>
      <c r="H1399" t="s">
        <v>1316</v>
      </c>
      <c r="I1399">
        <v>0</v>
      </c>
      <c r="J1399" t="s">
        <v>1317</v>
      </c>
      <c r="K1399" t="s">
        <v>8</v>
      </c>
      <c r="L1399" t="s">
        <v>18</v>
      </c>
      <c r="M1399" t="s">
        <v>9</v>
      </c>
      <c r="N1399" t="s">
        <v>14</v>
      </c>
      <c r="O1399" s="2">
        <v>-0.56999999999999995</v>
      </c>
      <c r="P1399" s="3">
        <v>0</v>
      </c>
      <c r="Q1399" s="1">
        <v>46033</v>
      </c>
      <c r="R1399" s="1">
        <v>45992</v>
      </c>
      <c r="S1399" s="1">
        <v>46022</v>
      </c>
      <c r="V1399" s="8">
        <v>1</v>
      </c>
      <c r="W1399" t="s">
        <v>24</v>
      </c>
      <c r="X1399" t="s">
        <v>1318</v>
      </c>
      <c r="Y1399" t="s">
        <v>10</v>
      </c>
      <c r="Z1399" t="s">
        <v>11</v>
      </c>
      <c r="AA1399">
        <v>62371</v>
      </c>
      <c r="AB1399">
        <v>19553692</v>
      </c>
      <c r="AC1399">
        <v>1</v>
      </c>
      <c r="AD1399" s="8"/>
    </row>
    <row r="1400" spans="1:30" x14ac:dyDescent="0.3">
      <c r="A1400" t="s">
        <v>1627</v>
      </c>
      <c r="B1400">
        <v>1338505</v>
      </c>
      <c r="D1400" t="s">
        <v>7</v>
      </c>
      <c r="E1400">
        <v>945200</v>
      </c>
      <c r="F1400">
        <v>9015884123</v>
      </c>
      <c r="G1400">
        <v>52</v>
      </c>
      <c r="H1400" t="s">
        <v>565</v>
      </c>
      <c r="I1400">
        <v>0</v>
      </c>
      <c r="J1400" t="s">
        <v>566</v>
      </c>
      <c r="K1400" t="s">
        <v>8</v>
      </c>
      <c r="L1400" t="s">
        <v>18</v>
      </c>
      <c r="M1400" t="s">
        <v>9</v>
      </c>
      <c r="N1400" t="s">
        <v>14</v>
      </c>
      <c r="O1400" s="2">
        <v>3.38</v>
      </c>
      <c r="P1400" s="3">
        <v>0</v>
      </c>
      <c r="Q1400" s="1">
        <v>46033</v>
      </c>
      <c r="R1400" s="1">
        <v>45992</v>
      </c>
      <c r="S1400" s="1">
        <v>46022</v>
      </c>
      <c r="V1400" s="8">
        <v>1</v>
      </c>
      <c r="W1400" t="s">
        <v>24</v>
      </c>
      <c r="X1400" t="s">
        <v>567</v>
      </c>
      <c r="Y1400" t="s">
        <v>10</v>
      </c>
      <c r="Z1400" t="s">
        <v>11</v>
      </c>
      <c r="AA1400">
        <v>62371</v>
      </c>
      <c r="AB1400">
        <v>19822337</v>
      </c>
      <c r="AC1400">
        <v>0</v>
      </c>
      <c r="AD1400" s="8"/>
    </row>
    <row r="1401" spans="1:30" x14ac:dyDescent="0.3">
      <c r="A1401" t="s">
        <v>1627</v>
      </c>
      <c r="B1401">
        <v>1340674</v>
      </c>
      <c r="D1401" t="s">
        <v>7</v>
      </c>
      <c r="E1401">
        <v>945247</v>
      </c>
      <c r="F1401">
        <v>9015884123</v>
      </c>
      <c r="G1401">
        <v>66</v>
      </c>
      <c r="H1401" t="s">
        <v>568</v>
      </c>
      <c r="I1401">
        <v>0</v>
      </c>
      <c r="J1401" t="s">
        <v>569</v>
      </c>
      <c r="K1401" t="s">
        <v>8</v>
      </c>
      <c r="L1401" t="s">
        <v>19</v>
      </c>
      <c r="M1401" t="s">
        <v>9</v>
      </c>
      <c r="N1401" t="s">
        <v>14</v>
      </c>
      <c r="O1401" s="2">
        <v>29445.1</v>
      </c>
      <c r="P1401" s="3">
        <v>180.47200000000001</v>
      </c>
      <c r="Q1401" s="1">
        <v>46033</v>
      </c>
      <c r="R1401" s="1">
        <v>45992</v>
      </c>
      <c r="S1401" s="1">
        <v>46022</v>
      </c>
      <c r="V1401" s="8">
        <v>1</v>
      </c>
      <c r="W1401" t="s">
        <v>24</v>
      </c>
      <c r="X1401" t="s">
        <v>570</v>
      </c>
      <c r="Y1401" t="s">
        <v>10</v>
      </c>
      <c r="Z1401" t="s">
        <v>11</v>
      </c>
      <c r="AA1401">
        <v>62371</v>
      </c>
      <c r="AB1401">
        <v>18158545</v>
      </c>
      <c r="AC1401">
        <v>1</v>
      </c>
      <c r="AD1401" s="8"/>
    </row>
    <row r="1402" spans="1:30" x14ac:dyDescent="0.3">
      <c r="A1402" t="s">
        <v>1627</v>
      </c>
      <c r="B1402">
        <v>1340674</v>
      </c>
      <c r="D1402" t="s">
        <v>7</v>
      </c>
      <c r="E1402">
        <v>945247</v>
      </c>
      <c r="F1402">
        <v>9015884123</v>
      </c>
      <c r="G1402">
        <v>66</v>
      </c>
      <c r="H1402" t="s">
        <v>568</v>
      </c>
      <c r="I1402">
        <v>0</v>
      </c>
      <c r="J1402" t="s">
        <v>569</v>
      </c>
      <c r="K1402" t="s">
        <v>8</v>
      </c>
      <c r="L1402" t="s">
        <v>18</v>
      </c>
      <c r="M1402" t="s">
        <v>9</v>
      </c>
      <c r="N1402" t="s">
        <v>14</v>
      </c>
      <c r="O1402" s="2">
        <v>3.79</v>
      </c>
      <c r="P1402" s="3">
        <v>0</v>
      </c>
      <c r="Q1402" s="1">
        <v>46033</v>
      </c>
      <c r="R1402" s="1">
        <v>45992</v>
      </c>
      <c r="S1402" s="1">
        <v>46022</v>
      </c>
      <c r="V1402" s="8">
        <v>1</v>
      </c>
      <c r="W1402" t="s">
        <v>24</v>
      </c>
      <c r="X1402" t="s">
        <v>570</v>
      </c>
      <c r="Y1402" t="s">
        <v>10</v>
      </c>
      <c r="Z1402" t="s">
        <v>11</v>
      </c>
      <c r="AA1402">
        <v>62371</v>
      </c>
      <c r="AB1402">
        <v>18158545</v>
      </c>
      <c r="AC1402">
        <v>1</v>
      </c>
      <c r="AD1402" s="8"/>
    </row>
    <row r="1403" spans="1:30" x14ac:dyDescent="0.3">
      <c r="A1403" t="s">
        <v>1627</v>
      </c>
      <c r="B1403">
        <v>1338511</v>
      </c>
      <c r="D1403" t="s">
        <v>7</v>
      </c>
      <c r="E1403">
        <v>945203</v>
      </c>
      <c r="F1403">
        <v>9015884123</v>
      </c>
      <c r="G1403">
        <v>53</v>
      </c>
      <c r="H1403" t="s">
        <v>1000</v>
      </c>
      <c r="I1403">
        <v>0</v>
      </c>
      <c r="J1403" t="s">
        <v>1001</v>
      </c>
      <c r="K1403" t="s">
        <v>8</v>
      </c>
      <c r="L1403" t="s">
        <v>19</v>
      </c>
      <c r="M1403" t="s">
        <v>9</v>
      </c>
      <c r="N1403" t="s">
        <v>14</v>
      </c>
      <c r="O1403" s="2">
        <v>186</v>
      </c>
      <c r="P1403" s="3">
        <v>1.1399999999999999</v>
      </c>
      <c r="Q1403" s="1">
        <v>46033</v>
      </c>
      <c r="R1403" s="1">
        <v>45992</v>
      </c>
      <c r="S1403" s="1">
        <v>46022</v>
      </c>
      <c r="V1403" s="8">
        <v>1</v>
      </c>
      <c r="W1403" t="s">
        <v>24</v>
      </c>
      <c r="X1403" t="s">
        <v>1002</v>
      </c>
      <c r="Y1403" t="s">
        <v>10</v>
      </c>
      <c r="Z1403" t="s">
        <v>11</v>
      </c>
      <c r="AA1403">
        <v>62371</v>
      </c>
      <c r="AB1403">
        <v>18440412</v>
      </c>
      <c r="AC1403">
        <v>1</v>
      </c>
      <c r="AD1403" s="8"/>
    </row>
    <row r="1404" spans="1:30" x14ac:dyDescent="0.3">
      <c r="A1404" t="s">
        <v>1627</v>
      </c>
      <c r="B1404">
        <v>1338515</v>
      </c>
      <c r="D1404" t="s">
        <v>7</v>
      </c>
      <c r="E1404">
        <v>945206</v>
      </c>
      <c r="F1404">
        <v>9015884123</v>
      </c>
      <c r="G1404">
        <v>54</v>
      </c>
      <c r="H1404" t="s">
        <v>1015</v>
      </c>
      <c r="I1404">
        <v>0</v>
      </c>
      <c r="J1404" t="s">
        <v>1016</v>
      </c>
      <c r="K1404" t="s">
        <v>8</v>
      </c>
      <c r="L1404" t="s">
        <v>18</v>
      </c>
      <c r="M1404" t="s">
        <v>9</v>
      </c>
      <c r="N1404" t="s">
        <v>14</v>
      </c>
      <c r="O1404" s="2">
        <v>1.76</v>
      </c>
      <c r="P1404" s="3">
        <v>0</v>
      </c>
      <c r="Q1404" s="1">
        <v>46033</v>
      </c>
      <c r="R1404" s="1">
        <v>45992</v>
      </c>
      <c r="S1404" s="1">
        <v>46022</v>
      </c>
      <c r="V1404" s="8">
        <v>1</v>
      </c>
      <c r="W1404" t="s">
        <v>24</v>
      </c>
      <c r="X1404" t="s">
        <v>1017</v>
      </c>
      <c r="Y1404" t="s">
        <v>10</v>
      </c>
      <c r="Z1404" t="s">
        <v>11</v>
      </c>
      <c r="AA1404">
        <v>62371</v>
      </c>
      <c r="AB1404">
        <v>17068603</v>
      </c>
      <c r="AC1404">
        <v>1</v>
      </c>
      <c r="AD1404" s="8"/>
    </row>
    <row r="1405" spans="1:30" x14ac:dyDescent="0.3">
      <c r="A1405" t="s">
        <v>1627</v>
      </c>
      <c r="B1405">
        <v>1340625</v>
      </c>
      <c r="D1405" t="s">
        <v>7</v>
      </c>
      <c r="E1405">
        <v>945221</v>
      </c>
      <c r="F1405">
        <v>9015884123</v>
      </c>
      <c r="G1405">
        <v>59</v>
      </c>
      <c r="H1405" t="s">
        <v>1485</v>
      </c>
      <c r="I1405">
        <v>0</v>
      </c>
      <c r="J1405" t="s">
        <v>1486</v>
      </c>
      <c r="K1405" t="s">
        <v>8</v>
      </c>
      <c r="L1405" t="s">
        <v>15</v>
      </c>
      <c r="M1405" t="s">
        <v>9</v>
      </c>
      <c r="N1405" t="s">
        <v>14</v>
      </c>
      <c r="O1405" s="2">
        <v>0</v>
      </c>
      <c r="P1405" s="3">
        <v>12408.992</v>
      </c>
      <c r="Q1405" s="1">
        <v>46033</v>
      </c>
      <c r="R1405" s="1">
        <v>45992</v>
      </c>
      <c r="S1405" s="1">
        <v>46022</v>
      </c>
      <c r="V1405" s="8">
        <v>1</v>
      </c>
      <c r="W1405" t="s">
        <v>24</v>
      </c>
      <c r="X1405" t="s">
        <v>1487</v>
      </c>
      <c r="Y1405" t="s">
        <v>10</v>
      </c>
      <c r="Z1405" t="s">
        <v>11</v>
      </c>
      <c r="AA1405">
        <v>62371</v>
      </c>
      <c r="AB1405">
        <v>18158551</v>
      </c>
      <c r="AC1405">
        <v>1</v>
      </c>
      <c r="AD1405" s="8"/>
    </row>
    <row r="1406" spans="1:30" x14ac:dyDescent="0.3">
      <c r="A1406" t="s">
        <v>1627</v>
      </c>
      <c r="B1406">
        <v>1340625</v>
      </c>
      <c r="D1406" t="s">
        <v>7</v>
      </c>
      <c r="E1406">
        <v>945221</v>
      </c>
      <c r="F1406">
        <v>9015884123</v>
      </c>
      <c r="G1406">
        <v>59</v>
      </c>
      <c r="H1406" t="s">
        <v>1485</v>
      </c>
      <c r="I1406">
        <v>0</v>
      </c>
      <c r="J1406" t="s">
        <v>1486</v>
      </c>
      <c r="K1406" t="s">
        <v>8</v>
      </c>
      <c r="L1406" t="s">
        <v>67</v>
      </c>
      <c r="M1406" t="s">
        <v>9</v>
      </c>
      <c r="N1406" t="s">
        <v>14</v>
      </c>
      <c r="O1406" s="2">
        <v>1340118.3999999999</v>
      </c>
      <c r="P1406" s="3">
        <v>12408.992</v>
      </c>
      <c r="Q1406" s="1">
        <v>46033</v>
      </c>
      <c r="R1406" s="1">
        <v>45992</v>
      </c>
      <c r="S1406" s="1">
        <v>46022</v>
      </c>
      <c r="V1406" s="8">
        <v>1</v>
      </c>
      <c r="W1406" t="s">
        <v>24</v>
      </c>
      <c r="X1406" t="s">
        <v>1487</v>
      </c>
      <c r="Y1406" t="s">
        <v>10</v>
      </c>
      <c r="Z1406" t="s">
        <v>11</v>
      </c>
      <c r="AA1406">
        <v>62371</v>
      </c>
      <c r="AB1406">
        <v>18158551</v>
      </c>
      <c r="AC1406">
        <v>1</v>
      </c>
      <c r="AD1406" s="8"/>
    </row>
    <row r="1407" spans="1:30" x14ac:dyDescent="0.3">
      <c r="A1407" t="s">
        <v>1627</v>
      </c>
      <c r="B1407">
        <v>1443050</v>
      </c>
      <c r="D1407" t="s">
        <v>7</v>
      </c>
      <c r="E1407">
        <v>946838</v>
      </c>
      <c r="F1407">
        <v>9015884123</v>
      </c>
      <c r="G1407">
        <v>514</v>
      </c>
      <c r="H1407" t="s">
        <v>973</v>
      </c>
      <c r="I1407">
        <v>0</v>
      </c>
      <c r="J1407" t="s">
        <v>974</v>
      </c>
      <c r="K1407" t="s">
        <v>8</v>
      </c>
      <c r="L1407" t="s">
        <v>67</v>
      </c>
      <c r="M1407" t="s">
        <v>9</v>
      </c>
      <c r="N1407" t="s">
        <v>14</v>
      </c>
      <c r="O1407" s="2">
        <v>178040.61</v>
      </c>
      <c r="P1407" s="3">
        <v>1648.5889999999999</v>
      </c>
      <c r="Q1407" s="1">
        <v>46033</v>
      </c>
      <c r="R1407" s="1">
        <v>45992</v>
      </c>
      <c r="S1407" s="1">
        <v>46022</v>
      </c>
      <c r="V1407" s="8">
        <v>1</v>
      </c>
      <c r="W1407" t="s">
        <v>24</v>
      </c>
      <c r="X1407" t="s">
        <v>975</v>
      </c>
      <c r="Y1407" t="s">
        <v>10</v>
      </c>
      <c r="Z1407" t="s">
        <v>11</v>
      </c>
      <c r="AA1407">
        <v>62371</v>
      </c>
      <c r="AB1407">
        <v>19897494</v>
      </c>
      <c r="AC1407">
        <v>1</v>
      </c>
      <c r="AD1407" s="8"/>
    </row>
    <row r="1408" spans="1:30" x14ac:dyDescent="0.3">
      <c r="A1408" t="s">
        <v>1627</v>
      </c>
      <c r="B1408">
        <v>1354511</v>
      </c>
      <c r="D1408" t="s">
        <v>7</v>
      </c>
      <c r="E1408">
        <v>945353</v>
      </c>
      <c r="F1408">
        <v>9015884123</v>
      </c>
      <c r="G1408">
        <v>97</v>
      </c>
      <c r="H1408" t="s">
        <v>1349</v>
      </c>
      <c r="I1408">
        <v>0</v>
      </c>
      <c r="J1408" t="s">
        <v>1350</v>
      </c>
      <c r="K1408" t="s">
        <v>8</v>
      </c>
      <c r="L1408" t="s">
        <v>67</v>
      </c>
      <c r="M1408" t="s">
        <v>9</v>
      </c>
      <c r="N1408" t="s">
        <v>14</v>
      </c>
      <c r="O1408" s="2">
        <v>490124.46</v>
      </c>
      <c r="P1408" s="3">
        <v>3441.125</v>
      </c>
      <c r="Q1408" s="1">
        <v>46033</v>
      </c>
      <c r="R1408" s="1">
        <v>45992</v>
      </c>
      <c r="S1408" s="1">
        <v>46022</v>
      </c>
      <c r="V1408" s="8">
        <v>1</v>
      </c>
      <c r="W1408" t="s">
        <v>24</v>
      </c>
      <c r="X1408" t="s">
        <v>1351</v>
      </c>
      <c r="Y1408" t="s">
        <v>32</v>
      </c>
      <c r="Z1408" t="s">
        <v>11</v>
      </c>
      <c r="AA1408">
        <v>62371</v>
      </c>
      <c r="AB1408">
        <v>17704685</v>
      </c>
      <c r="AC1408">
        <v>0</v>
      </c>
      <c r="AD1408" s="8"/>
    </row>
    <row r="1409" spans="1:30" x14ac:dyDescent="0.3">
      <c r="A1409" t="s">
        <v>1627</v>
      </c>
      <c r="B1409">
        <v>1412076</v>
      </c>
      <c r="D1409" t="s">
        <v>7</v>
      </c>
      <c r="E1409">
        <v>946379</v>
      </c>
      <c r="F1409">
        <v>9015884123</v>
      </c>
      <c r="G1409">
        <v>363</v>
      </c>
      <c r="H1409" t="s">
        <v>1506</v>
      </c>
      <c r="I1409">
        <v>0</v>
      </c>
      <c r="J1409" t="s">
        <v>1507</v>
      </c>
      <c r="K1409" t="s">
        <v>8</v>
      </c>
      <c r="L1409" t="s">
        <v>15</v>
      </c>
      <c r="M1409" t="s">
        <v>9</v>
      </c>
      <c r="N1409" t="s">
        <v>14</v>
      </c>
      <c r="O1409" s="2">
        <v>0</v>
      </c>
      <c r="P1409" s="3">
        <v>3474.4690000000001</v>
      </c>
      <c r="Q1409" s="1">
        <v>46033</v>
      </c>
      <c r="R1409" s="1">
        <v>45992</v>
      </c>
      <c r="S1409" s="1">
        <v>46022</v>
      </c>
      <c r="V1409" s="8">
        <v>1</v>
      </c>
      <c r="W1409" t="s">
        <v>24</v>
      </c>
      <c r="X1409" t="s">
        <v>1508</v>
      </c>
      <c r="Y1409" t="s">
        <v>35</v>
      </c>
      <c r="Z1409" t="s">
        <v>11</v>
      </c>
      <c r="AA1409">
        <v>62371</v>
      </c>
      <c r="AB1409">
        <v>21342604</v>
      </c>
      <c r="AC1409">
        <v>0</v>
      </c>
      <c r="AD1409" s="8"/>
    </row>
    <row r="1410" spans="1:30" x14ac:dyDescent="0.3">
      <c r="A1410" t="s">
        <v>1627</v>
      </c>
      <c r="B1410">
        <v>1411987</v>
      </c>
      <c r="D1410" t="s">
        <v>7</v>
      </c>
      <c r="E1410">
        <v>946386</v>
      </c>
      <c r="F1410">
        <v>9015884123</v>
      </c>
      <c r="G1410">
        <v>367</v>
      </c>
      <c r="H1410" t="s">
        <v>608</v>
      </c>
      <c r="I1410">
        <v>0</v>
      </c>
      <c r="J1410" t="s">
        <v>609</v>
      </c>
      <c r="K1410" t="s">
        <v>8</v>
      </c>
      <c r="L1410" t="s">
        <v>67</v>
      </c>
      <c r="M1410" t="s">
        <v>9</v>
      </c>
      <c r="N1410" t="s">
        <v>14</v>
      </c>
      <c r="O1410" s="2">
        <v>384718.48</v>
      </c>
      <c r="P1410" s="3">
        <v>2701.078</v>
      </c>
      <c r="Q1410" s="1">
        <v>46033</v>
      </c>
      <c r="R1410" s="1">
        <v>45992</v>
      </c>
      <c r="S1410" s="1">
        <v>46022</v>
      </c>
      <c r="V1410" s="8">
        <v>1</v>
      </c>
      <c r="W1410" t="s">
        <v>24</v>
      </c>
      <c r="X1410" t="s">
        <v>610</v>
      </c>
      <c r="Y1410" t="s">
        <v>590</v>
      </c>
      <c r="Z1410" t="s">
        <v>11</v>
      </c>
      <c r="AA1410">
        <v>62371</v>
      </c>
      <c r="AB1410">
        <v>17560581</v>
      </c>
      <c r="AC1410">
        <v>0</v>
      </c>
      <c r="AD1410" s="8"/>
    </row>
    <row r="1411" spans="1:30" x14ac:dyDescent="0.3">
      <c r="A1411" t="s">
        <v>1627</v>
      </c>
      <c r="B1411">
        <v>1356333</v>
      </c>
      <c r="D1411" t="s">
        <v>7</v>
      </c>
      <c r="E1411">
        <v>945465</v>
      </c>
      <c r="F1411">
        <v>9015884123</v>
      </c>
      <c r="G1411">
        <v>134</v>
      </c>
      <c r="H1411" t="s">
        <v>1615</v>
      </c>
      <c r="I1411">
        <v>0</v>
      </c>
      <c r="J1411" t="s">
        <v>1616</v>
      </c>
      <c r="K1411" t="s">
        <v>8</v>
      </c>
      <c r="L1411" t="s">
        <v>18</v>
      </c>
      <c r="M1411" t="s">
        <v>9</v>
      </c>
      <c r="N1411" t="s">
        <v>14</v>
      </c>
      <c r="O1411" s="2">
        <v>3.77</v>
      </c>
      <c r="P1411" s="3">
        <v>0</v>
      </c>
      <c r="Q1411" s="1">
        <v>46033</v>
      </c>
      <c r="R1411" s="1">
        <v>45992</v>
      </c>
      <c r="S1411" s="1">
        <v>46022</v>
      </c>
      <c r="V1411" s="8">
        <v>1</v>
      </c>
      <c r="W1411" t="s">
        <v>24</v>
      </c>
      <c r="X1411" t="s">
        <v>1617</v>
      </c>
      <c r="Y1411" t="s">
        <v>40</v>
      </c>
      <c r="Z1411" t="s">
        <v>11</v>
      </c>
      <c r="AA1411">
        <v>62371</v>
      </c>
      <c r="AB1411">
        <v>19752666</v>
      </c>
      <c r="AC1411">
        <v>1</v>
      </c>
      <c r="AD1411" s="8"/>
    </row>
    <row r="1412" spans="1:30" x14ac:dyDescent="0.3">
      <c r="A1412" t="s">
        <v>1627</v>
      </c>
      <c r="B1412">
        <v>1356300</v>
      </c>
      <c r="D1412" t="s">
        <v>7</v>
      </c>
      <c r="E1412">
        <v>945385</v>
      </c>
      <c r="F1412">
        <v>9015884123</v>
      </c>
      <c r="G1412">
        <v>107</v>
      </c>
      <c r="H1412" t="s">
        <v>1509</v>
      </c>
      <c r="I1412">
        <v>0</v>
      </c>
      <c r="J1412" t="s">
        <v>1510</v>
      </c>
      <c r="K1412" t="s">
        <v>8</v>
      </c>
      <c r="L1412" t="s">
        <v>18</v>
      </c>
      <c r="M1412" t="s">
        <v>9</v>
      </c>
      <c r="N1412" t="s">
        <v>14</v>
      </c>
      <c r="O1412" s="2">
        <v>4.97</v>
      </c>
      <c r="P1412" s="3">
        <v>0</v>
      </c>
      <c r="Q1412" s="1">
        <v>46033</v>
      </c>
      <c r="R1412" s="1">
        <v>45992</v>
      </c>
      <c r="S1412" s="1">
        <v>46022</v>
      </c>
      <c r="V1412" s="8">
        <v>1</v>
      </c>
      <c r="W1412" t="s">
        <v>24</v>
      </c>
      <c r="X1412" t="s">
        <v>1511</v>
      </c>
      <c r="Y1412" t="s">
        <v>40</v>
      </c>
      <c r="Z1412" t="s">
        <v>11</v>
      </c>
      <c r="AA1412">
        <v>62371</v>
      </c>
      <c r="AB1412">
        <v>21106441</v>
      </c>
      <c r="AC1412">
        <v>1</v>
      </c>
      <c r="AD1412" s="8"/>
    </row>
    <row r="1413" spans="1:30" x14ac:dyDescent="0.3">
      <c r="A1413" t="s">
        <v>1627</v>
      </c>
      <c r="B1413">
        <v>1358831</v>
      </c>
      <c r="D1413" t="s">
        <v>7</v>
      </c>
      <c r="E1413">
        <v>945901</v>
      </c>
      <c r="F1413">
        <v>9015884123</v>
      </c>
      <c r="G1413">
        <v>150</v>
      </c>
      <c r="H1413" t="s">
        <v>1497</v>
      </c>
      <c r="I1413">
        <v>0</v>
      </c>
      <c r="J1413" t="s">
        <v>1498</v>
      </c>
      <c r="K1413" t="s">
        <v>8</v>
      </c>
      <c r="L1413" t="s">
        <v>15</v>
      </c>
      <c r="M1413" t="s">
        <v>9</v>
      </c>
      <c r="N1413" t="s">
        <v>14</v>
      </c>
      <c r="O1413" s="2">
        <v>0</v>
      </c>
      <c r="P1413" s="3">
        <v>3052.6280000000002</v>
      </c>
      <c r="Q1413" s="1">
        <v>46033</v>
      </c>
      <c r="R1413" s="1">
        <v>45992</v>
      </c>
      <c r="S1413" s="1">
        <v>46022</v>
      </c>
      <c r="V1413" s="8">
        <v>1</v>
      </c>
      <c r="W1413" t="s">
        <v>24</v>
      </c>
      <c r="X1413" t="s">
        <v>1499</v>
      </c>
      <c r="Y1413" t="s">
        <v>40</v>
      </c>
      <c r="Z1413" t="s">
        <v>11</v>
      </c>
      <c r="AA1413">
        <v>62371</v>
      </c>
      <c r="AB1413">
        <v>21106482</v>
      </c>
      <c r="AC1413">
        <v>1</v>
      </c>
      <c r="AD1413" s="8"/>
    </row>
    <row r="1414" spans="1:30" x14ac:dyDescent="0.3">
      <c r="A1414" t="s">
        <v>1627</v>
      </c>
      <c r="B1414">
        <v>1363374</v>
      </c>
      <c r="D1414" t="s">
        <v>7</v>
      </c>
      <c r="E1414">
        <v>945915</v>
      </c>
      <c r="F1414">
        <v>9015884123</v>
      </c>
      <c r="G1414">
        <v>166</v>
      </c>
      <c r="H1414" t="s">
        <v>649</v>
      </c>
      <c r="I1414">
        <v>0</v>
      </c>
      <c r="J1414" t="s">
        <v>650</v>
      </c>
      <c r="K1414" t="s">
        <v>8</v>
      </c>
      <c r="L1414" t="s">
        <v>67</v>
      </c>
      <c r="M1414" t="s">
        <v>9</v>
      </c>
      <c r="N1414" t="s">
        <v>14</v>
      </c>
      <c r="O1414" s="2">
        <v>1200606.05</v>
      </c>
      <c r="P1414" s="3">
        <v>8429.36</v>
      </c>
      <c r="Q1414" s="1">
        <v>46033</v>
      </c>
      <c r="R1414" s="1">
        <v>45992</v>
      </c>
      <c r="S1414" s="1">
        <v>46022</v>
      </c>
      <c r="V1414" s="8">
        <v>1</v>
      </c>
      <c r="W1414" t="s">
        <v>24</v>
      </c>
      <c r="X1414" t="s">
        <v>651</v>
      </c>
      <c r="Y1414" t="s">
        <v>40</v>
      </c>
      <c r="Z1414" t="s">
        <v>11</v>
      </c>
      <c r="AA1414">
        <v>62371</v>
      </c>
      <c r="AB1414">
        <v>19645158</v>
      </c>
      <c r="AC1414">
        <v>0</v>
      </c>
      <c r="AD1414" s="8"/>
    </row>
    <row r="1415" spans="1:30" x14ac:dyDescent="0.3">
      <c r="A1415" t="s">
        <v>1627</v>
      </c>
      <c r="B1415">
        <v>1380293</v>
      </c>
      <c r="D1415" t="s">
        <v>7</v>
      </c>
      <c r="E1415">
        <v>945991</v>
      </c>
      <c r="F1415">
        <v>9015884123</v>
      </c>
      <c r="G1415">
        <v>214</v>
      </c>
      <c r="H1415" t="s">
        <v>1036</v>
      </c>
      <c r="I1415">
        <v>0</v>
      </c>
      <c r="J1415" t="s">
        <v>1037</v>
      </c>
      <c r="K1415" t="s">
        <v>8</v>
      </c>
      <c r="L1415" t="s">
        <v>67</v>
      </c>
      <c r="M1415" t="s">
        <v>9</v>
      </c>
      <c r="N1415" t="s">
        <v>14</v>
      </c>
      <c r="O1415" s="2">
        <v>110879.56</v>
      </c>
      <c r="P1415" s="3">
        <v>1026.703</v>
      </c>
      <c r="Q1415" s="1">
        <v>46033</v>
      </c>
      <c r="R1415" s="1">
        <v>45992</v>
      </c>
      <c r="S1415" s="1">
        <v>46022</v>
      </c>
      <c r="V1415" s="8">
        <v>1</v>
      </c>
      <c r="W1415" t="s">
        <v>24</v>
      </c>
      <c r="X1415" t="s">
        <v>1038</v>
      </c>
      <c r="Y1415" t="s">
        <v>40</v>
      </c>
      <c r="Z1415" t="s">
        <v>11</v>
      </c>
      <c r="AA1415">
        <v>62371</v>
      </c>
      <c r="AB1415">
        <v>19853293</v>
      </c>
      <c r="AC1415">
        <v>1</v>
      </c>
      <c r="AD1415" s="8"/>
    </row>
    <row r="1416" spans="1:30" x14ac:dyDescent="0.3">
      <c r="A1416" t="s">
        <v>1627</v>
      </c>
      <c r="B1416">
        <v>1446203</v>
      </c>
      <c r="D1416" t="s">
        <v>7</v>
      </c>
      <c r="E1416">
        <v>946891</v>
      </c>
      <c r="F1416">
        <v>9015884123</v>
      </c>
      <c r="G1416">
        <v>528</v>
      </c>
      <c r="H1416" t="s">
        <v>1579</v>
      </c>
      <c r="I1416">
        <v>0</v>
      </c>
      <c r="J1416" t="s">
        <v>1580</v>
      </c>
      <c r="K1416" t="s">
        <v>8</v>
      </c>
      <c r="L1416" t="s">
        <v>18</v>
      </c>
      <c r="M1416" t="s">
        <v>9</v>
      </c>
      <c r="N1416" t="s">
        <v>14</v>
      </c>
      <c r="O1416" s="2">
        <v>-2.87</v>
      </c>
      <c r="P1416" s="3">
        <v>0</v>
      </c>
      <c r="Q1416" s="1">
        <v>46033</v>
      </c>
      <c r="R1416" s="1">
        <v>45992</v>
      </c>
      <c r="S1416" s="1">
        <v>46022</v>
      </c>
      <c r="V1416" s="8">
        <v>1</v>
      </c>
      <c r="W1416" t="s">
        <v>24</v>
      </c>
      <c r="X1416" t="s">
        <v>1581</v>
      </c>
      <c r="Y1416" t="s">
        <v>10</v>
      </c>
      <c r="Z1416" t="s">
        <v>11</v>
      </c>
      <c r="AA1416">
        <v>62371</v>
      </c>
      <c r="AB1416">
        <v>18556949</v>
      </c>
      <c r="AC1416">
        <v>1</v>
      </c>
      <c r="AD1416" s="8"/>
    </row>
    <row r="1417" spans="1:30" x14ac:dyDescent="0.3">
      <c r="A1417" t="s">
        <v>1627</v>
      </c>
      <c r="B1417">
        <v>1446202</v>
      </c>
      <c r="D1417" t="s">
        <v>7</v>
      </c>
      <c r="E1417">
        <v>946887</v>
      </c>
      <c r="F1417">
        <v>9015884123</v>
      </c>
      <c r="G1417">
        <v>527</v>
      </c>
      <c r="H1417" t="s">
        <v>1470</v>
      </c>
      <c r="I1417">
        <v>0</v>
      </c>
      <c r="J1417" t="s">
        <v>1471</v>
      </c>
      <c r="K1417" t="s">
        <v>8</v>
      </c>
      <c r="L1417" t="s">
        <v>19</v>
      </c>
      <c r="M1417" t="s">
        <v>9</v>
      </c>
      <c r="N1417" t="s">
        <v>14</v>
      </c>
      <c r="O1417" s="2">
        <v>31392.36</v>
      </c>
      <c r="P1417" s="3">
        <v>192.40700000000001</v>
      </c>
      <c r="Q1417" s="1">
        <v>46033</v>
      </c>
      <c r="R1417" s="1">
        <v>45992</v>
      </c>
      <c r="S1417" s="1">
        <v>46022</v>
      </c>
      <c r="V1417" s="8">
        <v>1</v>
      </c>
      <c r="W1417" t="s">
        <v>24</v>
      </c>
      <c r="X1417" t="s">
        <v>1472</v>
      </c>
      <c r="Y1417" t="s">
        <v>10</v>
      </c>
      <c r="Z1417" t="s">
        <v>11</v>
      </c>
      <c r="AA1417">
        <v>62371</v>
      </c>
      <c r="AB1417">
        <v>18629844</v>
      </c>
      <c r="AC1417">
        <v>1</v>
      </c>
      <c r="AD1417" s="8"/>
    </row>
    <row r="1418" spans="1:30" x14ac:dyDescent="0.3">
      <c r="A1418" t="s">
        <v>1627</v>
      </c>
      <c r="B1418">
        <v>1446202</v>
      </c>
      <c r="D1418" t="s">
        <v>7</v>
      </c>
      <c r="E1418">
        <v>946887</v>
      </c>
      <c r="F1418">
        <v>9015884123</v>
      </c>
      <c r="G1418">
        <v>527</v>
      </c>
      <c r="H1418" t="s">
        <v>1470</v>
      </c>
      <c r="I1418">
        <v>0</v>
      </c>
      <c r="J1418" t="s">
        <v>1471</v>
      </c>
      <c r="K1418" t="s">
        <v>8</v>
      </c>
      <c r="L1418" t="s">
        <v>18</v>
      </c>
      <c r="M1418" t="s">
        <v>9</v>
      </c>
      <c r="N1418" t="s">
        <v>14</v>
      </c>
      <c r="O1418" s="2">
        <v>0.71</v>
      </c>
      <c r="P1418" s="3">
        <v>0</v>
      </c>
      <c r="Q1418" s="1">
        <v>46033</v>
      </c>
      <c r="R1418" s="1">
        <v>45992</v>
      </c>
      <c r="S1418" s="1">
        <v>46022</v>
      </c>
      <c r="V1418" s="8">
        <v>1</v>
      </c>
      <c r="W1418" t="s">
        <v>24</v>
      </c>
      <c r="X1418" t="s">
        <v>1472</v>
      </c>
      <c r="Y1418" t="s">
        <v>10</v>
      </c>
      <c r="Z1418" t="s">
        <v>11</v>
      </c>
      <c r="AA1418">
        <v>62371</v>
      </c>
      <c r="AB1418">
        <v>18629844</v>
      </c>
      <c r="AC1418">
        <v>1</v>
      </c>
      <c r="AD1418" s="8"/>
    </row>
    <row r="1419" spans="1:30" x14ac:dyDescent="0.3">
      <c r="A1419" t="s">
        <v>1627</v>
      </c>
      <c r="B1419">
        <v>1403632</v>
      </c>
      <c r="D1419" t="s">
        <v>7</v>
      </c>
      <c r="E1419">
        <v>946107</v>
      </c>
      <c r="F1419">
        <v>9015884123</v>
      </c>
      <c r="G1419">
        <v>256</v>
      </c>
      <c r="H1419" t="s">
        <v>1045</v>
      </c>
      <c r="I1419">
        <v>0</v>
      </c>
      <c r="J1419" t="s">
        <v>1046</v>
      </c>
      <c r="K1419" t="s">
        <v>8</v>
      </c>
      <c r="L1419" t="s">
        <v>19</v>
      </c>
      <c r="M1419" t="s">
        <v>9</v>
      </c>
      <c r="N1419" t="s">
        <v>14</v>
      </c>
      <c r="O1419" s="2">
        <v>57.76</v>
      </c>
      <c r="P1419" s="3">
        <v>0.35399999999999998</v>
      </c>
      <c r="Q1419" s="1">
        <v>46033</v>
      </c>
      <c r="R1419" s="1">
        <v>45992</v>
      </c>
      <c r="S1419" s="1">
        <v>46022</v>
      </c>
      <c r="V1419" s="8">
        <v>1</v>
      </c>
      <c r="W1419" t="s">
        <v>24</v>
      </c>
      <c r="X1419" t="s">
        <v>1047</v>
      </c>
      <c r="Y1419" t="s">
        <v>40</v>
      </c>
      <c r="Z1419" t="s">
        <v>11</v>
      </c>
      <c r="AA1419">
        <v>62371</v>
      </c>
      <c r="AB1419">
        <v>18766882</v>
      </c>
      <c r="AC1419">
        <v>1</v>
      </c>
      <c r="AD1419" s="8"/>
    </row>
    <row r="1420" spans="1:30" x14ac:dyDescent="0.3">
      <c r="A1420" t="s">
        <v>1627</v>
      </c>
      <c r="B1420">
        <v>1303705</v>
      </c>
      <c r="D1420" t="s">
        <v>7</v>
      </c>
      <c r="E1420">
        <v>945146</v>
      </c>
      <c r="F1420">
        <v>9015884123</v>
      </c>
      <c r="G1420">
        <v>25</v>
      </c>
      <c r="H1420" t="s">
        <v>1313</v>
      </c>
      <c r="I1420">
        <v>0</v>
      </c>
      <c r="J1420" t="s">
        <v>1314</v>
      </c>
      <c r="K1420" t="s">
        <v>8</v>
      </c>
      <c r="L1420" t="s">
        <v>67</v>
      </c>
      <c r="M1420" t="s">
        <v>9</v>
      </c>
      <c r="N1420" t="s">
        <v>14</v>
      </c>
      <c r="O1420" s="2">
        <v>662485.78</v>
      </c>
      <c r="P1420" s="3">
        <v>6134.3689999999997</v>
      </c>
      <c r="Q1420" s="1">
        <v>46033</v>
      </c>
      <c r="R1420" s="1">
        <v>45992</v>
      </c>
      <c r="S1420" s="1">
        <v>46022</v>
      </c>
      <c r="V1420" s="8">
        <v>1</v>
      </c>
      <c r="W1420" t="s">
        <v>24</v>
      </c>
      <c r="X1420" t="s">
        <v>1315</v>
      </c>
      <c r="Y1420" t="s">
        <v>10</v>
      </c>
      <c r="Z1420" t="s">
        <v>11</v>
      </c>
      <c r="AA1420">
        <v>62371</v>
      </c>
      <c r="AB1420">
        <v>17053721</v>
      </c>
      <c r="AC1420">
        <v>1</v>
      </c>
      <c r="AD1420" s="8"/>
    </row>
    <row r="1421" spans="1:30" x14ac:dyDescent="0.3">
      <c r="A1421" t="s">
        <v>1627</v>
      </c>
      <c r="B1421">
        <v>1308500</v>
      </c>
      <c r="D1421" t="s">
        <v>7</v>
      </c>
      <c r="E1421">
        <v>945178</v>
      </c>
      <c r="F1421">
        <v>9015884123</v>
      </c>
      <c r="G1421">
        <v>41</v>
      </c>
      <c r="H1421" t="s">
        <v>562</v>
      </c>
      <c r="I1421">
        <v>0</v>
      </c>
      <c r="J1421" t="s">
        <v>563</v>
      </c>
      <c r="K1421" t="s">
        <v>8</v>
      </c>
      <c r="L1421" t="s">
        <v>19</v>
      </c>
      <c r="M1421" t="s">
        <v>9</v>
      </c>
      <c r="N1421" t="s">
        <v>14</v>
      </c>
      <c r="O1421" s="2">
        <v>4116.55</v>
      </c>
      <c r="P1421" s="3">
        <v>32.343000000000004</v>
      </c>
      <c r="Q1421" s="1">
        <v>46033</v>
      </c>
      <c r="R1421" s="1">
        <v>45992</v>
      </c>
      <c r="S1421" s="1">
        <v>46022</v>
      </c>
      <c r="V1421" s="8">
        <v>2</v>
      </c>
      <c r="W1421" t="s">
        <v>24</v>
      </c>
      <c r="X1421" t="s">
        <v>564</v>
      </c>
      <c r="Y1421" t="s">
        <v>10</v>
      </c>
      <c r="Z1421" t="s">
        <v>11</v>
      </c>
      <c r="AA1421">
        <v>62371</v>
      </c>
      <c r="AB1421">
        <v>18069004</v>
      </c>
      <c r="AC1421">
        <v>1</v>
      </c>
      <c r="AD1421" s="8"/>
    </row>
    <row r="1422" spans="1:30" x14ac:dyDescent="0.3">
      <c r="A1422" t="s">
        <v>1627</v>
      </c>
      <c r="B1422">
        <v>1428549</v>
      </c>
      <c r="D1422" t="s">
        <v>7</v>
      </c>
      <c r="E1422">
        <v>946803</v>
      </c>
      <c r="F1422">
        <v>9015884123</v>
      </c>
      <c r="G1422">
        <v>502</v>
      </c>
      <c r="H1422" t="s">
        <v>640</v>
      </c>
      <c r="I1422">
        <v>0</v>
      </c>
      <c r="J1422" t="s">
        <v>641</v>
      </c>
      <c r="K1422" t="s">
        <v>8</v>
      </c>
      <c r="L1422" t="s">
        <v>67</v>
      </c>
      <c r="M1422" t="s">
        <v>9</v>
      </c>
      <c r="N1422" t="s">
        <v>14</v>
      </c>
      <c r="O1422" s="2">
        <v>164017.03</v>
      </c>
      <c r="P1422" s="3">
        <v>1518.7360000000001</v>
      </c>
      <c r="Q1422" s="1">
        <v>46033</v>
      </c>
      <c r="R1422" s="1">
        <v>45992</v>
      </c>
      <c r="S1422" s="1">
        <v>46022</v>
      </c>
      <c r="V1422" s="8">
        <v>1</v>
      </c>
      <c r="W1422" t="s">
        <v>24</v>
      </c>
      <c r="X1422" t="s">
        <v>642</v>
      </c>
      <c r="Y1422" t="s">
        <v>40</v>
      </c>
      <c r="Z1422" t="s">
        <v>11</v>
      </c>
      <c r="AA1422">
        <v>62371</v>
      </c>
      <c r="AB1422">
        <v>18766493</v>
      </c>
      <c r="AC1422">
        <v>1</v>
      </c>
      <c r="AD1422" s="8"/>
    </row>
    <row r="1423" spans="1:30" x14ac:dyDescent="0.3">
      <c r="A1423" t="s">
        <v>1627</v>
      </c>
      <c r="B1423">
        <v>1296994</v>
      </c>
      <c r="D1423" t="s">
        <v>7</v>
      </c>
      <c r="E1423">
        <v>945131</v>
      </c>
      <c r="F1423">
        <v>9015884123</v>
      </c>
      <c r="G1423">
        <v>18</v>
      </c>
      <c r="H1423" t="s">
        <v>544</v>
      </c>
      <c r="I1423">
        <v>0</v>
      </c>
      <c r="J1423" t="s">
        <v>545</v>
      </c>
      <c r="K1423" t="s">
        <v>8</v>
      </c>
      <c r="L1423" t="s">
        <v>18</v>
      </c>
      <c r="M1423" t="s">
        <v>9</v>
      </c>
      <c r="N1423" t="s">
        <v>14</v>
      </c>
      <c r="O1423" s="2">
        <v>-2.0499999999999998</v>
      </c>
      <c r="P1423" s="3">
        <v>0</v>
      </c>
      <c r="Q1423" s="1">
        <v>46033</v>
      </c>
      <c r="R1423" s="1">
        <v>45992</v>
      </c>
      <c r="S1423" s="1">
        <v>46022</v>
      </c>
      <c r="V1423" s="8">
        <v>1</v>
      </c>
      <c r="W1423" t="s">
        <v>24</v>
      </c>
      <c r="X1423" t="s">
        <v>546</v>
      </c>
      <c r="Y1423" t="s">
        <v>10</v>
      </c>
      <c r="Z1423" t="s">
        <v>11</v>
      </c>
      <c r="AA1423">
        <v>62371</v>
      </c>
      <c r="AB1423">
        <v>21394676</v>
      </c>
      <c r="AC1423">
        <v>1</v>
      </c>
      <c r="AD1423" s="8"/>
    </row>
    <row r="1424" spans="1:30" x14ac:dyDescent="0.3">
      <c r="A1424" t="s">
        <v>1627</v>
      </c>
      <c r="B1424">
        <v>1296995</v>
      </c>
      <c r="D1424" t="s">
        <v>7</v>
      </c>
      <c r="E1424">
        <v>945133</v>
      </c>
      <c r="F1424">
        <v>9015884123</v>
      </c>
      <c r="G1424">
        <v>19</v>
      </c>
      <c r="H1424" t="s">
        <v>547</v>
      </c>
      <c r="I1424">
        <v>0</v>
      </c>
      <c r="J1424" t="s">
        <v>548</v>
      </c>
      <c r="K1424" t="s">
        <v>8</v>
      </c>
      <c r="L1424" t="s">
        <v>19</v>
      </c>
      <c r="M1424" t="s">
        <v>9</v>
      </c>
      <c r="N1424" t="s">
        <v>14</v>
      </c>
      <c r="O1424" s="2">
        <v>667.63</v>
      </c>
      <c r="P1424" s="3">
        <v>4.0919999999999996</v>
      </c>
      <c r="Q1424" s="1">
        <v>46033</v>
      </c>
      <c r="R1424" s="1">
        <v>45992</v>
      </c>
      <c r="S1424" s="1">
        <v>46022</v>
      </c>
      <c r="V1424" s="8">
        <v>1</v>
      </c>
      <c r="W1424" t="s">
        <v>24</v>
      </c>
      <c r="X1424" t="s">
        <v>549</v>
      </c>
      <c r="Y1424" t="s">
        <v>10</v>
      </c>
      <c r="Z1424" t="s">
        <v>11</v>
      </c>
      <c r="AA1424">
        <v>62371</v>
      </c>
      <c r="AB1424">
        <v>21394683</v>
      </c>
      <c r="AC1424">
        <v>1</v>
      </c>
      <c r="AD1424" s="8"/>
    </row>
    <row r="1425" spans="1:30" x14ac:dyDescent="0.3">
      <c r="A1425" t="s">
        <v>1627</v>
      </c>
      <c r="B1425">
        <v>1296990</v>
      </c>
      <c r="D1425" t="s">
        <v>7</v>
      </c>
      <c r="E1425">
        <v>945129</v>
      </c>
      <c r="F1425">
        <v>9015884123</v>
      </c>
      <c r="G1425">
        <v>17</v>
      </c>
      <c r="H1425" t="s">
        <v>553</v>
      </c>
      <c r="I1425">
        <v>0</v>
      </c>
      <c r="J1425" t="s">
        <v>554</v>
      </c>
      <c r="K1425" t="s">
        <v>8</v>
      </c>
      <c r="L1425" t="s">
        <v>19</v>
      </c>
      <c r="M1425" t="s">
        <v>9</v>
      </c>
      <c r="N1425" t="s">
        <v>14</v>
      </c>
      <c r="O1425" s="2">
        <v>89.74</v>
      </c>
      <c r="P1425" s="3">
        <v>0.55000000000000004</v>
      </c>
      <c r="Q1425" s="1">
        <v>46033</v>
      </c>
      <c r="R1425" s="1">
        <v>45992</v>
      </c>
      <c r="S1425" s="1">
        <v>46022</v>
      </c>
      <c r="V1425" s="8">
        <v>1</v>
      </c>
      <c r="W1425" t="s">
        <v>24</v>
      </c>
      <c r="X1425" t="s">
        <v>555</v>
      </c>
      <c r="Y1425" t="s">
        <v>10</v>
      </c>
      <c r="Z1425" t="s">
        <v>11</v>
      </c>
      <c r="AA1425">
        <v>62371</v>
      </c>
      <c r="AB1425">
        <v>21394670</v>
      </c>
      <c r="AC1425">
        <v>1</v>
      </c>
      <c r="AD1425" s="8"/>
    </row>
    <row r="1426" spans="1:30" x14ac:dyDescent="0.3">
      <c r="A1426" t="s">
        <v>1627</v>
      </c>
      <c r="B1426">
        <v>1303716</v>
      </c>
      <c r="D1426" t="s">
        <v>7</v>
      </c>
      <c r="E1426">
        <v>945152</v>
      </c>
      <c r="F1426">
        <v>9015884123</v>
      </c>
      <c r="G1426">
        <v>28</v>
      </c>
      <c r="H1426" t="s">
        <v>559</v>
      </c>
      <c r="I1426">
        <v>0</v>
      </c>
      <c r="J1426" t="s">
        <v>560</v>
      </c>
      <c r="K1426" t="s">
        <v>8</v>
      </c>
      <c r="L1426" t="s">
        <v>15</v>
      </c>
      <c r="M1426" t="s">
        <v>9</v>
      </c>
      <c r="N1426" t="s">
        <v>14</v>
      </c>
      <c r="O1426" s="2">
        <v>0</v>
      </c>
      <c r="P1426" s="3">
        <v>4595.1210000000001</v>
      </c>
      <c r="Q1426" s="1">
        <v>46033</v>
      </c>
      <c r="R1426" s="1">
        <v>45992</v>
      </c>
      <c r="S1426" s="1">
        <v>46022</v>
      </c>
      <c r="V1426" s="8">
        <v>1</v>
      </c>
      <c r="W1426" t="s">
        <v>24</v>
      </c>
      <c r="X1426" t="s">
        <v>561</v>
      </c>
      <c r="Y1426" t="s">
        <v>10</v>
      </c>
      <c r="Z1426" t="s">
        <v>11</v>
      </c>
      <c r="AA1426">
        <v>62371</v>
      </c>
      <c r="AB1426">
        <v>18652496</v>
      </c>
      <c r="AC1426">
        <v>1</v>
      </c>
      <c r="AD1426" s="8"/>
    </row>
    <row r="1427" spans="1:30" x14ac:dyDescent="0.3">
      <c r="A1427" t="s">
        <v>1627</v>
      </c>
      <c r="B1427">
        <v>1303716</v>
      </c>
      <c r="D1427" t="s">
        <v>7</v>
      </c>
      <c r="E1427">
        <v>945152</v>
      </c>
      <c r="F1427">
        <v>9015884123</v>
      </c>
      <c r="G1427">
        <v>28</v>
      </c>
      <c r="H1427" t="s">
        <v>559</v>
      </c>
      <c r="I1427">
        <v>0</v>
      </c>
      <c r="J1427" t="s">
        <v>560</v>
      </c>
      <c r="K1427" t="s">
        <v>8</v>
      </c>
      <c r="L1427" t="s">
        <v>19</v>
      </c>
      <c r="M1427" t="s">
        <v>9</v>
      </c>
      <c r="N1427" t="s">
        <v>14</v>
      </c>
      <c r="O1427" s="2">
        <v>192.52</v>
      </c>
      <c r="P1427" s="3">
        <v>1.18</v>
      </c>
      <c r="Q1427" s="1">
        <v>46033</v>
      </c>
      <c r="R1427" s="1">
        <v>45992</v>
      </c>
      <c r="S1427" s="1">
        <v>46022</v>
      </c>
      <c r="V1427" s="8">
        <v>1</v>
      </c>
      <c r="W1427" t="s">
        <v>24</v>
      </c>
      <c r="X1427" t="s">
        <v>561</v>
      </c>
      <c r="Y1427" t="s">
        <v>10</v>
      </c>
      <c r="Z1427" t="s">
        <v>11</v>
      </c>
      <c r="AA1427">
        <v>62371</v>
      </c>
      <c r="AB1427">
        <v>18652496</v>
      </c>
      <c r="AC1427">
        <v>1</v>
      </c>
      <c r="AD1427" s="8"/>
    </row>
    <row r="1428" spans="1:30" x14ac:dyDescent="0.3">
      <c r="A1428" t="s">
        <v>1627</v>
      </c>
      <c r="B1428">
        <v>1303762</v>
      </c>
      <c r="D1428" t="s">
        <v>7</v>
      </c>
      <c r="E1428">
        <v>945142</v>
      </c>
      <c r="F1428">
        <v>9015884123</v>
      </c>
      <c r="G1428">
        <v>22</v>
      </c>
      <c r="H1428" t="s">
        <v>659</v>
      </c>
      <c r="I1428">
        <v>0</v>
      </c>
      <c r="J1428" t="s">
        <v>660</v>
      </c>
      <c r="K1428" t="s">
        <v>8</v>
      </c>
      <c r="L1428" t="s">
        <v>15</v>
      </c>
      <c r="M1428" t="s">
        <v>9</v>
      </c>
      <c r="N1428" t="s">
        <v>14</v>
      </c>
      <c r="O1428" s="2">
        <v>0</v>
      </c>
      <c r="P1428" s="3">
        <v>3951.9209999999998</v>
      </c>
      <c r="Q1428" s="1">
        <v>46033</v>
      </c>
      <c r="R1428" s="1">
        <v>45992</v>
      </c>
      <c r="S1428" s="1">
        <v>46022</v>
      </c>
      <c r="V1428" s="8">
        <v>1</v>
      </c>
      <c r="W1428" t="s">
        <v>24</v>
      </c>
      <c r="X1428" t="s">
        <v>661</v>
      </c>
      <c r="Y1428" t="s">
        <v>40</v>
      </c>
      <c r="Z1428" t="s">
        <v>11</v>
      </c>
      <c r="AA1428">
        <v>62371</v>
      </c>
      <c r="AB1428">
        <v>19752927</v>
      </c>
      <c r="AC1428">
        <v>1</v>
      </c>
      <c r="AD1428" s="8"/>
    </row>
    <row r="1429" spans="1:30" x14ac:dyDescent="0.3">
      <c r="A1429" t="s">
        <v>1627</v>
      </c>
      <c r="B1429">
        <v>1307882</v>
      </c>
      <c r="D1429" t="s">
        <v>7</v>
      </c>
      <c r="E1429">
        <v>945169</v>
      </c>
      <c r="F1429">
        <v>9015884123</v>
      </c>
      <c r="G1429">
        <v>38</v>
      </c>
      <c r="H1429" t="s">
        <v>697</v>
      </c>
      <c r="I1429">
        <v>0</v>
      </c>
      <c r="J1429" t="s">
        <v>698</v>
      </c>
      <c r="K1429" t="s">
        <v>8</v>
      </c>
      <c r="L1429" t="s">
        <v>18</v>
      </c>
      <c r="M1429" t="s">
        <v>9</v>
      </c>
      <c r="N1429" t="s">
        <v>14</v>
      </c>
      <c r="O1429" s="2">
        <v>4.88</v>
      </c>
      <c r="P1429" s="3">
        <v>0</v>
      </c>
      <c r="Q1429" s="1">
        <v>46033</v>
      </c>
      <c r="R1429" s="1">
        <v>45992</v>
      </c>
      <c r="S1429" s="1">
        <v>46022</v>
      </c>
      <c r="V1429" s="8">
        <v>1</v>
      </c>
      <c r="W1429" t="s">
        <v>24</v>
      </c>
      <c r="X1429" t="s">
        <v>699</v>
      </c>
      <c r="Y1429" t="s">
        <v>40</v>
      </c>
      <c r="Z1429" t="s">
        <v>11</v>
      </c>
      <c r="AA1429">
        <v>62371</v>
      </c>
      <c r="AB1429">
        <v>20091581</v>
      </c>
      <c r="AC1429">
        <v>0</v>
      </c>
      <c r="AD1429" s="8"/>
    </row>
    <row r="1430" spans="1:30" x14ac:dyDescent="0.3">
      <c r="A1430" t="s">
        <v>1627</v>
      </c>
      <c r="B1430">
        <v>1317345</v>
      </c>
      <c r="D1430" t="s">
        <v>7</v>
      </c>
      <c r="E1430">
        <v>945182</v>
      </c>
      <c r="F1430">
        <v>9015884123</v>
      </c>
      <c r="G1430">
        <v>43</v>
      </c>
      <c r="H1430" t="s">
        <v>1316</v>
      </c>
      <c r="I1430">
        <v>0</v>
      </c>
      <c r="J1430" t="s">
        <v>1317</v>
      </c>
      <c r="K1430" t="s">
        <v>8</v>
      </c>
      <c r="L1430" t="s">
        <v>15</v>
      </c>
      <c r="M1430" t="s">
        <v>9</v>
      </c>
      <c r="N1430" t="s">
        <v>14</v>
      </c>
      <c r="O1430" s="2">
        <v>0</v>
      </c>
      <c r="P1430" s="3">
        <v>17674.865000000002</v>
      </c>
      <c r="Q1430" s="1">
        <v>46033</v>
      </c>
      <c r="R1430" s="1">
        <v>45992</v>
      </c>
      <c r="S1430" s="1">
        <v>46022</v>
      </c>
      <c r="V1430" s="8">
        <v>1</v>
      </c>
      <c r="W1430" t="s">
        <v>24</v>
      </c>
      <c r="X1430" t="s">
        <v>1318</v>
      </c>
      <c r="Y1430" t="s">
        <v>10</v>
      </c>
      <c r="Z1430" t="s">
        <v>11</v>
      </c>
      <c r="AA1430">
        <v>62371</v>
      </c>
      <c r="AB1430">
        <v>19553692</v>
      </c>
      <c r="AC1430">
        <v>1</v>
      </c>
      <c r="AD1430" s="8"/>
    </row>
    <row r="1431" spans="1:30" x14ac:dyDescent="0.3">
      <c r="A1431" t="s">
        <v>1627</v>
      </c>
      <c r="B1431">
        <v>1420744</v>
      </c>
      <c r="D1431" t="s">
        <v>7</v>
      </c>
      <c r="E1431">
        <v>946687</v>
      </c>
      <c r="F1431">
        <v>9015884123</v>
      </c>
      <c r="G1431">
        <v>464</v>
      </c>
      <c r="H1431" t="s">
        <v>1084</v>
      </c>
      <c r="I1431">
        <v>0</v>
      </c>
      <c r="J1431" t="s">
        <v>1085</v>
      </c>
      <c r="K1431" t="s">
        <v>8</v>
      </c>
      <c r="L1431" t="s">
        <v>19</v>
      </c>
      <c r="M1431" t="s">
        <v>9</v>
      </c>
      <c r="N1431" t="s">
        <v>14</v>
      </c>
      <c r="O1431" s="2">
        <v>290.86</v>
      </c>
      <c r="P1431" s="3">
        <v>1.472</v>
      </c>
      <c r="Q1431" s="1">
        <v>46033</v>
      </c>
      <c r="R1431" s="1">
        <v>45992</v>
      </c>
      <c r="S1431" s="1">
        <v>46022</v>
      </c>
      <c r="V1431" s="8">
        <v>1</v>
      </c>
      <c r="W1431" t="s">
        <v>24</v>
      </c>
      <c r="X1431" t="s">
        <v>1086</v>
      </c>
      <c r="Y1431" t="s">
        <v>99</v>
      </c>
      <c r="Z1431" t="s">
        <v>11</v>
      </c>
      <c r="AA1431">
        <v>62371</v>
      </c>
      <c r="AB1431">
        <v>18758141</v>
      </c>
      <c r="AC1431">
        <v>0</v>
      </c>
      <c r="AD1431" s="8"/>
    </row>
    <row r="1432" spans="1:30" x14ac:dyDescent="0.3">
      <c r="A1432" t="s">
        <v>1627</v>
      </c>
      <c r="B1432">
        <v>1340623</v>
      </c>
      <c r="D1432" t="s">
        <v>7</v>
      </c>
      <c r="E1432">
        <v>945215</v>
      </c>
      <c r="F1432">
        <v>9015884123</v>
      </c>
      <c r="G1432">
        <v>57</v>
      </c>
      <c r="H1432" t="s">
        <v>574</v>
      </c>
      <c r="I1432">
        <v>0</v>
      </c>
      <c r="J1432" t="s">
        <v>575</v>
      </c>
      <c r="K1432" t="s">
        <v>8</v>
      </c>
      <c r="L1432" t="s">
        <v>67</v>
      </c>
      <c r="M1432" t="s">
        <v>9</v>
      </c>
      <c r="N1432" t="s">
        <v>14</v>
      </c>
      <c r="O1432" s="2">
        <v>1193638.04</v>
      </c>
      <c r="P1432" s="3">
        <v>11052.638999999999</v>
      </c>
      <c r="Q1432" s="1">
        <v>46033</v>
      </c>
      <c r="R1432" s="1">
        <v>45992</v>
      </c>
      <c r="S1432" s="1">
        <v>46022</v>
      </c>
      <c r="V1432" s="8">
        <v>1</v>
      </c>
      <c r="W1432" t="s">
        <v>24</v>
      </c>
      <c r="X1432" t="s">
        <v>576</v>
      </c>
      <c r="Y1432" t="s">
        <v>10</v>
      </c>
      <c r="Z1432" t="s">
        <v>11</v>
      </c>
      <c r="AA1432">
        <v>62371</v>
      </c>
      <c r="AB1432">
        <v>18158547</v>
      </c>
      <c r="AC1432">
        <v>1</v>
      </c>
      <c r="AD1432" s="8"/>
    </row>
    <row r="1433" spans="1:30" x14ac:dyDescent="0.3">
      <c r="A1433" t="s">
        <v>1627</v>
      </c>
      <c r="B1433">
        <v>1340634</v>
      </c>
      <c r="D1433" t="s">
        <v>7</v>
      </c>
      <c r="E1433">
        <v>945235</v>
      </c>
      <c r="F1433">
        <v>9015884123</v>
      </c>
      <c r="G1433">
        <v>62</v>
      </c>
      <c r="H1433" t="s">
        <v>1319</v>
      </c>
      <c r="I1433">
        <v>0</v>
      </c>
      <c r="J1433" t="s">
        <v>1320</v>
      </c>
      <c r="K1433" t="s">
        <v>8</v>
      </c>
      <c r="L1433" t="s">
        <v>18</v>
      </c>
      <c r="M1433" t="s">
        <v>9</v>
      </c>
      <c r="N1433" t="s">
        <v>14</v>
      </c>
      <c r="O1433" s="2">
        <v>-0.93</v>
      </c>
      <c r="P1433" s="3">
        <v>0</v>
      </c>
      <c r="Q1433" s="1">
        <v>46033</v>
      </c>
      <c r="R1433" s="1">
        <v>45992</v>
      </c>
      <c r="S1433" s="1">
        <v>46022</v>
      </c>
      <c r="V1433" s="8">
        <v>1</v>
      </c>
      <c r="W1433" t="s">
        <v>24</v>
      </c>
      <c r="X1433" t="s">
        <v>1321</v>
      </c>
      <c r="Y1433" t="s">
        <v>10</v>
      </c>
      <c r="Z1433" t="s">
        <v>11</v>
      </c>
      <c r="AA1433">
        <v>62371</v>
      </c>
      <c r="AB1433">
        <v>18404974</v>
      </c>
      <c r="AC1433">
        <v>1</v>
      </c>
      <c r="AD1433" s="8"/>
    </row>
    <row r="1434" spans="1:30" x14ac:dyDescent="0.3">
      <c r="A1434" t="s">
        <v>1627</v>
      </c>
      <c r="B1434">
        <v>1340625</v>
      </c>
      <c r="D1434" t="s">
        <v>7</v>
      </c>
      <c r="E1434">
        <v>945221</v>
      </c>
      <c r="F1434">
        <v>9015884123</v>
      </c>
      <c r="G1434">
        <v>59</v>
      </c>
      <c r="H1434" t="s">
        <v>1485</v>
      </c>
      <c r="I1434">
        <v>0</v>
      </c>
      <c r="J1434" t="s">
        <v>1486</v>
      </c>
      <c r="K1434" t="s">
        <v>8</v>
      </c>
      <c r="L1434" t="s">
        <v>18</v>
      </c>
      <c r="M1434" t="s">
        <v>9</v>
      </c>
      <c r="N1434" t="s">
        <v>14</v>
      </c>
      <c r="O1434" s="2">
        <v>-4.72</v>
      </c>
      <c r="P1434" s="3">
        <v>0</v>
      </c>
      <c r="Q1434" s="1">
        <v>46033</v>
      </c>
      <c r="R1434" s="1">
        <v>45992</v>
      </c>
      <c r="S1434" s="1">
        <v>46022</v>
      </c>
      <c r="V1434" s="8">
        <v>1</v>
      </c>
      <c r="W1434" t="s">
        <v>24</v>
      </c>
      <c r="X1434" t="s">
        <v>1487</v>
      </c>
      <c r="Y1434" t="s">
        <v>10</v>
      </c>
      <c r="Z1434" t="s">
        <v>11</v>
      </c>
      <c r="AA1434">
        <v>62371</v>
      </c>
      <c r="AB1434">
        <v>18158551</v>
      </c>
      <c r="AC1434">
        <v>1</v>
      </c>
      <c r="AD1434" s="8"/>
    </row>
    <row r="1435" spans="1:30" x14ac:dyDescent="0.3">
      <c r="A1435" t="s">
        <v>1627</v>
      </c>
      <c r="B1435">
        <v>1403716</v>
      </c>
      <c r="D1435" t="s">
        <v>7</v>
      </c>
      <c r="E1435">
        <v>946176</v>
      </c>
      <c r="F1435">
        <v>9015884123</v>
      </c>
      <c r="G1435">
        <v>276</v>
      </c>
      <c r="H1435" t="s">
        <v>1518</v>
      </c>
      <c r="I1435">
        <v>0</v>
      </c>
      <c r="J1435" t="s">
        <v>1519</v>
      </c>
      <c r="K1435" t="s">
        <v>8</v>
      </c>
      <c r="L1435" t="s">
        <v>15</v>
      </c>
      <c r="M1435" t="s">
        <v>9</v>
      </c>
      <c r="N1435" t="s">
        <v>14</v>
      </c>
      <c r="O1435" s="2">
        <v>0</v>
      </c>
      <c r="P1435" s="3">
        <v>11730.606</v>
      </c>
      <c r="Q1435" s="1">
        <v>46033</v>
      </c>
      <c r="R1435" s="1">
        <v>45992</v>
      </c>
      <c r="S1435" s="1">
        <v>46022</v>
      </c>
      <c r="V1435" s="8">
        <v>1</v>
      </c>
      <c r="W1435" t="s">
        <v>24</v>
      </c>
      <c r="X1435" t="s">
        <v>1520</v>
      </c>
      <c r="Y1435" t="s">
        <v>29</v>
      </c>
      <c r="Z1435" t="s">
        <v>11</v>
      </c>
      <c r="AA1435">
        <v>62371</v>
      </c>
      <c r="AB1435">
        <v>21316105</v>
      </c>
      <c r="AC1435">
        <v>1</v>
      </c>
      <c r="AD1435" s="8"/>
    </row>
    <row r="1436" spans="1:30" x14ac:dyDescent="0.3">
      <c r="A1436" t="s">
        <v>1627</v>
      </c>
      <c r="B1436">
        <v>1408036</v>
      </c>
      <c r="D1436" t="s">
        <v>7</v>
      </c>
      <c r="E1436">
        <v>946307</v>
      </c>
      <c r="F1436">
        <v>9015884123</v>
      </c>
      <c r="G1436">
        <v>325</v>
      </c>
      <c r="H1436" t="s">
        <v>706</v>
      </c>
      <c r="I1436">
        <v>0</v>
      </c>
      <c r="J1436" t="s">
        <v>707</v>
      </c>
      <c r="K1436" t="s">
        <v>8</v>
      </c>
      <c r="L1436" t="s">
        <v>15</v>
      </c>
      <c r="M1436" t="s">
        <v>9</v>
      </c>
      <c r="N1436" t="s">
        <v>14</v>
      </c>
      <c r="O1436" s="2">
        <v>0</v>
      </c>
      <c r="P1436" s="3">
        <v>2452.2660000000001</v>
      </c>
      <c r="Q1436" s="1">
        <v>46033</v>
      </c>
      <c r="R1436" s="1">
        <v>45992</v>
      </c>
      <c r="S1436" s="1">
        <v>46022</v>
      </c>
      <c r="V1436" s="8">
        <v>1</v>
      </c>
      <c r="W1436" t="s">
        <v>24</v>
      </c>
      <c r="X1436" t="s">
        <v>708</v>
      </c>
      <c r="Y1436" t="s">
        <v>44</v>
      </c>
      <c r="Z1436" t="s">
        <v>11</v>
      </c>
      <c r="AA1436">
        <v>62371</v>
      </c>
      <c r="AB1436">
        <v>19480420</v>
      </c>
      <c r="AC1436">
        <v>1</v>
      </c>
      <c r="AD1436" s="8"/>
    </row>
    <row r="1437" spans="1:30" x14ac:dyDescent="0.3">
      <c r="A1437" t="s">
        <v>1627</v>
      </c>
      <c r="B1437">
        <v>1403719</v>
      </c>
      <c r="D1437" t="s">
        <v>7</v>
      </c>
      <c r="E1437">
        <v>946250</v>
      </c>
      <c r="F1437">
        <v>9015884123</v>
      </c>
      <c r="G1437">
        <v>301</v>
      </c>
      <c r="H1437" t="s">
        <v>621</v>
      </c>
      <c r="I1437">
        <v>0</v>
      </c>
      <c r="J1437" t="s">
        <v>622</v>
      </c>
      <c r="K1437" t="s">
        <v>8</v>
      </c>
      <c r="L1437" t="s">
        <v>15</v>
      </c>
      <c r="M1437" t="s">
        <v>9</v>
      </c>
      <c r="N1437" t="s">
        <v>14</v>
      </c>
      <c r="O1437" s="2">
        <v>0</v>
      </c>
      <c r="P1437" s="3">
        <v>1803.181</v>
      </c>
      <c r="Q1437" s="1">
        <v>46033</v>
      </c>
      <c r="R1437" s="1">
        <v>45992</v>
      </c>
      <c r="S1437" s="1">
        <v>46022</v>
      </c>
      <c r="V1437" s="8">
        <v>1</v>
      </c>
      <c r="W1437" t="s">
        <v>24</v>
      </c>
      <c r="X1437" t="s">
        <v>623</v>
      </c>
      <c r="Y1437" t="s">
        <v>36</v>
      </c>
      <c r="Z1437" t="s">
        <v>11</v>
      </c>
      <c r="AA1437">
        <v>62371</v>
      </c>
      <c r="AB1437">
        <v>18117454</v>
      </c>
      <c r="AC1437">
        <v>0</v>
      </c>
      <c r="AD1437" s="8"/>
    </row>
    <row r="1438" spans="1:30" x14ac:dyDescent="0.3">
      <c r="A1438" t="s">
        <v>1627</v>
      </c>
      <c r="B1438">
        <v>1353827</v>
      </c>
      <c r="D1438" t="s">
        <v>7</v>
      </c>
      <c r="E1438">
        <v>945346</v>
      </c>
      <c r="F1438">
        <v>9015884123</v>
      </c>
      <c r="G1438">
        <v>95</v>
      </c>
      <c r="H1438" t="s">
        <v>1352</v>
      </c>
      <c r="I1438">
        <v>0</v>
      </c>
      <c r="J1438" t="s">
        <v>1353</v>
      </c>
      <c r="K1438" t="s">
        <v>8</v>
      </c>
      <c r="L1438" t="s">
        <v>18</v>
      </c>
      <c r="M1438" t="s">
        <v>9</v>
      </c>
      <c r="N1438" t="s">
        <v>14</v>
      </c>
      <c r="O1438" s="2">
        <v>-0.68</v>
      </c>
      <c r="P1438" s="3">
        <v>0</v>
      </c>
      <c r="Q1438" s="1">
        <v>46033</v>
      </c>
      <c r="R1438" s="1">
        <v>45992</v>
      </c>
      <c r="S1438" s="1">
        <v>46022</v>
      </c>
      <c r="V1438" s="8">
        <v>1</v>
      </c>
      <c r="W1438" t="s">
        <v>24</v>
      </c>
      <c r="X1438" t="s">
        <v>1354</v>
      </c>
      <c r="Y1438" t="s">
        <v>36</v>
      </c>
      <c r="Z1438" t="s">
        <v>11</v>
      </c>
      <c r="AA1438">
        <v>62371</v>
      </c>
      <c r="AB1438">
        <v>18109993</v>
      </c>
      <c r="AC1438">
        <v>0</v>
      </c>
      <c r="AD1438" s="8"/>
    </row>
    <row r="1439" spans="1:30" x14ac:dyDescent="0.3">
      <c r="A1439" t="s">
        <v>1627</v>
      </c>
      <c r="B1439">
        <v>1353827</v>
      </c>
      <c r="D1439" t="s">
        <v>7</v>
      </c>
      <c r="E1439">
        <v>945346</v>
      </c>
      <c r="F1439">
        <v>9015884123</v>
      </c>
      <c r="G1439">
        <v>95</v>
      </c>
      <c r="H1439" t="s">
        <v>1352</v>
      </c>
      <c r="I1439">
        <v>0</v>
      </c>
      <c r="J1439" t="s">
        <v>1353</v>
      </c>
      <c r="K1439" t="s">
        <v>8</v>
      </c>
      <c r="L1439" t="s">
        <v>67</v>
      </c>
      <c r="M1439" t="s">
        <v>9</v>
      </c>
      <c r="N1439" t="s">
        <v>14</v>
      </c>
      <c r="O1439" s="2">
        <v>440613.86</v>
      </c>
      <c r="P1439" s="3">
        <v>3093.5149999999999</v>
      </c>
      <c r="Q1439" s="1">
        <v>46033</v>
      </c>
      <c r="R1439" s="1">
        <v>45992</v>
      </c>
      <c r="S1439" s="1">
        <v>46022</v>
      </c>
      <c r="V1439" s="8">
        <v>1</v>
      </c>
      <c r="W1439" t="s">
        <v>24</v>
      </c>
      <c r="X1439" t="s">
        <v>1354</v>
      </c>
      <c r="Y1439" t="s">
        <v>36</v>
      </c>
      <c r="Z1439" t="s">
        <v>11</v>
      </c>
      <c r="AA1439">
        <v>62371</v>
      </c>
      <c r="AB1439">
        <v>18109993</v>
      </c>
      <c r="AC1439">
        <v>0</v>
      </c>
      <c r="AD1439" s="8"/>
    </row>
    <row r="1440" spans="1:30" x14ac:dyDescent="0.3">
      <c r="A1440" t="s">
        <v>1627</v>
      </c>
      <c r="B1440">
        <v>1415102</v>
      </c>
      <c r="D1440" t="s">
        <v>7</v>
      </c>
      <c r="E1440">
        <v>946455</v>
      </c>
      <c r="F1440">
        <v>9015884123</v>
      </c>
      <c r="G1440">
        <v>391</v>
      </c>
      <c r="H1440" t="s">
        <v>709</v>
      </c>
      <c r="I1440">
        <v>0</v>
      </c>
      <c r="J1440" t="s">
        <v>710</v>
      </c>
      <c r="K1440" t="s">
        <v>8</v>
      </c>
      <c r="L1440" t="s">
        <v>19</v>
      </c>
      <c r="M1440" t="s">
        <v>9</v>
      </c>
      <c r="N1440" t="s">
        <v>14</v>
      </c>
      <c r="O1440" s="2">
        <v>6363.24</v>
      </c>
      <c r="P1440" s="3">
        <v>32.204000000000001</v>
      </c>
      <c r="Q1440" s="1">
        <v>46033</v>
      </c>
      <c r="R1440" s="1">
        <v>45992</v>
      </c>
      <c r="S1440" s="1">
        <v>46022</v>
      </c>
      <c r="V1440" s="8">
        <v>1</v>
      </c>
      <c r="W1440" t="s">
        <v>24</v>
      </c>
      <c r="X1440" t="s">
        <v>711</v>
      </c>
      <c r="Y1440" t="s">
        <v>34</v>
      </c>
      <c r="Z1440" t="s">
        <v>11</v>
      </c>
      <c r="AA1440">
        <v>62371</v>
      </c>
      <c r="AB1440">
        <v>17924917</v>
      </c>
      <c r="AC1440">
        <v>0</v>
      </c>
      <c r="AD1440" s="8"/>
    </row>
    <row r="1441" spans="1:30" x14ac:dyDescent="0.3">
      <c r="A1441" t="s">
        <v>1627</v>
      </c>
      <c r="B1441">
        <v>1406226</v>
      </c>
      <c r="D1441" t="s">
        <v>7</v>
      </c>
      <c r="E1441">
        <v>946291</v>
      </c>
      <c r="F1441">
        <v>9015884123</v>
      </c>
      <c r="G1441">
        <v>318</v>
      </c>
      <c r="H1441" t="s">
        <v>1042</v>
      </c>
      <c r="I1441">
        <v>0</v>
      </c>
      <c r="J1441" t="s">
        <v>1043</v>
      </c>
      <c r="K1441" t="s">
        <v>8</v>
      </c>
      <c r="L1441" t="s">
        <v>15</v>
      </c>
      <c r="M1441" t="s">
        <v>9</v>
      </c>
      <c r="N1441" t="s">
        <v>14</v>
      </c>
      <c r="O1441" s="2">
        <v>0</v>
      </c>
      <c r="P1441" s="3">
        <v>3723.1149999999998</v>
      </c>
      <c r="Q1441" s="1">
        <v>46033</v>
      </c>
      <c r="R1441" s="1">
        <v>45992</v>
      </c>
      <c r="S1441" s="1">
        <v>46022</v>
      </c>
      <c r="V1441" s="8">
        <v>1</v>
      </c>
      <c r="W1441" t="s">
        <v>24</v>
      </c>
      <c r="X1441" t="s">
        <v>1044</v>
      </c>
      <c r="Y1441" t="s">
        <v>38</v>
      </c>
      <c r="Z1441" t="s">
        <v>11</v>
      </c>
      <c r="AA1441">
        <v>62371</v>
      </c>
      <c r="AB1441">
        <v>19832881</v>
      </c>
      <c r="AC1441">
        <v>0</v>
      </c>
      <c r="AD1441" s="8"/>
    </row>
    <row r="1442" spans="1:30" x14ac:dyDescent="0.3">
      <c r="A1442" t="s">
        <v>1627</v>
      </c>
      <c r="B1442">
        <v>1406185</v>
      </c>
      <c r="D1442" t="s">
        <v>7</v>
      </c>
      <c r="E1442">
        <v>946293</v>
      </c>
      <c r="F1442">
        <v>9015884123</v>
      </c>
      <c r="G1442">
        <v>319</v>
      </c>
      <c r="H1442" t="s">
        <v>727</v>
      </c>
      <c r="I1442">
        <v>0</v>
      </c>
      <c r="J1442" t="s">
        <v>728</v>
      </c>
      <c r="K1442" t="s">
        <v>8</v>
      </c>
      <c r="L1442" t="s">
        <v>15</v>
      </c>
      <c r="M1442" t="s">
        <v>9</v>
      </c>
      <c r="N1442" t="s">
        <v>14</v>
      </c>
      <c r="O1442" s="2">
        <v>0</v>
      </c>
      <c r="P1442" s="3">
        <v>71134.724000000002</v>
      </c>
      <c r="Q1442" s="1">
        <v>46033</v>
      </c>
      <c r="R1442" s="1">
        <v>45992</v>
      </c>
      <c r="S1442" s="1">
        <v>46022</v>
      </c>
      <c r="V1442" s="8">
        <v>2</v>
      </c>
      <c r="W1442" t="s">
        <v>24</v>
      </c>
      <c r="X1442" t="s">
        <v>729</v>
      </c>
      <c r="Y1442" t="s">
        <v>31</v>
      </c>
      <c r="Z1442" t="s">
        <v>11</v>
      </c>
      <c r="AA1442">
        <v>62371</v>
      </c>
      <c r="AB1442">
        <v>19616842</v>
      </c>
      <c r="AC1442">
        <v>1</v>
      </c>
      <c r="AD1442" s="8"/>
    </row>
    <row r="1443" spans="1:30" x14ac:dyDescent="0.3">
      <c r="A1443" t="s">
        <v>1627</v>
      </c>
      <c r="B1443">
        <v>1403676</v>
      </c>
      <c r="D1443" t="s">
        <v>7</v>
      </c>
      <c r="E1443">
        <v>946139</v>
      </c>
      <c r="F1443">
        <v>9015884123</v>
      </c>
      <c r="G1443">
        <v>266</v>
      </c>
      <c r="H1443" t="s">
        <v>1114</v>
      </c>
      <c r="I1443">
        <v>0</v>
      </c>
      <c r="J1443" t="s">
        <v>1115</v>
      </c>
      <c r="K1443" t="s">
        <v>8</v>
      </c>
      <c r="L1443" t="s">
        <v>18</v>
      </c>
      <c r="M1443" t="s">
        <v>9</v>
      </c>
      <c r="N1443" t="s">
        <v>14</v>
      </c>
      <c r="O1443" s="2">
        <v>2.54</v>
      </c>
      <c r="P1443" s="3">
        <v>0</v>
      </c>
      <c r="Q1443" s="1">
        <v>46033</v>
      </c>
      <c r="R1443" s="1">
        <v>45992</v>
      </c>
      <c r="S1443" s="1">
        <v>46022</v>
      </c>
      <c r="V1443" s="8">
        <v>1</v>
      </c>
      <c r="W1443" t="s">
        <v>24</v>
      </c>
      <c r="X1443" t="s">
        <v>1116</v>
      </c>
      <c r="Y1443" t="s">
        <v>31</v>
      </c>
      <c r="Z1443" t="s">
        <v>11</v>
      </c>
      <c r="AA1443">
        <v>62371</v>
      </c>
      <c r="AB1443">
        <v>17197657</v>
      </c>
      <c r="AC1443">
        <v>1</v>
      </c>
      <c r="AD1443" s="8"/>
    </row>
    <row r="1444" spans="1:30" x14ac:dyDescent="0.3">
      <c r="A1444" t="s">
        <v>1627</v>
      </c>
      <c r="B1444">
        <v>1364766</v>
      </c>
      <c r="D1444" t="s">
        <v>7</v>
      </c>
      <c r="E1444">
        <v>945931</v>
      </c>
      <c r="F1444">
        <v>9015884123</v>
      </c>
      <c r="G1444">
        <v>182</v>
      </c>
      <c r="H1444" t="s">
        <v>715</v>
      </c>
      <c r="I1444">
        <v>0</v>
      </c>
      <c r="J1444" t="s">
        <v>716</v>
      </c>
      <c r="K1444" t="s">
        <v>8</v>
      </c>
      <c r="L1444" t="s">
        <v>67</v>
      </c>
      <c r="M1444" t="s">
        <v>9</v>
      </c>
      <c r="N1444" t="s">
        <v>14</v>
      </c>
      <c r="O1444" s="2">
        <v>618444.94999999995</v>
      </c>
      <c r="P1444" s="3">
        <v>4342.0529999999999</v>
      </c>
      <c r="Q1444" s="1">
        <v>46033</v>
      </c>
      <c r="R1444" s="1">
        <v>45992</v>
      </c>
      <c r="S1444" s="1">
        <v>46022</v>
      </c>
      <c r="V1444" s="8">
        <v>1</v>
      </c>
      <c r="W1444" t="s">
        <v>24</v>
      </c>
      <c r="X1444" t="s">
        <v>717</v>
      </c>
      <c r="Y1444" t="s">
        <v>31</v>
      </c>
      <c r="Z1444" t="s">
        <v>11</v>
      </c>
      <c r="AA1444">
        <v>62371</v>
      </c>
      <c r="AB1444">
        <v>19281590</v>
      </c>
      <c r="AC1444">
        <v>0</v>
      </c>
      <c r="AD1444" s="8"/>
    </row>
    <row r="1445" spans="1:30" x14ac:dyDescent="0.3">
      <c r="A1445" t="s">
        <v>1627</v>
      </c>
      <c r="B1445">
        <v>1356294</v>
      </c>
      <c r="D1445" t="s">
        <v>7</v>
      </c>
      <c r="E1445">
        <v>945372</v>
      </c>
      <c r="F1445">
        <v>9015884123</v>
      </c>
      <c r="G1445">
        <v>103</v>
      </c>
      <c r="H1445" t="s">
        <v>1051</v>
      </c>
      <c r="I1445">
        <v>0</v>
      </c>
      <c r="J1445" t="s">
        <v>1052</v>
      </c>
      <c r="K1445" t="s">
        <v>8</v>
      </c>
      <c r="L1445" t="s">
        <v>19</v>
      </c>
      <c r="M1445" t="s">
        <v>9</v>
      </c>
      <c r="N1445" t="s">
        <v>14</v>
      </c>
      <c r="O1445" s="2">
        <v>124.68</v>
      </c>
      <c r="P1445" s="3">
        <v>0.63100000000000001</v>
      </c>
      <c r="Q1445" s="1">
        <v>46033</v>
      </c>
      <c r="R1445" s="1">
        <v>45992</v>
      </c>
      <c r="S1445" s="1">
        <v>46022</v>
      </c>
      <c r="V1445" s="8">
        <v>1</v>
      </c>
      <c r="W1445" t="s">
        <v>24</v>
      </c>
      <c r="X1445" t="s">
        <v>1053</v>
      </c>
      <c r="Y1445" t="s">
        <v>40</v>
      </c>
      <c r="Z1445" t="s">
        <v>11</v>
      </c>
      <c r="AA1445">
        <v>62371</v>
      </c>
      <c r="AB1445">
        <v>17964230</v>
      </c>
      <c r="AC1445">
        <v>0</v>
      </c>
      <c r="AD1445" s="8"/>
    </row>
    <row r="1446" spans="1:30" x14ac:dyDescent="0.3">
      <c r="A1446" t="s">
        <v>1627</v>
      </c>
      <c r="B1446">
        <v>1356330</v>
      </c>
      <c r="D1446" t="s">
        <v>7</v>
      </c>
      <c r="E1446">
        <v>945453</v>
      </c>
      <c r="F1446">
        <v>9015884123</v>
      </c>
      <c r="G1446">
        <v>130</v>
      </c>
      <c r="H1446" t="s">
        <v>602</v>
      </c>
      <c r="I1446">
        <v>0</v>
      </c>
      <c r="J1446" t="s">
        <v>603</v>
      </c>
      <c r="K1446" t="s">
        <v>8</v>
      </c>
      <c r="L1446" t="s">
        <v>15</v>
      </c>
      <c r="M1446" t="s">
        <v>9</v>
      </c>
      <c r="N1446" t="s">
        <v>14</v>
      </c>
      <c r="O1446" s="2">
        <v>0</v>
      </c>
      <c r="P1446" s="3">
        <v>2061.913</v>
      </c>
      <c r="Q1446" s="1">
        <v>46033</v>
      </c>
      <c r="R1446" s="1">
        <v>45992</v>
      </c>
      <c r="S1446" s="1">
        <v>46022</v>
      </c>
      <c r="V1446" s="8">
        <v>1</v>
      </c>
      <c r="W1446" t="s">
        <v>24</v>
      </c>
      <c r="X1446" t="s">
        <v>604</v>
      </c>
      <c r="Y1446" t="s">
        <v>40</v>
      </c>
      <c r="Z1446" t="s">
        <v>11</v>
      </c>
      <c r="AA1446">
        <v>62371</v>
      </c>
      <c r="AB1446">
        <v>19711416</v>
      </c>
      <c r="AC1446">
        <v>1</v>
      </c>
      <c r="AD1446" s="8"/>
    </row>
    <row r="1447" spans="1:30" x14ac:dyDescent="0.3">
      <c r="A1447" t="s">
        <v>1627</v>
      </c>
      <c r="B1447">
        <v>1356296</v>
      </c>
      <c r="D1447" t="s">
        <v>7</v>
      </c>
      <c r="E1447">
        <v>945375</v>
      </c>
      <c r="F1447">
        <v>9015884123</v>
      </c>
      <c r="G1447">
        <v>104</v>
      </c>
      <c r="H1447" t="s">
        <v>1054</v>
      </c>
      <c r="I1447">
        <v>0</v>
      </c>
      <c r="J1447" t="s">
        <v>1055</v>
      </c>
      <c r="K1447" t="s">
        <v>8</v>
      </c>
      <c r="L1447" t="s">
        <v>67</v>
      </c>
      <c r="M1447" t="s">
        <v>9</v>
      </c>
      <c r="N1447" t="s">
        <v>14</v>
      </c>
      <c r="O1447" s="2">
        <v>506699.49</v>
      </c>
      <c r="P1447" s="3">
        <v>3557.4969999999998</v>
      </c>
      <c r="Q1447" s="1">
        <v>46033</v>
      </c>
      <c r="R1447" s="1">
        <v>45992</v>
      </c>
      <c r="S1447" s="1">
        <v>46022</v>
      </c>
      <c r="V1447" s="8">
        <v>1</v>
      </c>
      <c r="W1447" t="s">
        <v>24</v>
      </c>
      <c r="X1447" t="s">
        <v>1056</v>
      </c>
      <c r="Y1447" t="s">
        <v>40</v>
      </c>
      <c r="Z1447" t="s">
        <v>11</v>
      </c>
      <c r="AA1447">
        <v>62371</v>
      </c>
      <c r="AB1447">
        <v>17964231</v>
      </c>
      <c r="AC1447">
        <v>0</v>
      </c>
      <c r="AD1447" s="8"/>
    </row>
    <row r="1448" spans="1:30" x14ac:dyDescent="0.3">
      <c r="A1448" t="s">
        <v>1627</v>
      </c>
      <c r="B1448">
        <v>1356296</v>
      </c>
      <c r="D1448" t="s">
        <v>7</v>
      </c>
      <c r="E1448">
        <v>945375</v>
      </c>
      <c r="F1448">
        <v>9015884123</v>
      </c>
      <c r="G1448">
        <v>104</v>
      </c>
      <c r="H1448" t="s">
        <v>1054</v>
      </c>
      <c r="I1448">
        <v>0</v>
      </c>
      <c r="J1448" t="s">
        <v>1055</v>
      </c>
      <c r="K1448" t="s">
        <v>8</v>
      </c>
      <c r="L1448" t="s">
        <v>19</v>
      </c>
      <c r="M1448" t="s">
        <v>9</v>
      </c>
      <c r="N1448" t="s">
        <v>14</v>
      </c>
      <c r="O1448" s="2">
        <v>629.91999999999996</v>
      </c>
      <c r="P1448" s="3">
        <v>3.1880000000000002</v>
      </c>
      <c r="Q1448" s="1">
        <v>46033</v>
      </c>
      <c r="R1448" s="1">
        <v>45992</v>
      </c>
      <c r="S1448" s="1">
        <v>46022</v>
      </c>
      <c r="V1448" s="8">
        <v>1</v>
      </c>
      <c r="W1448" t="s">
        <v>24</v>
      </c>
      <c r="X1448" t="s">
        <v>1056</v>
      </c>
      <c r="Y1448" t="s">
        <v>40</v>
      </c>
      <c r="Z1448" t="s">
        <v>11</v>
      </c>
      <c r="AA1448">
        <v>62371</v>
      </c>
      <c r="AB1448">
        <v>17964231</v>
      </c>
      <c r="AC1448">
        <v>0</v>
      </c>
      <c r="AD1448" s="8"/>
    </row>
    <row r="1449" spans="1:30" x14ac:dyDescent="0.3">
      <c r="A1449" t="s">
        <v>1627</v>
      </c>
      <c r="B1449">
        <v>1363525</v>
      </c>
      <c r="D1449" t="s">
        <v>7</v>
      </c>
      <c r="E1449">
        <v>945913</v>
      </c>
      <c r="F1449">
        <v>9015884123</v>
      </c>
      <c r="G1449">
        <v>163</v>
      </c>
      <c r="H1449" t="s">
        <v>1117</v>
      </c>
      <c r="I1449">
        <v>0</v>
      </c>
      <c r="J1449" t="s">
        <v>1118</v>
      </c>
      <c r="K1449" t="s">
        <v>8</v>
      </c>
      <c r="L1449" t="s">
        <v>67</v>
      </c>
      <c r="M1449" t="s">
        <v>9</v>
      </c>
      <c r="N1449" t="s">
        <v>14</v>
      </c>
      <c r="O1449" s="2">
        <v>546270.93999999994</v>
      </c>
      <c r="P1449" s="3">
        <v>3835.3249999999998</v>
      </c>
      <c r="Q1449" s="1">
        <v>46033</v>
      </c>
      <c r="R1449" s="1">
        <v>45992</v>
      </c>
      <c r="S1449" s="1">
        <v>46022</v>
      </c>
      <c r="V1449" s="8">
        <v>1</v>
      </c>
      <c r="W1449" t="s">
        <v>24</v>
      </c>
      <c r="X1449" t="s">
        <v>1119</v>
      </c>
      <c r="Y1449" t="s">
        <v>31</v>
      </c>
      <c r="Z1449" t="s">
        <v>11</v>
      </c>
      <c r="AA1449">
        <v>62371</v>
      </c>
      <c r="AB1449">
        <v>19282555</v>
      </c>
      <c r="AC1449">
        <v>0</v>
      </c>
      <c r="AD1449" s="8"/>
    </row>
    <row r="1450" spans="1:30" x14ac:dyDescent="0.3">
      <c r="A1450" t="s">
        <v>1627</v>
      </c>
      <c r="B1450">
        <v>1356203</v>
      </c>
      <c r="D1450" t="s">
        <v>7</v>
      </c>
      <c r="E1450">
        <v>945404</v>
      </c>
      <c r="F1450">
        <v>9015884123</v>
      </c>
      <c r="G1450">
        <v>113</v>
      </c>
      <c r="H1450" t="s">
        <v>169</v>
      </c>
      <c r="I1450">
        <v>0</v>
      </c>
      <c r="J1450" t="s">
        <v>170</v>
      </c>
      <c r="K1450" t="s">
        <v>8</v>
      </c>
      <c r="L1450" t="s">
        <v>15</v>
      </c>
      <c r="M1450" t="s">
        <v>9</v>
      </c>
      <c r="N1450" t="s">
        <v>14</v>
      </c>
      <c r="O1450" s="2">
        <v>0</v>
      </c>
      <c r="P1450" s="3">
        <v>4068.3789999999999</v>
      </c>
      <c r="Q1450" s="1">
        <v>46033</v>
      </c>
      <c r="R1450" s="1">
        <v>45992</v>
      </c>
      <c r="S1450" s="1">
        <v>46022</v>
      </c>
      <c r="V1450" s="8">
        <v>1</v>
      </c>
      <c r="W1450" t="s">
        <v>24</v>
      </c>
      <c r="X1450" t="s">
        <v>171</v>
      </c>
      <c r="Y1450" t="s">
        <v>31</v>
      </c>
      <c r="Z1450" t="s">
        <v>11</v>
      </c>
      <c r="AA1450">
        <v>62371</v>
      </c>
      <c r="AB1450">
        <v>17426447</v>
      </c>
      <c r="AC1450">
        <v>0</v>
      </c>
      <c r="AD1450" s="8"/>
    </row>
    <row r="1451" spans="1:30" x14ac:dyDescent="0.3">
      <c r="A1451" t="s">
        <v>1627</v>
      </c>
      <c r="B1451">
        <v>1342235</v>
      </c>
      <c r="D1451" t="s">
        <v>7</v>
      </c>
      <c r="E1451">
        <v>945256</v>
      </c>
      <c r="F1451">
        <v>9015884123</v>
      </c>
      <c r="G1451">
        <v>69</v>
      </c>
      <c r="H1451" t="s">
        <v>718</v>
      </c>
      <c r="I1451">
        <v>0</v>
      </c>
      <c r="J1451" t="s">
        <v>719</v>
      </c>
      <c r="K1451" t="s">
        <v>8</v>
      </c>
      <c r="L1451" t="s">
        <v>18</v>
      </c>
      <c r="M1451" t="s">
        <v>9</v>
      </c>
      <c r="N1451" t="s">
        <v>14</v>
      </c>
      <c r="O1451" s="2">
        <v>3.29</v>
      </c>
      <c r="P1451" s="3">
        <v>0</v>
      </c>
      <c r="Q1451" s="1">
        <v>46033</v>
      </c>
      <c r="R1451" s="1">
        <v>45992</v>
      </c>
      <c r="S1451" s="1">
        <v>46022</v>
      </c>
      <c r="V1451" s="8">
        <v>1</v>
      </c>
      <c r="W1451" t="s">
        <v>24</v>
      </c>
      <c r="X1451" t="s">
        <v>720</v>
      </c>
      <c r="Y1451" t="s">
        <v>31</v>
      </c>
      <c r="Z1451" t="s">
        <v>11</v>
      </c>
      <c r="AA1451">
        <v>62371</v>
      </c>
      <c r="AB1451">
        <v>19277454</v>
      </c>
      <c r="AC1451">
        <v>0</v>
      </c>
      <c r="AD1451" s="8"/>
    </row>
    <row r="1452" spans="1:30" x14ac:dyDescent="0.3">
      <c r="A1452" t="s">
        <v>1627</v>
      </c>
      <c r="B1452">
        <v>1384358</v>
      </c>
      <c r="D1452" t="s">
        <v>7</v>
      </c>
      <c r="E1452">
        <v>946028</v>
      </c>
      <c r="F1452">
        <v>9015884123</v>
      </c>
      <c r="G1452">
        <v>230</v>
      </c>
      <c r="H1452" t="s">
        <v>151</v>
      </c>
      <c r="I1452">
        <v>0</v>
      </c>
      <c r="J1452" t="s">
        <v>152</v>
      </c>
      <c r="K1452" t="s">
        <v>8</v>
      </c>
      <c r="L1452" t="s">
        <v>18</v>
      </c>
      <c r="M1452" t="s">
        <v>9</v>
      </c>
      <c r="N1452" t="s">
        <v>14</v>
      </c>
      <c r="O1452" s="2">
        <v>3.64</v>
      </c>
      <c r="P1452" s="3">
        <v>0</v>
      </c>
      <c r="Q1452" s="1">
        <v>46033</v>
      </c>
      <c r="R1452" s="1">
        <v>45992</v>
      </c>
      <c r="S1452" s="1">
        <v>46022</v>
      </c>
      <c r="V1452" s="8">
        <v>1</v>
      </c>
      <c r="W1452" t="s">
        <v>24</v>
      </c>
      <c r="X1452" t="s">
        <v>153</v>
      </c>
      <c r="Y1452" t="s">
        <v>34</v>
      </c>
      <c r="Z1452" t="s">
        <v>11</v>
      </c>
      <c r="AA1452">
        <v>62371</v>
      </c>
      <c r="AB1452">
        <v>21249963</v>
      </c>
      <c r="AC1452">
        <v>1</v>
      </c>
      <c r="AD1452" s="8"/>
    </row>
    <row r="1453" spans="1:30" x14ac:dyDescent="0.3">
      <c r="A1453" t="s">
        <v>1627</v>
      </c>
      <c r="B1453">
        <v>1356301</v>
      </c>
      <c r="D1453" t="s">
        <v>7</v>
      </c>
      <c r="E1453">
        <v>945388</v>
      </c>
      <c r="F1453">
        <v>9015884123</v>
      </c>
      <c r="G1453">
        <v>108</v>
      </c>
      <c r="H1453" t="s">
        <v>643</v>
      </c>
      <c r="I1453">
        <v>0</v>
      </c>
      <c r="J1453" t="s">
        <v>644</v>
      </c>
      <c r="K1453" t="s">
        <v>8</v>
      </c>
      <c r="L1453" t="s">
        <v>67</v>
      </c>
      <c r="M1453" t="s">
        <v>9</v>
      </c>
      <c r="N1453" t="s">
        <v>14</v>
      </c>
      <c r="O1453" s="2">
        <v>256213.11</v>
      </c>
      <c r="P1453" s="3">
        <v>2372.4369999999999</v>
      </c>
      <c r="Q1453" s="1">
        <v>46033</v>
      </c>
      <c r="R1453" s="1">
        <v>45992</v>
      </c>
      <c r="S1453" s="1">
        <v>46022</v>
      </c>
      <c r="V1453" s="8">
        <v>1</v>
      </c>
      <c r="W1453" t="s">
        <v>24</v>
      </c>
      <c r="X1453" t="s">
        <v>645</v>
      </c>
      <c r="Y1453" t="s">
        <v>40</v>
      </c>
      <c r="Z1453" t="s">
        <v>11</v>
      </c>
      <c r="AA1453">
        <v>62371</v>
      </c>
      <c r="AB1453">
        <v>21106442</v>
      </c>
      <c r="AC1453">
        <v>1</v>
      </c>
      <c r="AD1453" s="8"/>
    </row>
    <row r="1454" spans="1:30" x14ac:dyDescent="0.3">
      <c r="A1454" t="s">
        <v>1627</v>
      </c>
      <c r="B1454">
        <v>1358831</v>
      </c>
      <c r="D1454" t="s">
        <v>7</v>
      </c>
      <c r="E1454">
        <v>945901</v>
      </c>
      <c r="F1454">
        <v>9015884123</v>
      </c>
      <c r="G1454">
        <v>150</v>
      </c>
      <c r="H1454" t="s">
        <v>1497</v>
      </c>
      <c r="I1454">
        <v>0</v>
      </c>
      <c r="J1454" t="s">
        <v>1498</v>
      </c>
      <c r="K1454" t="s">
        <v>8</v>
      </c>
      <c r="L1454" t="s">
        <v>18</v>
      </c>
      <c r="M1454" t="s">
        <v>9</v>
      </c>
      <c r="N1454" t="s">
        <v>14</v>
      </c>
      <c r="O1454" s="2">
        <v>-0.85</v>
      </c>
      <c r="P1454" s="3">
        <v>0</v>
      </c>
      <c r="Q1454" s="1">
        <v>46033</v>
      </c>
      <c r="R1454" s="1">
        <v>45992</v>
      </c>
      <c r="S1454" s="1">
        <v>46022</v>
      </c>
      <c r="V1454" s="8">
        <v>1</v>
      </c>
      <c r="W1454" t="s">
        <v>24</v>
      </c>
      <c r="X1454" t="s">
        <v>1499</v>
      </c>
      <c r="Y1454" t="s">
        <v>40</v>
      </c>
      <c r="Z1454" t="s">
        <v>11</v>
      </c>
      <c r="AA1454">
        <v>62371</v>
      </c>
      <c r="AB1454">
        <v>21106482</v>
      </c>
      <c r="AC1454">
        <v>1</v>
      </c>
      <c r="AD1454" s="8"/>
    </row>
    <row r="1455" spans="1:30" x14ac:dyDescent="0.3">
      <c r="A1455" t="s">
        <v>1627</v>
      </c>
      <c r="B1455">
        <v>1379265</v>
      </c>
      <c r="D1455" t="s">
        <v>7</v>
      </c>
      <c r="E1455">
        <v>945978</v>
      </c>
      <c r="F1455">
        <v>9015884123</v>
      </c>
      <c r="G1455">
        <v>207</v>
      </c>
      <c r="H1455" t="s">
        <v>1120</v>
      </c>
      <c r="I1455">
        <v>0</v>
      </c>
      <c r="J1455" t="s">
        <v>1121</v>
      </c>
      <c r="K1455" t="s">
        <v>8</v>
      </c>
      <c r="L1455" t="s">
        <v>18</v>
      </c>
      <c r="M1455" t="s">
        <v>9</v>
      </c>
      <c r="N1455" t="s">
        <v>14</v>
      </c>
      <c r="O1455" s="2">
        <v>-2.76</v>
      </c>
      <c r="P1455" s="3">
        <v>0</v>
      </c>
      <c r="Q1455" s="1">
        <v>46033</v>
      </c>
      <c r="R1455" s="1">
        <v>45992</v>
      </c>
      <c r="S1455" s="1">
        <v>46022</v>
      </c>
      <c r="V1455" s="8">
        <v>1</v>
      </c>
      <c r="W1455" t="s">
        <v>24</v>
      </c>
      <c r="X1455" t="s">
        <v>1122</v>
      </c>
      <c r="Y1455" t="s">
        <v>34</v>
      </c>
      <c r="Z1455" t="s">
        <v>11</v>
      </c>
      <c r="AA1455">
        <v>62371</v>
      </c>
      <c r="AB1455">
        <v>21249832</v>
      </c>
      <c r="AC1455">
        <v>1</v>
      </c>
      <c r="AD1455" s="8"/>
    </row>
    <row r="1456" spans="1:30" x14ac:dyDescent="0.3">
      <c r="A1456" t="s">
        <v>1627</v>
      </c>
      <c r="B1456">
        <v>1379265</v>
      </c>
      <c r="D1456" t="s">
        <v>7</v>
      </c>
      <c r="E1456">
        <v>945978</v>
      </c>
      <c r="F1456">
        <v>9015884123</v>
      </c>
      <c r="G1456">
        <v>207</v>
      </c>
      <c r="H1456" t="s">
        <v>1120</v>
      </c>
      <c r="I1456">
        <v>0</v>
      </c>
      <c r="J1456" t="s">
        <v>1121</v>
      </c>
      <c r="K1456" t="s">
        <v>8</v>
      </c>
      <c r="L1456" t="s">
        <v>19</v>
      </c>
      <c r="M1456" t="s">
        <v>9</v>
      </c>
      <c r="N1456" t="s">
        <v>14</v>
      </c>
      <c r="O1456" s="2">
        <v>89616.23</v>
      </c>
      <c r="P1456" s="3">
        <v>549.26700000000005</v>
      </c>
      <c r="Q1456" s="1">
        <v>46033</v>
      </c>
      <c r="R1456" s="1">
        <v>45992</v>
      </c>
      <c r="S1456" s="1">
        <v>46022</v>
      </c>
      <c r="V1456" s="8">
        <v>1</v>
      </c>
      <c r="W1456" t="s">
        <v>24</v>
      </c>
      <c r="X1456" t="s">
        <v>1122</v>
      </c>
      <c r="Y1456" t="s">
        <v>34</v>
      </c>
      <c r="Z1456" t="s">
        <v>11</v>
      </c>
      <c r="AA1456">
        <v>62371</v>
      </c>
      <c r="AB1456">
        <v>21249832</v>
      </c>
      <c r="AC1456">
        <v>1</v>
      </c>
      <c r="AD1456" s="8"/>
    </row>
    <row r="1457" spans="1:30" x14ac:dyDescent="0.3">
      <c r="A1457" t="s">
        <v>1627</v>
      </c>
      <c r="B1457">
        <v>1379271</v>
      </c>
      <c r="D1457" t="s">
        <v>7</v>
      </c>
      <c r="E1457">
        <v>945987</v>
      </c>
      <c r="F1457">
        <v>9015884123</v>
      </c>
      <c r="G1457">
        <v>212</v>
      </c>
      <c r="H1457" t="s">
        <v>1126</v>
      </c>
      <c r="I1457">
        <v>0</v>
      </c>
      <c r="J1457" t="s">
        <v>1127</v>
      </c>
      <c r="K1457" t="s">
        <v>8</v>
      </c>
      <c r="L1457" t="s">
        <v>67</v>
      </c>
      <c r="M1457" t="s">
        <v>9</v>
      </c>
      <c r="N1457" t="s">
        <v>14</v>
      </c>
      <c r="O1457" s="2">
        <v>201606.14</v>
      </c>
      <c r="P1457" s="3">
        <v>1866.797</v>
      </c>
      <c r="Q1457" s="1">
        <v>46033</v>
      </c>
      <c r="R1457" s="1">
        <v>45992</v>
      </c>
      <c r="S1457" s="1">
        <v>46022</v>
      </c>
      <c r="V1457" s="8">
        <v>1</v>
      </c>
      <c r="W1457" t="s">
        <v>24</v>
      </c>
      <c r="X1457" t="s">
        <v>1128</v>
      </c>
      <c r="Y1457" t="s">
        <v>34</v>
      </c>
      <c r="Z1457" t="s">
        <v>11</v>
      </c>
      <c r="AA1457">
        <v>62371</v>
      </c>
      <c r="AB1457">
        <v>21249954</v>
      </c>
      <c r="AC1457">
        <v>1</v>
      </c>
      <c r="AD1457" s="8"/>
    </row>
    <row r="1458" spans="1:30" x14ac:dyDescent="0.3">
      <c r="A1458" t="s">
        <v>1627</v>
      </c>
      <c r="B1458">
        <v>1353816</v>
      </c>
      <c r="D1458" t="s">
        <v>7</v>
      </c>
      <c r="E1458">
        <v>945337</v>
      </c>
      <c r="F1458">
        <v>9015884123</v>
      </c>
      <c r="G1458">
        <v>92</v>
      </c>
      <c r="H1458" t="s">
        <v>730</v>
      </c>
      <c r="I1458">
        <v>0</v>
      </c>
      <c r="J1458" t="s">
        <v>731</v>
      </c>
      <c r="K1458" t="s">
        <v>8</v>
      </c>
      <c r="L1458" t="s">
        <v>19</v>
      </c>
      <c r="M1458" t="s">
        <v>9</v>
      </c>
      <c r="N1458" t="s">
        <v>14</v>
      </c>
      <c r="O1458" s="2">
        <v>750.03</v>
      </c>
      <c r="P1458" s="3">
        <v>4.5970000000000004</v>
      </c>
      <c r="Q1458" s="1">
        <v>46033</v>
      </c>
      <c r="R1458" s="1">
        <v>45992</v>
      </c>
      <c r="S1458" s="1">
        <v>46022</v>
      </c>
      <c r="V1458" s="8">
        <v>1</v>
      </c>
      <c r="W1458" t="s">
        <v>24</v>
      </c>
      <c r="X1458" t="s">
        <v>732</v>
      </c>
      <c r="Y1458" t="s">
        <v>34</v>
      </c>
      <c r="Z1458" t="s">
        <v>11</v>
      </c>
      <c r="AA1458">
        <v>62371</v>
      </c>
      <c r="AB1458">
        <v>17906304</v>
      </c>
      <c r="AC1458">
        <v>1</v>
      </c>
      <c r="AD1458" s="8"/>
    </row>
    <row r="1459" spans="1:30" x14ac:dyDescent="0.3">
      <c r="A1459" t="s">
        <v>1627</v>
      </c>
      <c r="B1459">
        <v>1353810</v>
      </c>
      <c r="D1459" t="s">
        <v>7</v>
      </c>
      <c r="E1459">
        <v>945317</v>
      </c>
      <c r="F1459">
        <v>9015884123</v>
      </c>
      <c r="G1459">
        <v>87</v>
      </c>
      <c r="H1459" t="s">
        <v>176</v>
      </c>
      <c r="I1459">
        <v>0</v>
      </c>
      <c r="J1459" t="s">
        <v>177</v>
      </c>
      <c r="K1459" t="s">
        <v>8</v>
      </c>
      <c r="L1459" t="s">
        <v>67</v>
      </c>
      <c r="M1459" t="s">
        <v>9</v>
      </c>
      <c r="N1459" t="s">
        <v>14</v>
      </c>
      <c r="O1459" s="2">
        <v>530889.91</v>
      </c>
      <c r="P1459" s="3">
        <v>3727.3359999999998</v>
      </c>
      <c r="Q1459" s="1">
        <v>46033</v>
      </c>
      <c r="R1459" s="1">
        <v>45992</v>
      </c>
      <c r="S1459" s="1">
        <v>46022</v>
      </c>
      <c r="V1459" s="8">
        <v>1</v>
      </c>
      <c r="W1459" t="s">
        <v>24</v>
      </c>
      <c r="X1459" t="s">
        <v>178</v>
      </c>
      <c r="Y1459" t="s">
        <v>34</v>
      </c>
      <c r="Z1459" t="s">
        <v>11</v>
      </c>
      <c r="AA1459">
        <v>62371</v>
      </c>
      <c r="AB1459">
        <v>18550359</v>
      </c>
      <c r="AC1459">
        <v>0</v>
      </c>
      <c r="AD1459" s="8"/>
    </row>
    <row r="1460" spans="1:30" x14ac:dyDescent="0.3">
      <c r="A1460" t="s">
        <v>1627</v>
      </c>
      <c r="B1460">
        <v>1353805</v>
      </c>
      <c r="D1460" t="s">
        <v>7</v>
      </c>
      <c r="E1460">
        <v>945298</v>
      </c>
      <c r="F1460">
        <v>9015884123</v>
      </c>
      <c r="G1460">
        <v>81</v>
      </c>
      <c r="H1460" t="s">
        <v>736</v>
      </c>
      <c r="I1460">
        <v>0</v>
      </c>
      <c r="J1460" t="s">
        <v>737</v>
      </c>
      <c r="K1460" t="s">
        <v>8</v>
      </c>
      <c r="L1460" t="s">
        <v>15</v>
      </c>
      <c r="M1460" t="s">
        <v>9</v>
      </c>
      <c r="N1460" t="s">
        <v>14</v>
      </c>
      <c r="O1460" s="2">
        <v>0</v>
      </c>
      <c r="P1460" s="3">
        <v>2441.4859999999999</v>
      </c>
      <c r="Q1460" s="1">
        <v>46033</v>
      </c>
      <c r="R1460" s="1">
        <v>45992</v>
      </c>
      <c r="S1460" s="1">
        <v>46022</v>
      </c>
      <c r="V1460" s="8">
        <v>1</v>
      </c>
      <c r="W1460" t="s">
        <v>24</v>
      </c>
      <c r="X1460" t="s">
        <v>738</v>
      </c>
      <c r="Y1460" t="s">
        <v>34</v>
      </c>
      <c r="Z1460" t="s">
        <v>11</v>
      </c>
      <c r="AA1460">
        <v>62371</v>
      </c>
      <c r="AB1460">
        <v>17916076</v>
      </c>
      <c r="AC1460">
        <v>0</v>
      </c>
      <c r="AD1460" s="8"/>
    </row>
    <row r="1461" spans="1:30" x14ac:dyDescent="0.3">
      <c r="A1461" t="s">
        <v>1627</v>
      </c>
      <c r="B1461">
        <v>1424122</v>
      </c>
      <c r="D1461" t="s">
        <v>7</v>
      </c>
      <c r="E1461">
        <v>946697</v>
      </c>
      <c r="F1461">
        <v>9015884123</v>
      </c>
      <c r="G1461">
        <v>467</v>
      </c>
      <c r="H1461" t="s">
        <v>745</v>
      </c>
      <c r="I1461">
        <v>0</v>
      </c>
      <c r="J1461" t="s">
        <v>746</v>
      </c>
      <c r="K1461" t="s">
        <v>8</v>
      </c>
      <c r="L1461" t="s">
        <v>18</v>
      </c>
      <c r="M1461" t="s">
        <v>9</v>
      </c>
      <c r="N1461" t="s">
        <v>14</v>
      </c>
      <c r="O1461" s="2">
        <v>-3.56</v>
      </c>
      <c r="P1461" s="3">
        <v>0</v>
      </c>
      <c r="Q1461" s="1">
        <v>46033</v>
      </c>
      <c r="R1461" s="1">
        <v>45992</v>
      </c>
      <c r="S1461" s="1">
        <v>46022</v>
      </c>
      <c r="V1461" s="8">
        <v>1</v>
      </c>
      <c r="W1461" t="s">
        <v>24</v>
      </c>
      <c r="X1461" t="s">
        <v>747</v>
      </c>
      <c r="Y1461" t="s">
        <v>55</v>
      </c>
      <c r="Z1461" t="s">
        <v>11</v>
      </c>
      <c r="AA1461">
        <v>62371</v>
      </c>
      <c r="AB1461">
        <v>21517518</v>
      </c>
      <c r="AC1461">
        <v>0</v>
      </c>
      <c r="AD1461" s="8"/>
    </row>
    <row r="1462" spans="1:30" x14ac:dyDescent="0.3">
      <c r="A1462" t="s">
        <v>1627</v>
      </c>
      <c r="B1462">
        <v>1403714</v>
      </c>
      <c r="D1462" t="s">
        <v>7</v>
      </c>
      <c r="E1462">
        <v>946238</v>
      </c>
      <c r="F1462">
        <v>9015884123</v>
      </c>
      <c r="G1462">
        <v>298</v>
      </c>
      <c r="H1462" t="s">
        <v>1364</v>
      </c>
      <c r="I1462">
        <v>0</v>
      </c>
      <c r="J1462" t="s">
        <v>1365</v>
      </c>
      <c r="K1462" t="s">
        <v>8</v>
      </c>
      <c r="L1462" t="s">
        <v>18</v>
      </c>
      <c r="M1462" t="s">
        <v>9</v>
      </c>
      <c r="N1462" t="s">
        <v>14</v>
      </c>
      <c r="O1462" s="2">
        <v>4.37</v>
      </c>
      <c r="P1462" s="3">
        <v>0</v>
      </c>
      <c r="Q1462" s="1">
        <v>46033</v>
      </c>
      <c r="R1462" s="1">
        <v>45992</v>
      </c>
      <c r="S1462" s="1">
        <v>46022</v>
      </c>
      <c r="V1462" s="8">
        <v>1</v>
      </c>
      <c r="W1462" t="s">
        <v>24</v>
      </c>
      <c r="X1462" t="s">
        <v>1366</v>
      </c>
      <c r="Y1462" t="s">
        <v>40</v>
      </c>
      <c r="Z1462" t="s">
        <v>11</v>
      </c>
      <c r="AA1462">
        <v>62371</v>
      </c>
      <c r="AB1462">
        <v>18369182</v>
      </c>
      <c r="AC1462">
        <v>1</v>
      </c>
      <c r="AD1462" s="8"/>
    </row>
    <row r="1463" spans="1:30" x14ac:dyDescent="0.3">
      <c r="A1463" t="s">
        <v>1627</v>
      </c>
      <c r="B1463">
        <v>1406271</v>
      </c>
      <c r="D1463" t="s">
        <v>7</v>
      </c>
      <c r="E1463">
        <v>946303</v>
      </c>
      <c r="F1463">
        <v>9015884123</v>
      </c>
      <c r="G1463">
        <v>323</v>
      </c>
      <c r="H1463" t="s">
        <v>1048</v>
      </c>
      <c r="I1463">
        <v>0</v>
      </c>
      <c r="J1463" t="s">
        <v>1049</v>
      </c>
      <c r="K1463" t="s">
        <v>8</v>
      </c>
      <c r="L1463" t="s">
        <v>18</v>
      </c>
      <c r="M1463" t="s">
        <v>9</v>
      </c>
      <c r="N1463" t="s">
        <v>14</v>
      </c>
      <c r="O1463" s="2">
        <v>-2.1800000000000002</v>
      </c>
      <c r="P1463" s="3">
        <v>0</v>
      </c>
      <c r="Q1463" s="1">
        <v>46033</v>
      </c>
      <c r="R1463" s="1">
        <v>45992</v>
      </c>
      <c r="S1463" s="1">
        <v>46022</v>
      </c>
      <c r="V1463" s="8">
        <v>2</v>
      </c>
      <c r="W1463" t="s">
        <v>24</v>
      </c>
      <c r="X1463" t="s">
        <v>1050</v>
      </c>
      <c r="Y1463" t="s">
        <v>40</v>
      </c>
      <c r="Z1463" t="s">
        <v>11</v>
      </c>
      <c r="AA1463">
        <v>62371</v>
      </c>
      <c r="AB1463">
        <v>19711461</v>
      </c>
      <c r="AC1463">
        <v>1</v>
      </c>
      <c r="AD1463" s="8"/>
    </row>
    <row r="1464" spans="1:30" x14ac:dyDescent="0.3">
      <c r="A1464" t="s">
        <v>1627</v>
      </c>
      <c r="B1464">
        <v>1354515</v>
      </c>
      <c r="D1464" t="s">
        <v>7</v>
      </c>
      <c r="E1464">
        <v>945369</v>
      </c>
      <c r="F1464">
        <v>9015884123</v>
      </c>
      <c r="G1464">
        <v>102</v>
      </c>
      <c r="H1464" t="s">
        <v>754</v>
      </c>
      <c r="I1464">
        <v>0</v>
      </c>
      <c r="J1464" t="s">
        <v>755</v>
      </c>
      <c r="K1464" t="s">
        <v>8</v>
      </c>
      <c r="L1464" t="s">
        <v>67</v>
      </c>
      <c r="M1464" t="s">
        <v>9</v>
      </c>
      <c r="N1464" t="s">
        <v>14</v>
      </c>
      <c r="O1464" s="2">
        <v>478123.9</v>
      </c>
      <c r="P1464" s="3">
        <v>3356.87</v>
      </c>
      <c r="Q1464" s="1">
        <v>46033</v>
      </c>
      <c r="R1464" s="1">
        <v>45992</v>
      </c>
      <c r="S1464" s="1">
        <v>46022</v>
      </c>
      <c r="V1464" s="8">
        <v>1</v>
      </c>
      <c r="W1464" t="s">
        <v>24</v>
      </c>
      <c r="X1464" t="s">
        <v>756</v>
      </c>
      <c r="Y1464" t="s">
        <v>17</v>
      </c>
      <c r="Z1464" t="s">
        <v>11</v>
      </c>
      <c r="AA1464">
        <v>62371</v>
      </c>
      <c r="AB1464">
        <v>17822108</v>
      </c>
      <c r="AC1464">
        <v>0</v>
      </c>
      <c r="AD1464" s="8"/>
    </row>
    <row r="1465" spans="1:30" x14ac:dyDescent="0.3">
      <c r="A1465" t="s">
        <v>1627</v>
      </c>
      <c r="B1465">
        <v>1354728</v>
      </c>
      <c r="D1465" t="s">
        <v>7</v>
      </c>
      <c r="E1465">
        <v>945307</v>
      </c>
      <c r="F1465">
        <v>9015884123</v>
      </c>
      <c r="G1465">
        <v>84</v>
      </c>
      <c r="H1465" t="s">
        <v>1385</v>
      </c>
      <c r="I1465">
        <v>0</v>
      </c>
      <c r="J1465" t="s">
        <v>1386</v>
      </c>
      <c r="K1465" t="s">
        <v>8</v>
      </c>
      <c r="L1465" t="s">
        <v>67</v>
      </c>
      <c r="M1465" t="s">
        <v>9</v>
      </c>
      <c r="N1465" t="s">
        <v>14</v>
      </c>
      <c r="O1465" s="2">
        <v>869119.33</v>
      </c>
      <c r="P1465" s="3">
        <v>6102.018</v>
      </c>
      <c r="Q1465" s="1">
        <v>46033</v>
      </c>
      <c r="R1465" s="1">
        <v>45992</v>
      </c>
      <c r="S1465" s="1">
        <v>46022</v>
      </c>
      <c r="V1465" s="8">
        <v>1</v>
      </c>
      <c r="W1465" t="s">
        <v>24</v>
      </c>
      <c r="X1465" t="s">
        <v>1387</v>
      </c>
      <c r="Y1465" t="s">
        <v>10</v>
      </c>
      <c r="Z1465" t="s">
        <v>11</v>
      </c>
      <c r="AA1465">
        <v>62371</v>
      </c>
      <c r="AB1465">
        <v>18181534</v>
      </c>
      <c r="AC1465">
        <v>0</v>
      </c>
      <c r="AD1465" s="8"/>
    </row>
    <row r="1466" spans="1:30" x14ac:dyDescent="0.3">
      <c r="A1466" t="s">
        <v>1627</v>
      </c>
      <c r="B1466">
        <v>1445868</v>
      </c>
      <c r="D1466" t="s">
        <v>7</v>
      </c>
      <c r="E1466">
        <v>946906</v>
      </c>
      <c r="F1466">
        <v>9015884123</v>
      </c>
      <c r="G1466">
        <v>532</v>
      </c>
      <c r="H1466" t="s">
        <v>1066</v>
      </c>
      <c r="I1466">
        <v>0</v>
      </c>
      <c r="J1466" t="s">
        <v>1067</v>
      </c>
      <c r="K1466" t="s">
        <v>8</v>
      </c>
      <c r="L1466" t="s">
        <v>67</v>
      </c>
      <c r="M1466" t="s">
        <v>9</v>
      </c>
      <c r="N1466" t="s">
        <v>14</v>
      </c>
      <c r="O1466" s="2">
        <v>417626.04</v>
      </c>
      <c r="P1466" s="3">
        <v>3867.06</v>
      </c>
      <c r="Q1466" s="1">
        <v>46033</v>
      </c>
      <c r="R1466" s="1">
        <v>45992</v>
      </c>
      <c r="S1466" s="1">
        <v>46022</v>
      </c>
      <c r="V1466" s="8">
        <v>1</v>
      </c>
      <c r="W1466" t="s">
        <v>24</v>
      </c>
      <c r="X1466" t="s">
        <v>1068</v>
      </c>
      <c r="Y1466" t="s">
        <v>40</v>
      </c>
      <c r="Z1466" t="s">
        <v>11</v>
      </c>
      <c r="AA1466">
        <v>62371</v>
      </c>
      <c r="AB1466">
        <v>21106539</v>
      </c>
      <c r="AC1466">
        <v>1</v>
      </c>
      <c r="AD1466" s="8"/>
    </row>
    <row r="1467" spans="1:30" x14ac:dyDescent="0.3">
      <c r="A1467" t="s">
        <v>1627</v>
      </c>
      <c r="B1467">
        <v>1307886</v>
      </c>
      <c r="D1467" t="s">
        <v>7</v>
      </c>
      <c r="E1467">
        <v>945171</v>
      </c>
      <c r="F1467">
        <v>9015884123</v>
      </c>
      <c r="G1467">
        <v>39</v>
      </c>
      <c r="H1467" t="s">
        <v>1373</v>
      </c>
      <c r="I1467">
        <v>0</v>
      </c>
      <c r="J1467" t="s">
        <v>1374</v>
      </c>
      <c r="K1467" t="s">
        <v>8</v>
      </c>
      <c r="L1467" t="s">
        <v>15</v>
      </c>
      <c r="M1467" t="s">
        <v>9</v>
      </c>
      <c r="N1467" t="s">
        <v>14</v>
      </c>
      <c r="O1467" s="2">
        <v>0</v>
      </c>
      <c r="P1467" s="3">
        <v>2677.2930000000001</v>
      </c>
      <c r="Q1467" s="1">
        <v>46033</v>
      </c>
      <c r="R1467" s="1">
        <v>45992</v>
      </c>
      <c r="S1467" s="1">
        <v>46022</v>
      </c>
      <c r="V1467" s="8">
        <v>1</v>
      </c>
      <c r="W1467" t="s">
        <v>24</v>
      </c>
      <c r="X1467" t="s">
        <v>1375</v>
      </c>
      <c r="Y1467" t="s">
        <v>40</v>
      </c>
      <c r="Z1467" t="s">
        <v>11</v>
      </c>
      <c r="AA1467">
        <v>62371</v>
      </c>
      <c r="AB1467">
        <v>19879653</v>
      </c>
      <c r="AC1467">
        <v>101</v>
      </c>
      <c r="AD1467" s="8"/>
    </row>
    <row r="1468" spans="1:30" x14ac:dyDescent="0.3">
      <c r="A1468" t="s">
        <v>1627</v>
      </c>
      <c r="B1468">
        <v>1424496</v>
      </c>
      <c r="D1468" t="s">
        <v>7</v>
      </c>
      <c r="E1468">
        <v>946700</v>
      </c>
      <c r="F1468">
        <v>9015884123</v>
      </c>
      <c r="G1468">
        <v>468</v>
      </c>
      <c r="H1468" t="s">
        <v>674</v>
      </c>
      <c r="I1468">
        <v>0</v>
      </c>
      <c r="J1468" t="s">
        <v>675</v>
      </c>
      <c r="K1468" t="s">
        <v>8</v>
      </c>
      <c r="L1468" t="s">
        <v>18</v>
      </c>
      <c r="M1468" t="s">
        <v>9</v>
      </c>
      <c r="N1468" t="s">
        <v>14</v>
      </c>
      <c r="O1468" s="2">
        <v>3.79</v>
      </c>
      <c r="P1468" s="3">
        <v>0</v>
      </c>
      <c r="Q1468" s="1">
        <v>46033</v>
      </c>
      <c r="R1468" s="1">
        <v>45992</v>
      </c>
      <c r="S1468" s="1">
        <v>46022</v>
      </c>
      <c r="V1468" s="8">
        <v>1</v>
      </c>
      <c r="W1468" t="s">
        <v>24</v>
      </c>
      <c r="X1468" t="s">
        <v>676</v>
      </c>
      <c r="Y1468" t="s">
        <v>677</v>
      </c>
      <c r="Z1468" t="s">
        <v>11</v>
      </c>
      <c r="AA1468">
        <v>62371</v>
      </c>
      <c r="AB1468">
        <v>17636730</v>
      </c>
      <c r="AC1468">
        <v>0</v>
      </c>
      <c r="AD1468" s="8"/>
    </row>
    <row r="1469" spans="1:30" x14ac:dyDescent="0.3">
      <c r="A1469" t="s">
        <v>1627</v>
      </c>
      <c r="B1469">
        <v>1415113</v>
      </c>
      <c r="D1469" t="s">
        <v>7</v>
      </c>
      <c r="E1469">
        <v>946539</v>
      </c>
      <c r="F1469">
        <v>9015884123</v>
      </c>
      <c r="G1469">
        <v>417</v>
      </c>
      <c r="H1469" t="s">
        <v>1087</v>
      </c>
      <c r="I1469">
        <v>0</v>
      </c>
      <c r="J1469" t="s">
        <v>1088</v>
      </c>
      <c r="K1469" t="s">
        <v>8</v>
      </c>
      <c r="L1469" t="s">
        <v>15</v>
      </c>
      <c r="M1469" t="s">
        <v>9</v>
      </c>
      <c r="N1469" t="s">
        <v>14</v>
      </c>
      <c r="O1469" s="2">
        <v>0</v>
      </c>
      <c r="P1469" s="3">
        <v>1866.8489999999999</v>
      </c>
      <c r="Q1469" s="1">
        <v>46033</v>
      </c>
      <c r="R1469" s="1">
        <v>45992</v>
      </c>
      <c r="S1469" s="1">
        <v>46022</v>
      </c>
      <c r="V1469" s="8">
        <v>1</v>
      </c>
      <c r="W1469" t="s">
        <v>24</v>
      </c>
      <c r="X1469" t="s">
        <v>1089</v>
      </c>
      <c r="Y1469" t="s">
        <v>82</v>
      </c>
      <c r="Z1469" t="s">
        <v>11</v>
      </c>
      <c r="AA1469">
        <v>62371</v>
      </c>
      <c r="AB1469">
        <v>19453501</v>
      </c>
      <c r="AC1469">
        <v>0</v>
      </c>
      <c r="AD1469" s="8"/>
    </row>
    <row r="1470" spans="1:30" x14ac:dyDescent="0.3">
      <c r="A1470" t="s">
        <v>1627</v>
      </c>
      <c r="B1470">
        <v>1415531</v>
      </c>
      <c r="D1470" t="s">
        <v>7</v>
      </c>
      <c r="E1470">
        <v>946530</v>
      </c>
      <c r="F1470">
        <v>9015884123</v>
      </c>
      <c r="G1470">
        <v>414</v>
      </c>
      <c r="H1470" t="s">
        <v>84</v>
      </c>
      <c r="I1470">
        <v>0</v>
      </c>
      <c r="J1470" t="s">
        <v>85</v>
      </c>
      <c r="K1470" t="s">
        <v>8</v>
      </c>
      <c r="L1470" t="s">
        <v>67</v>
      </c>
      <c r="M1470" t="s">
        <v>9</v>
      </c>
      <c r="N1470" t="s">
        <v>14</v>
      </c>
      <c r="O1470" s="2">
        <v>277200.53000000003</v>
      </c>
      <c r="P1470" s="3">
        <v>1946.203</v>
      </c>
      <c r="Q1470" s="1">
        <v>46033</v>
      </c>
      <c r="R1470" s="1">
        <v>45992</v>
      </c>
      <c r="S1470" s="1">
        <v>46022</v>
      </c>
      <c r="V1470" s="8">
        <v>1</v>
      </c>
      <c r="W1470" t="s">
        <v>24</v>
      </c>
      <c r="X1470" t="s">
        <v>86</v>
      </c>
      <c r="Y1470" t="s">
        <v>68</v>
      </c>
      <c r="Z1470" t="s">
        <v>11</v>
      </c>
      <c r="AA1470">
        <v>62371</v>
      </c>
      <c r="AB1470">
        <v>17619157</v>
      </c>
      <c r="AC1470">
        <v>0</v>
      </c>
      <c r="AD1470" s="8"/>
    </row>
    <row r="1471" spans="1:30" x14ac:dyDescent="0.3">
      <c r="A1471" t="s">
        <v>1627</v>
      </c>
      <c r="B1471">
        <v>1360644</v>
      </c>
      <c r="D1471" t="s">
        <v>7</v>
      </c>
      <c r="E1471">
        <v>945897</v>
      </c>
      <c r="F1471">
        <v>9015884123</v>
      </c>
      <c r="G1471">
        <v>146</v>
      </c>
      <c r="H1471" t="s">
        <v>76</v>
      </c>
      <c r="I1471">
        <v>0</v>
      </c>
      <c r="J1471" t="s">
        <v>77</v>
      </c>
      <c r="K1471" t="s">
        <v>8</v>
      </c>
      <c r="L1471" t="s">
        <v>15</v>
      </c>
      <c r="M1471" t="s">
        <v>9</v>
      </c>
      <c r="N1471" t="s">
        <v>14</v>
      </c>
      <c r="O1471" s="2">
        <v>0</v>
      </c>
      <c r="P1471" s="3">
        <v>3646.2460000000001</v>
      </c>
      <c r="Q1471" s="1">
        <v>46033</v>
      </c>
      <c r="R1471" s="1">
        <v>45992</v>
      </c>
      <c r="S1471" s="1">
        <v>46022</v>
      </c>
      <c r="V1471" s="8">
        <v>1</v>
      </c>
      <c r="W1471" t="s">
        <v>24</v>
      </c>
      <c r="X1471" t="s">
        <v>78</v>
      </c>
      <c r="Y1471" t="s">
        <v>42</v>
      </c>
      <c r="Z1471" t="s">
        <v>11</v>
      </c>
      <c r="AA1471">
        <v>62371</v>
      </c>
      <c r="AB1471">
        <v>17583420</v>
      </c>
      <c r="AC1471">
        <v>0</v>
      </c>
      <c r="AD1471" s="8"/>
    </row>
    <row r="1472" spans="1:30" x14ac:dyDescent="0.3">
      <c r="A1472" t="s">
        <v>1627</v>
      </c>
      <c r="B1472">
        <v>1360640</v>
      </c>
      <c r="D1472" t="s">
        <v>7</v>
      </c>
      <c r="E1472">
        <v>945491</v>
      </c>
      <c r="F1472">
        <v>9015884123</v>
      </c>
      <c r="G1472">
        <v>143</v>
      </c>
      <c r="H1472" t="s">
        <v>1355</v>
      </c>
      <c r="I1472">
        <v>0</v>
      </c>
      <c r="J1472" t="s">
        <v>1356</v>
      </c>
      <c r="K1472" t="s">
        <v>8</v>
      </c>
      <c r="L1472" t="s">
        <v>19</v>
      </c>
      <c r="M1472" t="s">
        <v>9</v>
      </c>
      <c r="N1472" t="s">
        <v>14</v>
      </c>
      <c r="O1472" s="2">
        <v>85.36</v>
      </c>
      <c r="P1472" s="3">
        <v>0.432</v>
      </c>
      <c r="Q1472" s="1">
        <v>46033</v>
      </c>
      <c r="R1472" s="1">
        <v>45992</v>
      </c>
      <c r="S1472" s="1">
        <v>46022</v>
      </c>
      <c r="V1472" s="8">
        <v>1</v>
      </c>
      <c r="W1472" t="s">
        <v>24</v>
      </c>
      <c r="X1472" t="s">
        <v>1357</v>
      </c>
      <c r="Y1472" t="s">
        <v>42</v>
      </c>
      <c r="Z1472" t="s">
        <v>11</v>
      </c>
      <c r="AA1472">
        <v>62371</v>
      </c>
      <c r="AB1472">
        <v>17596015</v>
      </c>
      <c r="AC1472">
        <v>0</v>
      </c>
      <c r="AD1472" s="8"/>
    </row>
    <row r="1473" spans="1:30" x14ac:dyDescent="0.3">
      <c r="A1473" t="s">
        <v>1627</v>
      </c>
      <c r="B1473">
        <v>1415100</v>
      </c>
      <c r="D1473" t="s">
        <v>7</v>
      </c>
      <c r="E1473">
        <v>946438</v>
      </c>
      <c r="F1473">
        <v>9015884123</v>
      </c>
      <c r="G1473">
        <v>386</v>
      </c>
      <c r="H1473" t="s">
        <v>1096</v>
      </c>
      <c r="I1473">
        <v>0</v>
      </c>
      <c r="J1473" t="s">
        <v>1097</v>
      </c>
      <c r="K1473" t="s">
        <v>8</v>
      </c>
      <c r="L1473" t="s">
        <v>15</v>
      </c>
      <c r="M1473" t="s">
        <v>9</v>
      </c>
      <c r="N1473" t="s">
        <v>14</v>
      </c>
      <c r="O1473" s="2">
        <v>0</v>
      </c>
      <c r="P1473" s="3">
        <v>3412.1509999999998</v>
      </c>
      <c r="Q1473" s="1">
        <v>46033</v>
      </c>
      <c r="R1473" s="1">
        <v>45992</v>
      </c>
      <c r="S1473" s="1">
        <v>46022</v>
      </c>
      <c r="V1473" s="8">
        <v>1</v>
      </c>
      <c r="W1473" t="s">
        <v>24</v>
      </c>
      <c r="X1473" t="s">
        <v>1098</v>
      </c>
      <c r="Y1473" t="s">
        <v>43</v>
      </c>
      <c r="Z1473" t="s">
        <v>11</v>
      </c>
      <c r="AA1473">
        <v>62371</v>
      </c>
      <c r="AB1473">
        <v>19999263</v>
      </c>
      <c r="AC1473">
        <v>0</v>
      </c>
      <c r="AD1473" s="8"/>
    </row>
    <row r="1474" spans="1:30" x14ac:dyDescent="0.3">
      <c r="A1474" t="s">
        <v>1627</v>
      </c>
      <c r="B1474">
        <v>1450084</v>
      </c>
      <c r="D1474" t="s">
        <v>7</v>
      </c>
      <c r="E1474">
        <v>949681</v>
      </c>
      <c r="F1474">
        <v>9015884123</v>
      </c>
      <c r="G1474">
        <v>537</v>
      </c>
      <c r="H1474" t="s">
        <v>1135</v>
      </c>
      <c r="I1474">
        <v>0</v>
      </c>
      <c r="J1474" t="s">
        <v>1136</v>
      </c>
      <c r="K1474" t="s">
        <v>8</v>
      </c>
      <c r="L1474" t="s">
        <v>67</v>
      </c>
      <c r="M1474" t="s">
        <v>9</v>
      </c>
      <c r="N1474" t="s">
        <v>14</v>
      </c>
      <c r="O1474" s="2">
        <v>318019.11</v>
      </c>
      <c r="P1474" s="3">
        <v>3870.5360000000001</v>
      </c>
      <c r="Q1474" s="1">
        <v>46036</v>
      </c>
      <c r="R1474" s="1">
        <v>46017</v>
      </c>
      <c r="S1474" s="1">
        <v>46022</v>
      </c>
      <c r="V1474" s="8">
        <v>2</v>
      </c>
      <c r="W1474" t="s">
        <v>24</v>
      </c>
      <c r="X1474" t="s">
        <v>1137</v>
      </c>
      <c r="Y1474" t="s">
        <v>31</v>
      </c>
      <c r="Z1474" t="s">
        <v>11</v>
      </c>
      <c r="AA1474">
        <v>62371</v>
      </c>
      <c r="AC1474">
        <v>0</v>
      </c>
      <c r="AD1474" s="8"/>
    </row>
    <row r="1475" spans="1:30" x14ac:dyDescent="0.3">
      <c r="A1475" t="s">
        <v>1627</v>
      </c>
      <c r="B1475">
        <v>1416445</v>
      </c>
      <c r="D1475" t="s">
        <v>7</v>
      </c>
      <c r="E1475">
        <v>946586</v>
      </c>
      <c r="F1475">
        <v>9015884123</v>
      </c>
      <c r="G1475">
        <v>431</v>
      </c>
      <c r="H1475" t="s">
        <v>1105</v>
      </c>
      <c r="I1475">
        <v>0</v>
      </c>
      <c r="J1475" t="s">
        <v>1106</v>
      </c>
      <c r="K1475" t="s">
        <v>8</v>
      </c>
      <c r="L1475" t="s">
        <v>15</v>
      </c>
      <c r="M1475" t="s">
        <v>9</v>
      </c>
      <c r="N1475" t="s">
        <v>14</v>
      </c>
      <c r="O1475" s="2">
        <v>0</v>
      </c>
      <c r="P1475" s="3">
        <v>1962.931</v>
      </c>
      <c r="Q1475" s="1">
        <v>46033</v>
      </c>
      <c r="R1475" s="1">
        <v>45992</v>
      </c>
      <c r="S1475" s="1">
        <v>46022</v>
      </c>
      <c r="V1475" s="8">
        <v>1</v>
      </c>
      <c r="W1475" t="s">
        <v>24</v>
      </c>
      <c r="X1475" t="s">
        <v>1107</v>
      </c>
      <c r="Y1475" t="s">
        <v>34</v>
      </c>
      <c r="Z1475" t="s">
        <v>11</v>
      </c>
      <c r="AA1475">
        <v>62371</v>
      </c>
      <c r="AB1475">
        <v>21249796</v>
      </c>
      <c r="AC1475">
        <v>1</v>
      </c>
      <c r="AD1475" s="8"/>
    </row>
    <row r="1476" spans="1:30" x14ac:dyDescent="0.3">
      <c r="A1476" t="s">
        <v>1627</v>
      </c>
      <c r="B1476">
        <v>1415112</v>
      </c>
      <c r="D1476" t="s">
        <v>7</v>
      </c>
      <c r="E1476">
        <v>946487</v>
      </c>
      <c r="F1476">
        <v>9015884123</v>
      </c>
      <c r="G1476">
        <v>400</v>
      </c>
      <c r="H1476" t="s">
        <v>1512</v>
      </c>
      <c r="I1476">
        <v>0</v>
      </c>
      <c r="J1476" t="s">
        <v>1513</v>
      </c>
      <c r="K1476" t="s">
        <v>8</v>
      </c>
      <c r="L1476" t="s">
        <v>19</v>
      </c>
      <c r="M1476" t="s">
        <v>9</v>
      </c>
      <c r="N1476" t="s">
        <v>14</v>
      </c>
      <c r="O1476" s="2">
        <v>37409.65</v>
      </c>
      <c r="P1476" s="3">
        <v>189.328</v>
      </c>
      <c r="Q1476" s="1">
        <v>46033</v>
      </c>
      <c r="R1476" s="1">
        <v>45992</v>
      </c>
      <c r="S1476" s="1">
        <v>46022</v>
      </c>
      <c r="V1476" s="8">
        <v>1</v>
      </c>
      <c r="W1476" t="s">
        <v>24</v>
      </c>
      <c r="X1476" t="s">
        <v>1514</v>
      </c>
      <c r="Y1476" t="s">
        <v>34</v>
      </c>
      <c r="Z1476" t="s">
        <v>11</v>
      </c>
      <c r="AA1476">
        <v>62371</v>
      </c>
      <c r="AB1476">
        <v>17921036</v>
      </c>
      <c r="AC1476">
        <v>0</v>
      </c>
      <c r="AD1476" s="8"/>
    </row>
    <row r="1477" spans="1:30" x14ac:dyDescent="0.3">
      <c r="A1477" t="s">
        <v>1627</v>
      </c>
      <c r="B1477">
        <v>1406185</v>
      </c>
      <c r="D1477" t="s">
        <v>7</v>
      </c>
      <c r="E1477">
        <v>946293</v>
      </c>
      <c r="F1477">
        <v>9015884123</v>
      </c>
      <c r="G1477">
        <v>319</v>
      </c>
      <c r="H1477" t="s">
        <v>727</v>
      </c>
      <c r="I1477">
        <v>0</v>
      </c>
      <c r="J1477" t="s">
        <v>728</v>
      </c>
      <c r="K1477" t="s">
        <v>8</v>
      </c>
      <c r="L1477" t="s">
        <v>18</v>
      </c>
      <c r="M1477" t="s">
        <v>9</v>
      </c>
      <c r="N1477" t="s">
        <v>14</v>
      </c>
      <c r="O1477" s="2">
        <v>-0.57999999999999996</v>
      </c>
      <c r="P1477" s="3">
        <v>0</v>
      </c>
      <c r="Q1477" s="1">
        <v>46033</v>
      </c>
      <c r="R1477" s="1">
        <v>45992</v>
      </c>
      <c r="S1477" s="1">
        <v>46022</v>
      </c>
      <c r="V1477" s="8">
        <v>2</v>
      </c>
      <c r="W1477" t="s">
        <v>24</v>
      </c>
      <c r="X1477" t="s">
        <v>729</v>
      </c>
      <c r="Y1477" t="s">
        <v>31</v>
      </c>
      <c r="Z1477" t="s">
        <v>11</v>
      </c>
      <c r="AA1477">
        <v>62371</v>
      </c>
      <c r="AB1477">
        <v>19616842</v>
      </c>
      <c r="AC1477">
        <v>1</v>
      </c>
      <c r="AD1477" s="8"/>
    </row>
    <row r="1478" spans="1:30" x14ac:dyDescent="0.3">
      <c r="A1478" t="s">
        <v>1627</v>
      </c>
      <c r="B1478">
        <v>1383133</v>
      </c>
      <c r="D1478" t="s">
        <v>7</v>
      </c>
      <c r="E1478">
        <v>946025</v>
      </c>
      <c r="F1478">
        <v>9015884123</v>
      </c>
      <c r="G1478">
        <v>229</v>
      </c>
      <c r="H1478" t="s">
        <v>160</v>
      </c>
      <c r="I1478">
        <v>0</v>
      </c>
      <c r="J1478" t="s">
        <v>161</v>
      </c>
      <c r="K1478" t="s">
        <v>8</v>
      </c>
      <c r="L1478" t="s">
        <v>19</v>
      </c>
      <c r="M1478" t="s">
        <v>9</v>
      </c>
      <c r="N1478" t="s">
        <v>14</v>
      </c>
      <c r="O1478" s="2">
        <v>243.1</v>
      </c>
      <c r="P1478" s="3">
        <v>1.49</v>
      </c>
      <c r="Q1478" s="1">
        <v>46033</v>
      </c>
      <c r="R1478" s="1">
        <v>45992</v>
      </c>
      <c r="S1478" s="1">
        <v>46022</v>
      </c>
      <c r="V1478" s="8">
        <v>1</v>
      </c>
      <c r="W1478" t="s">
        <v>24</v>
      </c>
      <c r="X1478" t="s">
        <v>162</v>
      </c>
      <c r="Y1478" t="s">
        <v>31</v>
      </c>
      <c r="Z1478" t="s">
        <v>11</v>
      </c>
      <c r="AA1478">
        <v>62371</v>
      </c>
      <c r="AB1478">
        <v>18862233</v>
      </c>
      <c r="AC1478">
        <v>1</v>
      </c>
      <c r="AD1478" s="8"/>
    </row>
    <row r="1479" spans="1:30" x14ac:dyDescent="0.3">
      <c r="A1479" t="s">
        <v>1627</v>
      </c>
      <c r="B1479">
        <v>1377792</v>
      </c>
      <c r="D1479" t="s">
        <v>7</v>
      </c>
      <c r="E1479">
        <v>945959</v>
      </c>
      <c r="F1479">
        <v>9015884123</v>
      </c>
      <c r="G1479">
        <v>197</v>
      </c>
      <c r="H1479" t="s">
        <v>166</v>
      </c>
      <c r="I1479">
        <v>0</v>
      </c>
      <c r="J1479" t="s">
        <v>167</v>
      </c>
      <c r="K1479" t="s">
        <v>8</v>
      </c>
      <c r="L1479" t="s">
        <v>18</v>
      </c>
      <c r="M1479" t="s">
        <v>9</v>
      </c>
      <c r="N1479" t="s">
        <v>14</v>
      </c>
      <c r="O1479" s="2">
        <v>0.16</v>
      </c>
      <c r="P1479" s="3">
        <v>0</v>
      </c>
      <c r="Q1479" s="1">
        <v>46033</v>
      </c>
      <c r="R1479" s="1">
        <v>45992</v>
      </c>
      <c r="S1479" s="1">
        <v>46022</v>
      </c>
      <c r="V1479" s="8">
        <v>1</v>
      </c>
      <c r="W1479" t="s">
        <v>24</v>
      </c>
      <c r="X1479" t="s">
        <v>168</v>
      </c>
      <c r="Y1479" t="s">
        <v>31</v>
      </c>
      <c r="Z1479" t="s">
        <v>11</v>
      </c>
      <c r="AA1479">
        <v>62371</v>
      </c>
      <c r="AB1479">
        <v>19282562</v>
      </c>
      <c r="AC1479">
        <v>1</v>
      </c>
      <c r="AD1479" s="8"/>
    </row>
    <row r="1480" spans="1:30" x14ac:dyDescent="0.3">
      <c r="A1480" t="s">
        <v>1627</v>
      </c>
      <c r="B1480">
        <v>1377792</v>
      </c>
      <c r="D1480" t="s">
        <v>7</v>
      </c>
      <c r="E1480">
        <v>945959</v>
      </c>
      <c r="F1480">
        <v>9015884123</v>
      </c>
      <c r="G1480">
        <v>197</v>
      </c>
      <c r="H1480" t="s">
        <v>166</v>
      </c>
      <c r="I1480">
        <v>0</v>
      </c>
      <c r="J1480" t="s">
        <v>167</v>
      </c>
      <c r="K1480" t="s">
        <v>8</v>
      </c>
      <c r="L1480" t="s">
        <v>15</v>
      </c>
      <c r="M1480" t="s">
        <v>9</v>
      </c>
      <c r="N1480" t="s">
        <v>14</v>
      </c>
      <c r="O1480" s="2">
        <v>0</v>
      </c>
      <c r="P1480" s="3">
        <v>16369.42</v>
      </c>
      <c r="Q1480" s="1">
        <v>46033</v>
      </c>
      <c r="R1480" s="1">
        <v>45992</v>
      </c>
      <c r="S1480" s="1">
        <v>46022</v>
      </c>
      <c r="V1480" s="8">
        <v>1</v>
      </c>
      <c r="W1480" t="s">
        <v>24</v>
      </c>
      <c r="X1480" t="s">
        <v>168</v>
      </c>
      <c r="Y1480" t="s">
        <v>31</v>
      </c>
      <c r="Z1480" t="s">
        <v>11</v>
      </c>
      <c r="AA1480">
        <v>62371</v>
      </c>
      <c r="AB1480">
        <v>19282562</v>
      </c>
      <c r="AC1480">
        <v>1</v>
      </c>
      <c r="AD1480" s="8"/>
    </row>
    <row r="1481" spans="1:30" x14ac:dyDescent="0.3">
      <c r="A1481" t="s">
        <v>1627</v>
      </c>
      <c r="B1481">
        <v>1356235</v>
      </c>
      <c r="D1481" t="s">
        <v>7</v>
      </c>
      <c r="E1481">
        <v>945433</v>
      </c>
      <c r="F1481">
        <v>9015884123</v>
      </c>
      <c r="G1481">
        <v>122</v>
      </c>
      <c r="H1481" t="s">
        <v>1391</v>
      </c>
      <c r="I1481">
        <v>0</v>
      </c>
      <c r="J1481" t="s">
        <v>1392</v>
      </c>
      <c r="K1481" t="s">
        <v>8</v>
      </c>
      <c r="L1481" t="s">
        <v>18</v>
      </c>
      <c r="M1481" t="s">
        <v>9</v>
      </c>
      <c r="N1481" t="s">
        <v>14</v>
      </c>
      <c r="O1481" s="2">
        <v>-1.17</v>
      </c>
      <c r="P1481" s="3">
        <v>0</v>
      </c>
      <c r="Q1481" s="1">
        <v>46033</v>
      </c>
      <c r="R1481" s="1">
        <v>45992</v>
      </c>
      <c r="S1481" s="1">
        <v>46022</v>
      </c>
      <c r="V1481" s="8">
        <v>1</v>
      </c>
      <c r="W1481" t="s">
        <v>24</v>
      </c>
      <c r="X1481" t="s">
        <v>1393</v>
      </c>
      <c r="Y1481" t="s">
        <v>17</v>
      </c>
      <c r="Z1481" t="s">
        <v>11</v>
      </c>
      <c r="AA1481">
        <v>62371</v>
      </c>
      <c r="AB1481">
        <v>17812190</v>
      </c>
      <c r="AC1481">
        <v>0</v>
      </c>
      <c r="AD1481" s="8"/>
    </row>
    <row r="1482" spans="1:30" x14ac:dyDescent="0.3">
      <c r="A1482" t="s">
        <v>1627</v>
      </c>
      <c r="B1482">
        <v>1408938</v>
      </c>
      <c r="D1482" t="s">
        <v>7</v>
      </c>
      <c r="E1482">
        <v>946338</v>
      </c>
      <c r="F1482">
        <v>9015884123</v>
      </c>
      <c r="G1482">
        <v>343</v>
      </c>
      <c r="H1482" t="s">
        <v>179</v>
      </c>
      <c r="I1482">
        <v>0</v>
      </c>
      <c r="J1482" t="s">
        <v>180</v>
      </c>
      <c r="K1482" t="s">
        <v>8</v>
      </c>
      <c r="L1482" t="s">
        <v>15</v>
      </c>
      <c r="M1482" t="s">
        <v>9</v>
      </c>
      <c r="N1482" t="s">
        <v>14</v>
      </c>
      <c r="O1482" s="2">
        <v>0</v>
      </c>
      <c r="P1482" s="3">
        <v>1543.8579999999999</v>
      </c>
      <c r="Q1482" s="1">
        <v>46033</v>
      </c>
      <c r="R1482" s="1">
        <v>45992</v>
      </c>
      <c r="S1482" s="1">
        <v>46022</v>
      </c>
      <c r="V1482" s="8">
        <v>1</v>
      </c>
      <c r="W1482" t="s">
        <v>24</v>
      </c>
      <c r="X1482" t="s">
        <v>181</v>
      </c>
      <c r="Y1482" t="s">
        <v>172</v>
      </c>
      <c r="Z1482" t="s">
        <v>11</v>
      </c>
      <c r="AA1482">
        <v>62371</v>
      </c>
      <c r="AB1482">
        <v>18836292</v>
      </c>
      <c r="AC1482">
        <v>0</v>
      </c>
      <c r="AD1482" s="8"/>
    </row>
    <row r="1483" spans="1:30" x14ac:dyDescent="0.3">
      <c r="A1483" t="s">
        <v>1627</v>
      </c>
      <c r="B1483">
        <v>1354506</v>
      </c>
      <c r="D1483" t="s">
        <v>7</v>
      </c>
      <c r="E1483">
        <v>945324</v>
      </c>
      <c r="F1483">
        <v>9015884123</v>
      </c>
      <c r="G1483">
        <v>89</v>
      </c>
      <c r="H1483" t="s">
        <v>1382</v>
      </c>
      <c r="I1483">
        <v>0</v>
      </c>
      <c r="J1483" t="s">
        <v>1383</v>
      </c>
      <c r="K1483" t="s">
        <v>8</v>
      </c>
      <c r="L1483" t="s">
        <v>15</v>
      </c>
      <c r="M1483" t="s">
        <v>9</v>
      </c>
      <c r="N1483" t="s">
        <v>14</v>
      </c>
      <c r="O1483" s="2">
        <v>0</v>
      </c>
      <c r="P1483" s="3">
        <v>4787.3119999999999</v>
      </c>
      <c r="Q1483" s="1">
        <v>46033</v>
      </c>
      <c r="R1483" s="1">
        <v>45992</v>
      </c>
      <c r="S1483" s="1">
        <v>46022</v>
      </c>
      <c r="V1483" s="8">
        <v>1</v>
      </c>
      <c r="W1483" t="s">
        <v>24</v>
      </c>
      <c r="X1483" t="s">
        <v>1384</v>
      </c>
      <c r="Y1483" t="s">
        <v>17</v>
      </c>
      <c r="Z1483" t="s">
        <v>11</v>
      </c>
      <c r="AA1483">
        <v>62371</v>
      </c>
      <c r="AB1483">
        <v>18321377</v>
      </c>
      <c r="AC1483">
        <v>0</v>
      </c>
      <c r="AD1483" s="8"/>
    </row>
    <row r="1484" spans="1:30" x14ac:dyDescent="0.3">
      <c r="A1484" t="s">
        <v>1627</v>
      </c>
      <c r="B1484">
        <v>1354727</v>
      </c>
      <c r="D1484" t="s">
        <v>7</v>
      </c>
      <c r="E1484">
        <v>945304</v>
      </c>
      <c r="F1484">
        <v>9015884123</v>
      </c>
      <c r="G1484">
        <v>83</v>
      </c>
      <c r="H1484" t="s">
        <v>1588</v>
      </c>
      <c r="I1484">
        <v>0</v>
      </c>
      <c r="J1484" t="s">
        <v>1589</v>
      </c>
      <c r="K1484" t="s">
        <v>8</v>
      </c>
      <c r="L1484" t="s">
        <v>67</v>
      </c>
      <c r="M1484" t="s">
        <v>9</v>
      </c>
      <c r="N1484" t="s">
        <v>14</v>
      </c>
      <c r="O1484" s="2">
        <v>434287.95</v>
      </c>
      <c r="P1484" s="3">
        <v>4021.3429999999998</v>
      </c>
      <c r="Q1484" s="1">
        <v>46033</v>
      </c>
      <c r="R1484" s="1">
        <v>45992</v>
      </c>
      <c r="S1484" s="1">
        <v>46022</v>
      </c>
      <c r="V1484" s="8">
        <v>1</v>
      </c>
      <c r="W1484" t="s">
        <v>24</v>
      </c>
      <c r="X1484" t="s">
        <v>1590</v>
      </c>
      <c r="Y1484" t="s">
        <v>10</v>
      </c>
      <c r="Z1484" t="s">
        <v>11</v>
      </c>
      <c r="AA1484">
        <v>62371</v>
      </c>
      <c r="AB1484">
        <v>18236206</v>
      </c>
      <c r="AC1484">
        <v>1</v>
      </c>
      <c r="AD1484" s="8"/>
    </row>
    <row r="1485" spans="1:30" x14ac:dyDescent="0.3">
      <c r="A1485" t="s">
        <v>1627</v>
      </c>
      <c r="B1485">
        <v>1380522</v>
      </c>
      <c r="D1485" t="s">
        <v>7</v>
      </c>
      <c r="E1485">
        <v>945976</v>
      </c>
      <c r="F1485">
        <v>9015884123</v>
      </c>
      <c r="G1485">
        <v>206</v>
      </c>
      <c r="H1485" t="s">
        <v>211</v>
      </c>
      <c r="I1485">
        <v>0</v>
      </c>
      <c r="J1485" t="s">
        <v>212</v>
      </c>
      <c r="K1485" t="s">
        <v>8</v>
      </c>
      <c r="L1485" t="s">
        <v>19</v>
      </c>
      <c r="M1485" t="s">
        <v>9</v>
      </c>
      <c r="N1485" t="s">
        <v>14</v>
      </c>
      <c r="O1485" s="2">
        <v>205849.35</v>
      </c>
      <c r="P1485" s="3">
        <v>1617.32</v>
      </c>
      <c r="Q1485" s="1">
        <v>46033</v>
      </c>
      <c r="R1485" s="1">
        <v>45992</v>
      </c>
      <c r="S1485" s="1">
        <v>46022</v>
      </c>
      <c r="V1485" s="8">
        <v>2</v>
      </c>
      <c r="W1485" t="s">
        <v>24</v>
      </c>
      <c r="X1485" t="s">
        <v>213</v>
      </c>
      <c r="Y1485" t="s">
        <v>17</v>
      </c>
      <c r="Z1485" t="s">
        <v>11</v>
      </c>
      <c r="AA1485">
        <v>62371</v>
      </c>
      <c r="AB1485">
        <v>18024706</v>
      </c>
      <c r="AC1485">
        <v>1</v>
      </c>
      <c r="AD1485" s="8"/>
    </row>
    <row r="1486" spans="1:30" x14ac:dyDescent="0.3">
      <c r="A1486" t="s">
        <v>1627</v>
      </c>
      <c r="B1486">
        <v>1356148</v>
      </c>
      <c r="D1486" t="s">
        <v>7</v>
      </c>
      <c r="E1486">
        <v>945378</v>
      </c>
      <c r="F1486">
        <v>9015884123</v>
      </c>
      <c r="G1486">
        <v>105</v>
      </c>
      <c r="H1486" t="s">
        <v>1539</v>
      </c>
      <c r="I1486">
        <v>0</v>
      </c>
      <c r="J1486" t="s">
        <v>1540</v>
      </c>
      <c r="K1486" t="s">
        <v>8</v>
      </c>
      <c r="L1486" t="s">
        <v>15</v>
      </c>
      <c r="M1486" t="s">
        <v>9</v>
      </c>
      <c r="N1486" t="s">
        <v>14</v>
      </c>
      <c r="O1486" s="2">
        <v>0</v>
      </c>
      <c r="P1486" s="3">
        <v>3916.4670000000001</v>
      </c>
      <c r="Q1486" s="1">
        <v>46033</v>
      </c>
      <c r="R1486" s="1">
        <v>45992</v>
      </c>
      <c r="S1486" s="1">
        <v>46022</v>
      </c>
      <c r="V1486" s="8">
        <v>1</v>
      </c>
      <c r="W1486" t="s">
        <v>24</v>
      </c>
      <c r="X1486" t="s">
        <v>1541</v>
      </c>
      <c r="Y1486" t="s">
        <v>10</v>
      </c>
      <c r="Z1486" t="s">
        <v>11</v>
      </c>
      <c r="AA1486">
        <v>62371</v>
      </c>
      <c r="AB1486">
        <v>17198395</v>
      </c>
      <c r="AC1486">
        <v>0</v>
      </c>
      <c r="AD1486" s="8"/>
    </row>
    <row r="1487" spans="1:30" x14ac:dyDescent="0.3">
      <c r="A1487" t="s">
        <v>1627</v>
      </c>
      <c r="B1487">
        <v>1356148</v>
      </c>
      <c r="D1487" t="s">
        <v>7</v>
      </c>
      <c r="E1487">
        <v>945378</v>
      </c>
      <c r="F1487">
        <v>9015884123</v>
      </c>
      <c r="G1487">
        <v>105</v>
      </c>
      <c r="H1487" t="s">
        <v>1539</v>
      </c>
      <c r="I1487">
        <v>0</v>
      </c>
      <c r="J1487" t="s">
        <v>1540</v>
      </c>
      <c r="K1487" t="s">
        <v>8</v>
      </c>
      <c r="L1487" t="s">
        <v>19</v>
      </c>
      <c r="M1487" t="s">
        <v>9</v>
      </c>
      <c r="N1487" t="s">
        <v>14</v>
      </c>
      <c r="O1487" s="2">
        <v>67829.89</v>
      </c>
      <c r="P1487" s="3">
        <v>343.28300000000002</v>
      </c>
      <c r="Q1487" s="1">
        <v>46033</v>
      </c>
      <c r="R1487" s="1">
        <v>45992</v>
      </c>
      <c r="S1487" s="1">
        <v>46022</v>
      </c>
      <c r="V1487" s="8">
        <v>1</v>
      </c>
      <c r="W1487" t="s">
        <v>24</v>
      </c>
      <c r="X1487" t="s">
        <v>1541</v>
      </c>
      <c r="Y1487" t="s">
        <v>10</v>
      </c>
      <c r="Z1487" t="s">
        <v>11</v>
      </c>
      <c r="AA1487">
        <v>62371</v>
      </c>
      <c r="AB1487">
        <v>17198395</v>
      </c>
      <c r="AC1487">
        <v>0</v>
      </c>
      <c r="AD1487" s="8"/>
    </row>
    <row r="1488" spans="1:30" x14ac:dyDescent="0.3">
      <c r="A1488" t="s">
        <v>1627</v>
      </c>
      <c r="B1488">
        <v>1359846</v>
      </c>
      <c r="D1488" t="s">
        <v>7</v>
      </c>
      <c r="E1488">
        <v>945903</v>
      </c>
      <c r="F1488">
        <v>9015884123</v>
      </c>
      <c r="G1488">
        <v>152</v>
      </c>
      <c r="H1488" t="s">
        <v>229</v>
      </c>
      <c r="I1488">
        <v>0</v>
      </c>
      <c r="J1488" t="s">
        <v>230</v>
      </c>
      <c r="K1488" t="s">
        <v>8</v>
      </c>
      <c r="L1488" t="s">
        <v>15</v>
      </c>
      <c r="M1488" t="s">
        <v>9</v>
      </c>
      <c r="N1488" t="s">
        <v>14</v>
      </c>
      <c r="O1488" s="2">
        <v>0</v>
      </c>
      <c r="P1488" s="3">
        <v>4162.0050000000001</v>
      </c>
      <c r="Q1488" s="1">
        <v>46033</v>
      </c>
      <c r="R1488" s="1">
        <v>45992</v>
      </c>
      <c r="S1488" s="1">
        <v>46022</v>
      </c>
      <c r="V1488" s="8">
        <v>1</v>
      </c>
      <c r="W1488" t="s">
        <v>24</v>
      </c>
      <c r="X1488" t="s">
        <v>231</v>
      </c>
      <c r="Y1488" t="s">
        <v>10</v>
      </c>
      <c r="Z1488" t="s">
        <v>11</v>
      </c>
      <c r="AA1488">
        <v>62371</v>
      </c>
      <c r="AB1488">
        <v>19378174</v>
      </c>
      <c r="AC1488">
        <v>0</v>
      </c>
      <c r="AD1488" s="8"/>
    </row>
    <row r="1489" spans="1:30" x14ac:dyDescent="0.3">
      <c r="A1489" t="s">
        <v>1627</v>
      </c>
      <c r="B1489">
        <v>1359841</v>
      </c>
      <c r="D1489" t="s">
        <v>7</v>
      </c>
      <c r="E1489">
        <v>945484</v>
      </c>
      <c r="F1489">
        <v>9015884123</v>
      </c>
      <c r="G1489">
        <v>140</v>
      </c>
      <c r="H1489" t="s">
        <v>1397</v>
      </c>
      <c r="I1489">
        <v>0</v>
      </c>
      <c r="J1489" t="s">
        <v>1398</v>
      </c>
      <c r="K1489" t="s">
        <v>8</v>
      </c>
      <c r="L1489" t="s">
        <v>19</v>
      </c>
      <c r="M1489" t="s">
        <v>9</v>
      </c>
      <c r="N1489" t="s">
        <v>14</v>
      </c>
      <c r="O1489" s="2">
        <v>66083.97</v>
      </c>
      <c r="P1489" s="3">
        <v>334.447</v>
      </c>
      <c r="Q1489" s="1">
        <v>46033</v>
      </c>
      <c r="R1489" s="1">
        <v>45992</v>
      </c>
      <c r="S1489" s="1">
        <v>46022</v>
      </c>
      <c r="V1489" s="8">
        <v>1</v>
      </c>
      <c r="W1489" t="s">
        <v>24</v>
      </c>
      <c r="X1489" t="s">
        <v>1399</v>
      </c>
      <c r="Y1489" t="s">
        <v>10</v>
      </c>
      <c r="Z1489" t="s">
        <v>11</v>
      </c>
      <c r="AA1489">
        <v>62371</v>
      </c>
      <c r="AB1489">
        <v>21471849</v>
      </c>
      <c r="AC1489">
        <v>0</v>
      </c>
      <c r="AD1489" s="8"/>
    </row>
    <row r="1490" spans="1:30" x14ac:dyDescent="0.3">
      <c r="A1490" t="s">
        <v>1627</v>
      </c>
      <c r="B1490">
        <v>1359845</v>
      </c>
      <c r="D1490" t="s">
        <v>7</v>
      </c>
      <c r="E1490">
        <v>945896</v>
      </c>
      <c r="F1490">
        <v>9015884123</v>
      </c>
      <c r="G1490">
        <v>145</v>
      </c>
      <c r="H1490" t="s">
        <v>1400</v>
      </c>
      <c r="I1490">
        <v>0</v>
      </c>
      <c r="J1490" t="s">
        <v>1401</v>
      </c>
      <c r="K1490" t="s">
        <v>8</v>
      </c>
      <c r="L1490" t="s">
        <v>15</v>
      </c>
      <c r="M1490" t="s">
        <v>9</v>
      </c>
      <c r="N1490" t="s">
        <v>14</v>
      </c>
      <c r="O1490" s="2">
        <v>0</v>
      </c>
      <c r="P1490" s="3">
        <v>6137.5540000000001</v>
      </c>
      <c r="Q1490" s="1">
        <v>46033</v>
      </c>
      <c r="R1490" s="1">
        <v>45992</v>
      </c>
      <c r="S1490" s="1">
        <v>46022</v>
      </c>
      <c r="V1490" s="8">
        <v>1</v>
      </c>
      <c r="W1490" t="s">
        <v>24</v>
      </c>
      <c r="X1490" t="s">
        <v>1402</v>
      </c>
      <c r="Y1490" t="s">
        <v>10</v>
      </c>
      <c r="Z1490" t="s">
        <v>11</v>
      </c>
      <c r="AA1490">
        <v>62371</v>
      </c>
      <c r="AB1490">
        <v>21442927</v>
      </c>
      <c r="AC1490">
        <v>0</v>
      </c>
      <c r="AD1490" s="8"/>
    </row>
    <row r="1491" spans="1:30" x14ac:dyDescent="0.3">
      <c r="A1491" t="s">
        <v>1627</v>
      </c>
      <c r="B1491">
        <v>1359845</v>
      </c>
      <c r="D1491" t="s">
        <v>7</v>
      </c>
      <c r="E1491">
        <v>945896</v>
      </c>
      <c r="F1491">
        <v>9015884123</v>
      </c>
      <c r="G1491">
        <v>145</v>
      </c>
      <c r="H1491" t="s">
        <v>1400</v>
      </c>
      <c r="I1491">
        <v>0</v>
      </c>
      <c r="J1491" t="s">
        <v>1401</v>
      </c>
      <c r="K1491" t="s">
        <v>8</v>
      </c>
      <c r="L1491" t="s">
        <v>67</v>
      </c>
      <c r="M1491" t="s">
        <v>9</v>
      </c>
      <c r="N1491" t="s">
        <v>14</v>
      </c>
      <c r="O1491" s="2">
        <v>874180.78</v>
      </c>
      <c r="P1491" s="3">
        <v>6137.5540000000001</v>
      </c>
      <c r="Q1491" s="1">
        <v>46033</v>
      </c>
      <c r="R1491" s="1">
        <v>45992</v>
      </c>
      <c r="S1491" s="1">
        <v>46022</v>
      </c>
      <c r="V1491" s="8">
        <v>1</v>
      </c>
      <c r="W1491" t="s">
        <v>24</v>
      </c>
      <c r="X1491" t="s">
        <v>1402</v>
      </c>
      <c r="Y1491" t="s">
        <v>10</v>
      </c>
      <c r="Z1491" t="s">
        <v>11</v>
      </c>
      <c r="AA1491">
        <v>62371</v>
      </c>
      <c r="AB1491">
        <v>21442927</v>
      </c>
      <c r="AC1491">
        <v>0</v>
      </c>
      <c r="AD1491" s="8"/>
    </row>
    <row r="1492" spans="1:30" x14ac:dyDescent="0.3">
      <c r="A1492" t="s">
        <v>1627</v>
      </c>
      <c r="B1492">
        <v>1403983</v>
      </c>
      <c r="D1492" t="s">
        <v>7</v>
      </c>
      <c r="E1492">
        <v>946242</v>
      </c>
      <c r="F1492">
        <v>9015884123</v>
      </c>
      <c r="G1492">
        <v>299</v>
      </c>
      <c r="H1492" t="s">
        <v>1186</v>
      </c>
      <c r="I1492">
        <v>0</v>
      </c>
      <c r="J1492" t="s">
        <v>1187</v>
      </c>
      <c r="K1492" t="s">
        <v>8</v>
      </c>
      <c r="L1492" t="s">
        <v>19</v>
      </c>
      <c r="M1492" t="s">
        <v>9</v>
      </c>
      <c r="N1492" t="s">
        <v>14</v>
      </c>
      <c r="O1492" s="2">
        <v>4100.76</v>
      </c>
      <c r="P1492" s="3">
        <v>25.134</v>
      </c>
      <c r="Q1492" s="1">
        <v>46033</v>
      </c>
      <c r="R1492" s="1">
        <v>45992</v>
      </c>
      <c r="S1492" s="1">
        <v>46022</v>
      </c>
      <c r="V1492" s="8">
        <v>1</v>
      </c>
      <c r="W1492" t="s">
        <v>24</v>
      </c>
      <c r="X1492" t="s">
        <v>1188</v>
      </c>
      <c r="Y1492" t="s">
        <v>17</v>
      </c>
      <c r="Z1492" t="s">
        <v>11</v>
      </c>
      <c r="AA1492">
        <v>62371</v>
      </c>
      <c r="AB1492">
        <v>19821470</v>
      </c>
      <c r="AC1492">
        <v>1</v>
      </c>
      <c r="AD1492" s="8"/>
    </row>
    <row r="1493" spans="1:30" x14ac:dyDescent="0.3">
      <c r="A1493" t="s">
        <v>1627</v>
      </c>
      <c r="B1493">
        <v>1363454</v>
      </c>
      <c r="D1493" t="s">
        <v>7</v>
      </c>
      <c r="E1493">
        <v>945922</v>
      </c>
      <c r="F1493">
        <v>9015884123</v>
      </c>
      <c r="G1493">
        <v>173</v>
      </c>
      <c r="H1493" t="s">
        <v>766</v>
      </c>
      <c r="I1493">
        <v>0</v>
      </c>
      <c r="J1493" t="s">
        <v>767</v>
      </c>
      <c r="K1493" t="s">
        <v>8</v>
      </c>
      <c r="L1493" t="s">
        <v>67</v>
      </c>
      <c r="M1493" t="s">
        <v>9</v>
      </c>
      <c r="N1493" t="s">
        <v>14</v>
      </c>
      <c r="O1493" s="2">
        <v>338907.51</v>
      </c>
      <c r="P1493" s="3">
        <v>3138.1559999999999</v>
      </c>
      <c r="Q1493" s="1">
        <v>46033</v>
      </c>
      <c r="R1493" s="1">
        <v>45992</v>
      </c>
      <c r="S1493" s="1">
        <v>46022</v>
      </c>
      <c r="V1493" s="8">
        <v>1</v>
      </c>
      <c r="W1493" t="s">
        <v>24</v>
      </c>
      <c r="X1493" t="s">
        <v>768</v>
      </c>
      <c r="Y1493" t="s">
        <v>17</v>
      </c>
      <c r="Z1493" t="s">
        <v>11</v>
      </c>
      <c r="AA1493">
        <v>62371</v>
      </c>
      <c r="AB1493">
        <v>18359476</v>
      </c>
      <c r="AC1493">
        <v>1</v>
      </c>
      <c r="AD1493" s="8"/>
    </row>
    <row r="1494" spans="1:30" x14ac:dyDescent="0.3">
      <c r="A1494" t="s">
        <v>1627</v>
      </c>
      <c r="B1494">
        <v>1408935</v>
      </c>
      <c r="D1494" t="s">
        <v>7</v>
      </c>
      <c r="E1494">
        <v>946335</v>
      </c>
      <c r="F1494">
        <v>9015884123</v>
      </c>
      <c r="G1494">
        <v>342</v>
      </c>
      <c r="H1494" t="s">
        <v>1189</v>
      </c>
      <c r="I1494">
        <v>0</v>
      </c>
      <c r="J1494" t="s">
        <v>1190</v>
      </c>
      <c r="K1494" t="s">
        <v>8</v>
      </c>
      <c r="L1494" t="s">
        <v>19</v>
      </c>
      <c r="M1494" t="s">
        <v>9</v>
      </c>
      <c r="N1494" t="s">
        <v>14</v>
      </c>
      <c r="O1494" s="2">
        <v>63.79</v>
      </c>
      <c r="P1494" s="3">
        <v>0.39100000000000001</v>
      </c>
      <c r="Q1494" s="1">
        <v>46033</v>
      </c>
      <c r="R1494" s="1">
        <v>45992</v>
      </c>
      <c r="S1494" s="1">
        <v>46022</v>
      </c>
      <c r="V1494" s="8">
        <v>1</v>
      </c>
      <c r="W1494" t="s">
        <v>24</v>
      </c>
      <c r="X1494" t="s">
        <v>1191</v>
      </c>
      <c r="Y1494" t="s">
        <v>17</v>
      </c>
      <c r="Z1494" t="s">
        <v>11</v>
      </c>
      <c r="AA1494">
        <v>62371</v>
      </c>
      <c r="AB1494">
        <v>18466873</v>
      </c>
      <c r="AC1494">
        <v>1</v>
      </c>
      <c r="AD1494" s="8"/>
    </row>
    <row r="1495" spans="1:30" x14ac:dyDescent="0.3">
      <c r="A1495" t="s">
        <v>1627</v>
      </c>
      <c r="B1495">
        <v>1417714</v>
      </c>
      <c r="D1495" t="s">
        <v>7</v>
      </c>
      <c r="E1495">
        <v>946591</v>
      </c>
      <c r="F1495">
        <v>9015884123</v>
      </c>
      <c r="G1495">
        <v>432</v>
      </c>
      <c r="H1495" t="s">
        <v>823</v>
      </c>
      <c r="I1495">
        <v>0</v>
      </c>
      <c r="J1495" t="s">
        <v>824</v>
      </c>
      <c r="K1495" t="s">
        <v>8</v>
      </c>
      <c r="L1495" t="s">
        <v>19</v>
      </c>
      <c r="M1495" t="s">
        <v>9</v>
      </c>
      <c r="N1495" t="s">
        <v>14</v>
      </c>
      <c r="O1495" s="2">
        <v>7899.13</v>
      </c>
      <c r="P1495" s="3">
        <v>39.976999999999997</v>
      </c>
      <c r="Q1495" s="1">
        <v>46033</v>
      </c>
      <c r="R1495" s="1">
        <v>45992</v>
      </c>
      <c r="S1495" s="1">
        <v>46022</v>
      </c>
      <c r="V1495" s="8">
        <v>1</v>
      </c>
      <c r="W1495" t="s">
        <v>24</v>
      </c>
      <c r="X1495" t="s">
        <v>825</v>
      </c>
      <c r="Y1495" t="s">
        <v>17</v>
      </c>
      <c r="Z1495" t="s">
        <v>11</v>
      </c>
      <c r="AA1495">
        <v>62371</v>
      </c>
      <c r="AB1495">
        <v>17752477</v>
      </c>
      <c r="AC1495">
        <v>0</v>
      </c>
      <c r="AD1495" s="8"/>
    </row>
    <row r="1496" spans="1:30" x14ac:dyDescent="0.3">
      <c r="A1496" t="s">
        <v>1627</v>
      </c>
      <c r="B1496">
        <v>1418407</v>
      </c>
      <c r="D1496" t="s">
        <v>7</v>
      </c>
      <c r="E1496">
        <v>946621</v>
      </c>
      <c r="F1496">
        <v>9015884123</v>
      </c>
      <c r="G1496">
        <v>442</v>
      </c>
      <c r="H1496" t="s">
        <v>259</v>
      </c>
      <c r="I1496">
        <v>0</v>
      </c>
      <c r="J1496" t="s">
        <v>260</v>
      </c>
      <c r="K1496" t="s">
        <v>8</v>
      </c>
      <c r="L1496" t="s">
        <v>67</v>
      </c>
      <c r="M1496" t="s">
        <v>9</v>
      </c>
      <c r="N1496" t="s">
        <v>14</v>
      </c>
      <c r="O1496" s="2">
        <v>317927.67</v>
      </c>
      <c r="P1496" s="3">
        <v>2232.145</v>
      </c>
      <c r="Q1496" s="1">
        <v>46033</v>
      </c>
      <c r="R1496" s="1">
        <v>45992</v>
      </c>
      <c r="S1496" s="1">
        <v>46022</v>
      </c>
      <c r="V1496" s="8">
        <v>1</v>
      </c>
      <c r="W1496" t="s">
        <v>24</v>
      </c>
      <c r="X1496" t="s">
        <v>261</v>
      </c>
      <c r="Y1496" t="s">
        <v>17</v>
      </c>
      <c r="Z1496" t="s">
        <v>11</v>
      </c>
      <c r="AA1496">
        <v>62371</v>
      </c>
      <c r="AB1496">
        <v>18544699</v>
      </c>
      <c r="AC1496">
        <v>0</v>
      </c>
      <c r="AD1496" s="8"/>
    </row>
    <row r="1497" spans="1:30" x14ac:dyDescent="0.3">
      <c r="A1497" t="s">
        <v>1627</v>
      </c>
      <c r="B1497">
        <v>1417658</v>
      </c>
      <c r="D1497" t="s">
        <v>7</v>
      </c>
      <c r="E1497">
        <v>946600</v>
      </c>
      <c r="F1497">
        <v>9015884123</v>
      </c>
      <c r="G1497">
        <v>435</v>
      </c>
      <c r="H1497" t="s">
        <v>1591</v>
      </c>
      <c r="I1497">
        <v>0</v>
      </c>
      <c r="J1497" t="s">
        <v>1592</v>
      </c>
      <c r="K1497" t="s">
        <v>8</v>
      </c>
      <c r="L1497" t="s">
        <v>19</v>
      </c>
      <c r="M1497" t="s">
        <v>9</v>
      </c>
      <c r="N1497" t="s">
        <v>14</v>
      </c>
      <c r="O1497" s="2">
        <v>7163.49</v>
      </c>
      <c r="P1497" s="3">
        <v>36.253999999999998</v>
      </c>
      <c r="Q1497" s="1">
        <v>46033</v>
      </c>
      <c r="R1497" s="1">
        <v>45992</v>
      </c>
      <c r="S1497" s="1">
        <v>46022</v>
      </c>
      <c r="V1497" s="8">
        <v>1</v>
      </c>
      <c r="W1497" t="s">
        <v>24</v>
      </c>
      <c r="X1497" t="s">
        <v>1593</v>
      </c>
      <c r="Y1497" t="s">
        <v>17</v>
      </c>
      <c r="Z1497" t="s">
        <v>11</v>
      </c>
      <c r="AA1497">
        <v>62371</v>
      </c>
      <c r="AB1497">
        <v>19615410</v>
      </c>
      <c r="AC1497">
        <v>0</v>
      </c>
      <c r="AD1497" s="8"/>
    </row>
    <row r="1498" spans="1:30" x14ac:dyDescent="0.3">
      <c r="A1498" t="s">
        <v>1627</v>
      </c>
      <c r="B1498">
        <v>1428478</v>
      </c>
      <c r="D1498" t="s">
        <v>7</v>
      </c>
      <c r="E1498">
        <v>946781</v>
      </c>
      <c r="F1498">
        <v>9015884123</v>
      </c>
      <c r="G1498">
        <v>495</v>
      </c>
      <c r="H1498" t="s">
        <v>1533</v>
      </c>
      <c r="I1498">
        <v>0</v>
      </c>
      <c r="J1498" t="s">
        <v>1534</v>
      </c>
      <c r="K1498" t="s">
        <v>8</v>
      </c>
      <c r="L1498" t="s">
        <v>18</v>
      </c>
      <c r="M1498" t="s">
        <v>9</v>
      </c>
      <c r="N1498" t="s">
        <v>14</v>
      </c>
      <c r="O1498" s="2">
        <v>-4.1900000000000004</v>
      </c>
      <c r="P1498" s="3">
        <v>0</v>
      </c>
      <c r="Q1498" s="1">
        <v>46033</v>
      </c>
      <c r="R1498" s="1">
        <v>45992</v>
      </c>
      <c r="S1498" s="1">
        <v>46022</v>
      </c>
      <c r="V1498" s="8">
        <v>1</v>
      </c>
      <c r="W1498" t="s">
        <v>24</v>
      </c>
      <c r="X1498" t="s">
        <v>1535</v>
      </c>
      <c r="Y1498" t="s">
        <v>17</v>
      </c>
      <c r="Z1498" t="s">
        <v>11</v>
      </c>
      <c r="AA1498">
        <v>62371</v>
      </c>
      <c r="AB1498">
        <v>18330078</v>
      </c>
      <c r="AC1498">
        <v>1</v>
      </c>
      <c r="AD1498" s="8"/>
    </row>
    <row r="1499" spans="1:30" x14ac:dyDescent="0.3">
      <c r="A1499" t="s">
        <v>1627</v>
      </c>
      <c r="B1499">
        <v>1420087</v>
      </c>
      <c r="D1499" t="s">
        <v>7</v>
      </c>
      <c r="E1499">
        <v>946677</v>
      </c>
      <c r="F1499">
        <v>9015884123</v>
      </c>
      <c r="G1499">
        <v>461</v>
      </c>
      <c r="H1499" t="s">
        <v>290</v>
      </c>
      <c r="I1499">
        <v>0</v>
      </c>
      <c r="J1499" t="s">
        <v>291</v>
      </c>
      <c r="K1499" t="s">
        <v>8</v>
      </c>
      <c r="L1499" t="s">
        <v>18</v>
      </c>
      <c r="M1499" t="s">
        <v>9</v>
      </c>
      <c r="N1499" t="s">
        <v>14</v>
      </c>
      <c r="O1499" s="2">
        <v>-0.95</v>
      </c>
      <c r="P1499" s="3">
        <v>0</v>
      </c>
      <c r="Q1499" s="1">
        <v>46033</v>
      </c>
      <c r="R1499" s="1">
        <v>45992</v>
      </c>
      <c r="S1499" s="1">
        <v>46022</v>
      </c>
      <c r="V1499" s="8">
        <v>1</v>
      </c>
      <c r="W1499" t="s">
        <v>24</v>
      </c>
      <c r="X1499" t="s">
        <v>292</v>
      </c>
      <c r="Y1499" t="s">
        <v>289</v>
      </c>
      <c r="Z1499" t="s">
        <v>11</v>
      </c>
      <c r="AA1499">
        <v>62371</v>
      </c>
      <c r="AB1499">
        <v>18195166</v>
      </c>
      <c r="AC1499">
        <v>0</v>
      </c>
      <c r="AD1499" s="8"/>
    </row>
    <row r="1500" spans="1:30" x14ac:dyDescent="0.3">
      <c r="A1500" t="s">
        <v>1627</v>
      </c>
      <c r="B1500">
        <v>1363527</v>
      </c>
      <c r="D1500" t="s">
        <v>7</v>
      </c>
      <c r="E1500">
        <v>945914</v>
      </c>
      <c r="F1500">
        <v>9015884123</v>
      </c>
      <c r="G1500">
        <v>165</v>
      </c>
      <c r="H1500" t="s">
        <v>294</v>
      </c>
      <c r="I1500">
        <v>0</v>
      </c>
      <c r="J1500" t="s">
        <v>295</v>
      </c>
      <c r="K1500" t="s">
        <v>8</v>
      </c>
      <c r="L1500" t="s">
        <v>15</v>
      </c>
      <c r="M1500" t="s">
        <v>9</v>
      </c>
      <c r="N1500" t="s">
        <v>14</v>
      </c>
      <c r="O1500" s="2">
        <v>0</v>
      </c>
      <c r="P1500" s="3">
        <v>4026.9769999999999</v>
      </c>
      <c r="Q1500" s="1">
        <v>46033</v>
      </c>
      <c r="R1500" s="1">
        <v>45992</v>
      </c>
      <c r="S1500" s="1">
        <v>46022</v>
      </c>
      <c r="V1500" s="8">
        <v>1</v>
      </c>
      <c r="W1500" t="s">
        <v>24</v>
      </c>
      <c r="X1500" t="s">
        <v>296</v>
      </c>
      <c r="Y1500" t="s">
        <v>10</v>
      </c>
      <c r="Z1500" t="s">
        <v>11</v>
      </c>
      <c r="AA1500">
        <v>62371</v>
      </c>
      <c r="AB1500">
        <v>17523451</v>
      </c>
      <c r="AC1500">
        <v>0</v>
      </c>
      <c r="AD1500" s="8"/>
    </row>
    <row r="1501" spans="1:30" x14ac:dyDescent="0.3">
      <c r="A1501" t="s">
        <v>1627</v>
      </c>
      <c r="B1501">
        <v>1363529</v>
      </c>
      <c r="D1501" t="s">
        <v>7</v>
      </c>
      <c r="E1501">
        <v>945916</v>
      </c>
      <c r="F1501">
        <v>9015884123</v>
      </c>
      <c r="G1501">
        <v>167</v>
      </c>
      <c r="H1501" t="s">
        <v>297</v>
      </c>
      <c r="I1501">
        <v>0</v>
      </c>
      <c r="J1501" t="s">
        <v>298</v>
      </c>
      <c r="K1501" t="s">
        <v>8</v>
      </c>
      <c r="L1501" t="s">
        <v>19</v>
      </c>
      <c r="M1501" t="s">
        <v>9</v>
      </c>
      <c r="N1501" t="s">
        <v>14</v>
      </c>
      <c r="O1501" s="2">
        <v>794.52</v>
      </c>
      <c r="P1501" s="3">
        <v>4.0209999999999999</v>
      </c>
      <c r="Q1501" s="1">
        <v>46033</v>
      </c>
      <c r="R1501" s="1">
        <v>45992</v>
      </c>
      <c r="S1501" s="1">
        <v>46022</v>
      </c>
      <c r="V1501" s="8">
        <v>1</v>
      </c>
      <c r="W1501" t="s">
        <v>24</v>
      </c>
      <c r="X1501" t="s">
        <v>299</v>
      </c>
      <c r="Y1501" t="s">
        <v>10</v>
      </c>
      <c r="Z1501" t="s">
        <v>11</v>
      </c>
      <c r="AA1501">
        <v>62371</v>
      </c>
      <c r="AB1501">
        <v>18644325</v>
      </c>
      <c r="AC1501">
        <v>0</v>
      </c>
      <c r="AD1501" s="8"/>
    </row>
    <row r="1502" spans="1:30" x14ac:dyDescent="0.3">
      <c r="A1502" t="s">
        <v>1627</v>
      </c>
      <c r="B1502">
        <v>1363531</v>
      </c>
      <c r="D1502" t="s">
        <v>7</v>
      </c>
      <c r="E1502">
        <v>945918</v>
      </c>
      <c r="F1502">
        <v>9015884123</v>
      </c>
      <c r="G1502">
        <v>169</v>
      </c>
      <c r="H1502" t="s">
        <v>1597</v>
      </c>
      <c r="I1502">
        <v>0</v>
      </c>
      <c r="J1502" t="s">
        <v>1598</v>
      </c>
      <c r="K1502" t="s">
        <v>8</v>
      </c>
      <c r="L1502" t="s">
        <v>15</v>
      </c>
      <c r="M1502" t="s">
        <v>9</v>
      </c>
      <c r="N1502" t="s">
        <v>14</v>
      </c>
      <c r="O1502" s="2">
        <v>0</v>
      </c>
      <c r="P1502" s="3">
        <v>18948.999</v>
      </c>
      <c r="Q1502" s="1">
        <v>46033</v>
      </c>
      <c r="R1502" s="1">
        <v>45992</v>
      </c>
      <c r="S1502" s="1">
        <v>46022</v>
      </c>
      <c r="V1502" s="8">
        <v>1</v>
      </c>
      <c r="W1502" t="s">
        <v>24</v>
      </c>
      <c r="X1502" t="s">
        <v>1599</v>
      </c>
      <c r="Y1502" t="s">
        <v>10</v>
      </c>
      <c r="Z1502" t="s">
        <v>11</v>
      </c>
      <c r="AA1502">
        <v>62371</v>
      </c>
      <c r="AB1502">
        <v>17053454</v>
      </c>
      <c r="AC1502">
        <v>0</v>
      </c>
      <c r="AD1502" s="8"/>
    </row>
    <row r="1503" spans="1:30" x14ac:dyDescent="0.3">
      <c r="A1503" t="s">
        <v>1627</v>
      </c>
      <c r="B1503">
        <v>1363536</v>
      </c>
      <c r="D1503" t="s">
        <v>7</v>
      </c>
      <c r="E1503">
        <v>945920</v>
      </c>
      <c r="F1503">
        <v>9015884123</v>
      </c>
      <c r="G1503">
        <v>171</v>
      </c>
      <c r="H1503" t="s">
        <v>1600</v>
      </c>
      <c r="I1503">
        <v>0</v>
      </c>
      <c r="J1503" t="s">
        <v>1601</v>
      </c>
      <c r="K1503" t="s">
        <v>8</v>
      </c>
      <c r="L1503" t="s">
        <v>67</v>
      </c>
      <c r="M1503" t="s">
        <v>9</v>
      </c>
      <c r="N1503" t="s">
        <v>14</v>
      </c>
      <c r="O1503" s="2">
        <v>444426.27</v>
      </c>
      <c r="P1503" s="3">
        <v>4115.22</v>
      </c>
      <c r="Q1503" s="1">
        <v>46033</v>
      </c>
      <c r="R1503" s="1">
        <v>45992</v>
      </c>
      <c r="S1503" s="1">
        <v>46022</v>
      </c>
      <c r="V1503" s="8">
        <v>1</v>
      </c>
      <c r="W1503" t="s">
        <v>24</v>
      </c>
      <c r="X1503" t="s">
        <v>1602</v>
      </c>
      <c r="Y1503" t="s">
        <v>10</v>
      </c>
      <c r="Z1503" t="s">
        <v>11</v>
      </c>
      <c r="AA1503">
        <v>62371</v>
      </c>
      <c r="AB1503">
        <v>18160219</v>
      </c>
      <c r="AC1503">
        <v>1</v>
      </c>
      <c r="AD1503" s="8"/>
    </row>
    <row r="1504" spans="1:30" x14ac:dyDescent="0.3">
      <c r="A1504" t="s">
        <v>1627</v>
      </c>
      <c r="B1504">
        <v>1363545</v>
      </c>
      <c r="D1504" t="s">
        <v>7</v>
      </c>
      <c r="E1504">
        <v>945923</v>
      </c>
      <c r="F1504">
        <v>9015884123</v>
      </c>
      <c r="G1504">
        <v>174</v>
      </c>
      <c r="H1504" t="s">
        <v>1412</v>
      </c>
      <c r="I1504">
        <v>0</v>
      </c>
      <c r="J1504" t="s">
        <v>1413</v>
      </c>
      <c r="K1504" t="s">
        <v>8</v>
      </c>
      <c r="L1504" t="s">
        <v>15</v>
      </c>
      <c r="M1504" t="s">
        <v>9</v>
      </c>
      <c r="N1504" t="s">
        <v>14</v>
      </c>
      <c r="O1504" s="2">
        <v>0</v>
      </c>
      <c r="P1504" s="3">
        <v>5446.6610000000001</v>
      </c>
      <c r="Q1504" s="1">
        <v>46033</v>
      </c>
      <c r="R1504" s="1">
        <v>45992</v>
      </c>
      <c r="S1504" s="1">
        <v>46022</v>
      </c>
      <c r="V1504" s="8">
        <v>1</v>
      </c>
      <c r="W1504" t="s">
        <v>24</v>
      </c>
      <c r="X1504" t="s">
        <v>1414</v>
      </c>
      <c r="Y1504" t="s">
        <v>10</v>
      </c>
      <c r="Z1504" t="s">
        <v>11</v>
      </c>
      <c r="AA1504">
        <v>62371</v>
      </c>
      <c r="AB1504">
        <v>19619315</v>
      </c>
      <c r="AC1504">
        <v>0</v>
      </c>
      <c r="AD1504" s="8"/>
    </row>
    <row r="1505" spans="1:30" x14ac:dyDescent="0.3">
      <c r="A1505" t="s">
        <v>1627</v>
      </c>
      <c r="B1505">
        <v>1363557</v>
      </c>
      <c r="D1505" t="s">
        <v>7</v>
      </c>
      <c r="E1505">
        <v>945926</v>
      </c>
      <c r="F1505">
        <v>9015884123</v>
      </c>
      <c r="G1505">
        <v>177</v>
      </c>
      <c r="H1505" t="s">
        <v>845</v>
      </c>
      <c r="I1505">
        <v>0</v>
      </c>
      <c r="J1505" t="s">
        <v>846</v>
      </c>
      <c r="K1505" t="s">
        <v>8</v>
      </c>
      <c r="L1505" t="s">
        <v>19</v>
      </c>
      <c r="M1505" t="s">
        <v>9</v>
      </c>
      <c r="N1505" t="s">
        <v>14</v>
      </c>
      <c r="O1505" s="2">
        <v>82</v>
      </c>
      <c r="P1505" s="3">
        <v>0.41499999999999998</v>
      </c>
      <c r="Q1505" s="1">
        <v>46033</v>
      </c>
      <c r="R1505" s="1">
        <v>45992</v>
      </c>
      <c r="S1505" s="1">
        <v>46022</v>
      </c>
      <c r="V1505" s="8">
        <v>1</v>
      </c>
      <c r="W1505" t="s">
        <v>24</v>
      </c>
      <c r="X1505" t="s">
        <v>847</v>
      </c>
      <c r="Y1505" t="s">
        <v>10</v>
      </c>
      <c r="Z1505" t="s">
        <v>11</v>
      </c>
      <c r="AA1505">
        <v>62371</v>
      </c>
      <c r="AB1505">
        <v>17682333</v>
      </c>
      <c r="AC1505">
        <v>0</v>
      </c>
      <c r="AD1505" s="8"/>
    </row>
    <row r="1506" spans="1:30" x14ac:dyDescent="0.3">
      <c r="A1506" t="s">
        <v>1627</v>
      </c>
      <c r="B1506">
        <v>1415120</v>
      </c>
      <c r="D1506" t="s">
        <v>7</v>
      </c>
      <c r="E1506">
        <v>946499</v>
      </c>
      <c r="F1506">
        <v>9015884123</v>
      </c>
      <c r="G1506">
        <v>404</v>
      </c>
      <c r="H1506" t="s">
        <v>311</v>
      </c>
      <c r="I1506">
        <v>0</v>
      </c>
      <c r="J1506" t="s">
        <v>312</v>
      </c>
      <c r="K1506" t="s">
        <v>8</v>
      </c>
      <c r="L1506" t="s">
        <v>67</v>
      </c>
      <c r="M1506" t="s">
        <v>9</v>
      </c>
      <c r="N1506" t="s">
        <v>14</v>
      </c>
      <c r="O1506" s="2">
        <v>386771.06</v>
      </c>
      <c r="P1506" s="3">
        <v>2715.489</v>
      </c>
      <c r="Q1506" s="1">
        <v>46033</v>
      </c>
      <c r="R1506" s="1">
        <v>45992</v>
      </c>
      <c r="S1506" s="1">
        <v>46022</v>
      </c>
      <c r="V1506" s="8">
        <v>1</v>
      </c>
      <c r="W1506" t="s">
        <v>24</v>
      </c>
      <c r="X1506" t="s">
        <v>313</v>
      </c>
      <c r="Y1506" t="s">
        <v>39</v>
      </c>
      <c r="Z1506" t="s">
        <v>11</v>
      </c>
      <c r="AA1506">
        <v>62371</v>
      </c>
      <c r="AB1506">
        <v>17910517</v>
      </c>
      <c r="AC1506">
        <v>0</v>
      </c>
      <c r="AD1506" s="8"/>
    </row>
    <row r="1507" spans="1:30" x14ac:dyDescent="0.3">
      <c r="A1507" t="s">
        <v>1627</v>
      </c>
      <c r="B1507">
        <v>1364738</v>
      </c>
      <c r="D1507" t="s">
        <v>7</v>
      </c>
      <c r="E1507">
        <v>945930</v>
      </c>
      <c r="F1507">
        <v>9015884123</v>
      </c>
      <c r="G1507">
        <v>181</v>
      </c>
      <c r="H1507" t="s">
        <v>1545</v>
      </c>
      <c r="I1507">
        <v>0</v>
      </c>
      <c r="J1507" t="s">
        <v>1546</v>
      </c>
      <c r="K1507" t="s">
        <v>8</v>
      </c>
      <c r="L1507" t="s">
        <v>19</v>
      </c>
      <c r="M1507" t="s">
        <v>9</v>
      </c>
      <c r="N1507" t="s">
        <v>14</v>
      </c>
      <c r="O1507" s="2">
        <v>193076.38</v>
      </c>
      <c r="P1507" s="3">
        <v>977.14800000000002</v>
      </c>
      <c r="Q1507" s="1">
        <v>46033</v>
      </c>
      <c r="R1507" s="1">
        <v>45992</v>
      </c>
      <c r="S1507" s="1">
        <v>46022</v>
      </c>
      <c r="V1507" s="8">
        <v>1</v>
      </c>
      <c r="W1507" t="s">
        <v>24</v>
      </c>
      <c r="X1507" t="s">
        <v>1547</v>
      </c>
      <c r="Y1507" t="s">
        <v>10</v>
      </c>
      <c r="Z1507" t="s">
        <v>11</v>
      </c>
      <c r="AA1507">
        <v>62371</v>
      </c>
      <c r="AB1507">
        <v>19385333</v>
      </c>
      <c r="AC1507">
        <v>0</v>
      </c>
      <c r="AD1507" s="8"/>
    </row>
    <row r="1508" spans="1:30" x14ac:dyDescent="0.3">
      <c r="A1508" t="s">
        <v>1627</v>
      </c>
      <c r="B1508">
        <v>1376596</v>
      </c>
      <c r="D1508" t="s">
        <v>7</v>
      </c>
      <c r="E1508">
        <v>945941</v>
      </c>
      <c r="F1508">
        <v>9015884123</v>
      </c>
      <c r="G1508">
        <v>188</v>
      </c>
      <c r="H1508" t="s">
        <v>1548</v>
      </c>
      <c r="I1508">
        <v>0</v>
      </c>
      <c r="J1508" t="s">
        <v>1549</v>
      </c>
      <c r="K1508" t="s">
        <v>8</v>
      </c>
      <c r="L1508" t="s">
        <v>67</v>
      </c>
      <c r="M1508" t="s">
        <v>9</v>
      </c>
      <c r="N1508" t="s">
        <v>14</v>
      </c>
      <c r="O1508" s="2">
        <v>1014039.64</v>
      </c>
      <c r="P1508" s="3">
        <v>7119.4920000000002</v>
      </c>
      <c r="Q1508" s="1">
        <v>46033</v>
      </c>
      <c r="R1508" s="1">
        <v>45992</v>
      </c>
      <c r="S1508" s="1">
        <v>46022</v>
      </c>
      <c r="V1508" s="8">
        <v>1</v>
      </c>
      <c r="W1508" t="s">
        <v>24</v>
      </c>
      <c r="X1508" t="s">
        <v>1550</v>
      </c>
      <c r="Y1508" t="s">
        <v>10</v>
      </c>
      <c r="Z1508" t="s">
        <v>11</v>
      </c>
      <c r="AA1508">
        <v>62371</v>
      </c>
      <c r="AB1508">
        <v>17030471</v>
      </c>
      <c r="AC1508">
        <v>0</v>
      </c>
      <c r="AD1508" s="8"/>
    </row>
    <row r="1509" spans="1:30" x14ac:dyDescent="0.3">
      <c r="A1509" t="s">
        <v>1627</v>
      </c>
      <c r="B1509">
        <v>1356168</v>
      </c>
      <c r="D1509" t="s">
        <v>7</v>
      </c>
      <c r="E1509">
        <v>945398</v>
      </c>
      <c r="F1509">
        <v>9015884123</v>
      </c>
      <c r="G1509">
        <v>111</v>
      </c>
      <c r="H1509" t="s">
        <v>214</v>
      </c>
      <c r="I1509">
        <v>0</v>
      </c>
      <c r="J1509" t="s">
        <v>215</v>
      </c>
      <c r="K1509" t="s">
        <v>8</v>
      </c>
      <c r="L1509" t="s">
        <v>15</v>
      </c>
      <c r="M1509" t="s">
        <v>9</v>
      </c>
      <c r="N1509" t="s">
        <v>14</v>
      </c>
      <c r="O1509" s="2">
        <v>0</v>
      </c>
      <c r="P1509" s="3">
        <v>3656.6849999999999</v>
      </c>
      <c r="Q1509" s="1">
        <v>46033</v>
      </c>
      <c r="R1509" s="1">
        <v>45992</v>
      </c>
      <c r="S1509" s="1">
        <v>46022</v>
      </c>
      <c r="V1509" s="8">
        <v>1</v>
      </c>
      <c r="W1509" t="s">
        <v>24</v>
      </c>
      <c r="X1509" t="s">
        <v>216</v>
      </c>
      <c r="Y1509" t="s">
        <v>10</v>
      </c>
      <c r="Z1509" t="s">
        <v>11</v>
      </c>
      <c r="AA1509">
        <v>62371</v>
      </c>
      <c r="AB1509">
        <v>21107577</v>
      </c>
      <c r="AC1509">
        <v>1</v>
      </c>
      <c r="AD1509" s="8"/>
    </row>
    <row r="1510" spans="1:30" x14ac:dyDescent="0.3">
      <c r="A1510" t="s">
        <v>1627</v>
      </c>
      <c r="B1510">
        <v>1377790</v>
      </c>
      <c r="D1510" t="s">
        <v>7</v>
      </c>
      <c r="E1510">
        <v>945957</v>
      </c>
      <c r="F1510">
        <v>9015884123</v>
      </c>
      <c r="G1510">
        <v>196</v>
      </c>
      <c r="H1510" t="s">
        <v>1202</v>
      </c>
      <c r="I1510">
        <v>0</v>
      </c>
      <c r="J1510" t="s">
        <v>1203</v>
      </c>
      <c r="K1510" t="s">
        <v>8</v>
      </c>
      <c r="L1510" t="s">
        <v>67</v>
      </c>
      <c r="M1510" t="s">
        <v>9</v>
      </c>
      <c r="N1510" t="s">
        <v>14</v>
      </c>
      <c r="O1510" s="2">
        <v>444616.18</v>
      </c>
      <c r="P1510" s="3">
        <v>3121.6149999999998</v>
      </c>
      <c r="Q1510" s="1">
        <v>46033</v>
      </c>
      <c r="R1510" s="1">
        <v>45992</v>
      </c>
      <c r="S1510" s="1">
        <v>46022</v>
      </c>
      <c r="V1510" s="8">
        <v>1</v>
      </c>
      <c r="W1510" t="s">
        <v>24</v>
      </c>
      <c r="X1510" t="s">
        <v>1204</v>
      </c>
      <c r="Y1510" t="s">
        <v>10</v>
      </c>
      <c r="Z1510" t="s">
        <v>11</v>
      </c>
      <c r="AA1510">
        <v>62371</v>
      </c>
      <c r="AB1510">
        <v>17161448</v>
      </c>
      <c r="AC1510">
        <v>0</v>
      </c>
      <c r="AD1510" s="8"/>
    </row>
    <row r="1511" spans="1:30" x14ac:dyDescent="0.3">
      <c r="A1511" t="s">
        <v>1627</v>
      </c>
      <c r="B1511">
        <v>1377793</v>
      </c>
      <c r="D1511" t="s">
        <v>7</v>
      </c>
      <c r="E1511">
        <v>945963</v>
      </c>
      <c r="F1511">
        <v>9015884123</v>
      </c>
      <c r="G1511">
        <v>199</v>
      </c>
      <c r="H1511" t="s">
        <v>323</v>
      </c>
      <c r="I1511">
        <v>0</v>
      </c>
      <c r="J1511" t="s">
        <v>324</v>
      </c>
      <c r="K1511" t="s">
        <v>8</v>
      </c>
      <c r="L1511" t="s">
        <v>67</v>
      </c>
      <c r="M1511" t="s">
        <v>9</v>
      </c>
      <c r="N1511" t="s">
        <v>14</v>
      </c>
      <c r="O1511" s="2">
        <v>2689334.19</v>
      </c>
      <c r="P1511" s="3">
        <v>32731.256000000001</v>
      </c>
      <c r="Q1511" s="1">
        <v>46033</v>
      </c>
      <c r="R1511" s="1">
        <v>45992</v>
      </c>
      <c r="S1511" s="1">
        <v>46022</v>
      </c>
      <c r="V1511" s="8">
        <v>2</v>
      </c>
      <c r="W1511" t="s">
        <v>24</v>
      </c>
      <c r="X1511" t="s">
        <v>325</v>
      </c>
      <c r="Y1511" t="s">
        <v>10</v>
      </c>
      <c r="Z1511" t="s">
        <v>11</v>
      </c>
      <c r="AA1511">
        <v>62371</v>
      </c>
      <c r="AB1511">
        <v>19373024</v>
      </c>
      <c r="AC1511">
        <v>1</v>
      </c>
      <c r="AD1511" s="8"/>
    </row>
    <row r="1512" spans="1:30" x14ac:dyDescent="0.3">
      <c r="A1512" t="s">
        <v>1627</v>
      </c>
      <c r="B1512">
        <v>1377793</v>
      </c>
      <c r="D1512" t="s">
        <v>7</v>
      </c>
      <c r="E1512">
        <v>945963</v>
      </c>
      <c r="F1512">
        <v>9015884123</v>
      </c>
      <c r="G1512">
        <v>199</v>
      </c>
      <c r="H1512" t="s">
        <v>323</v>
      </c>
      <c r="I1512">
        <v>0</v>
      </c>
      <c r="J1512" t="s">
        <v>324</v>
      </c>
      <c r="K1512" t="s">
        <v>8</v>
      </c>
      <c r="L1512" t="s">
        <v>18</v>
      </c>
      <c r="M1512" t="s">
        <v>9</v>
      </c>
      <c r="N1512" t="s">
        <v>14</v>
      </c>
      <c r="O1512" s="2">
        <v>-2.34</v>
      </c>
      <c r="P1512" s="3">
        <v>0</v>
      </c>
      <c r="Q1512" s="1">
        <v>46033</v>
      </c>
      <c r="R1512" s="1">
        <v>45992</v>
      </c>
      <c r="S1512" s="1">
        <v>46022</v>
      </c>
      <c r="V1512" s="8">
        <v>2</v>
      </c>
      <c r="W1512" t="s">
        <v>24</v>
      </c>
      <c r="X1512" t="s">
        <v>325</v>
      </c>
      <c r="Y1512" t="s">
        <v>10</v>
      </c>
      <c r="Z1512" t="s">
        <v>11</v>
      </c>
      <c r="AA1512">
        <v>62371</v>
      </c>
      <c r="AB1512">
        <v>19373024</v>
      </c>
      <c r="AC1512">
        <v>1</v>
      </c>
      <c r="AD1512" s="8"/>
    </row>
    <row r="1513" spans="1:30" x14ac:dyDescent="0.3">
      <c r="A1513" t="s">
        <v>1627</v>
      </c>
      <c r="B1513">
        <v>1356212</v>
      </c>
      <c r="D1513" t="s">
        <v>7</v>
      </c>
      <c r="E1513">
        <v>945410</v>
      </c>
      <c r="F1513">
        <v>9015884123</v>
      </c>
      <c r="G1513">
        <v>115</v>
      </c>
      <c r="H1513" t="s">
        <v>1183</v>
      </c>
      <c r="I1513">
        <v>0</v>
      </c>
      <c r="J1513" t="s">
        <v>1184</v>
      </c>
      <c r="K1513" t="s">
        <v>8</v>
      </c>
      <c r="L1513" t="s">
        <v>15</v>
      </c>
      <c r="M1513" t="s">
        <v>9</v>
      </c>
      <c r="N1513" t="s">
        <v>14</v>
      </c>
      <c r="O1513" s="2">
        <v>0</v>
      </c>
      <c r="P1513" s="3">
        <v>3748.116</v>
      </c>
      <c r="Q1513" s="1">
        <v>46033</v>
      </c>
      <c r="R1513" s="1">
        <v>45992</v>
      </c>
      <c r="S1513" s="1">
        <v>46022</v>
      </c>
      <c r="V1513" s="8">
        <v>1</v>
      </c>
      <c r="W1513" t="s">
        <v>24</v>
      </c>
      <c r="X1513" t="s">
        <v>1185</v>
      </c>
      <c r="Y1513" t="s">
        <v>10</v>
      </c>
      <c r="Z1513" t="s">
        <v>11</v>
      </c>
      <c r="AA1513">
        <v>62371</v>
      </c>
      <c r="AB1513">
        <v>17184168</v>
      </c>
      <c r="AC1513">
        <v>0</v>
      </c>
      <c r="AD1513" s="8"/>
    </row>
    <row r="1514" spans="1:30" x14ac:dyDescent="0.3">
      <c r="A1514" t="s">
        <v>1627</v>
      </c>
      <c r="B1514">
        <v>1356233</v>
      </c>
      <c r="D1514" t="s">
        <v>7</v>
      </c>
      <c r="E1514">
        <v>945423</v>
      </c>
      <c r="F1514">
        <v>9015884123</v>
      </c>
      <c r="G1514">
        <v>119</v>
      </c>
      <c r="H1514" t="s">
        <v>1174</v>
      </c>
      <c r="I1514">
        <v>0</v>
      </c>
      <c r="J1514" t="s">
        <v>1175</v>
      </c>
      <c r="K1514" t="s">
        <v>8</v>
      </c>
      <c r="L1514" t="s">
        <v>67</v>
      </c>
      <c r="M1514" t="s">
        <v>9</v>
      </c>
      <c r="N1514" t="s">
        <v>14</v>
      </c>
      <c r="O1514" s="2">
        <v>400159.34</v>
      </c>
      <c r="P1514" s="3">
        <v>2809.4870000000001</v>
      </c>
      <c r="Q1514" s="1">
        <v>46033</v>
      </c>
      <c r="R1514" s="1">
        <v>45992</v>
      </c>
      <c r="S1514" s="1">
        <v>46022</v>
      </c>
      <c r="V1514" s="8">
        <v>1</v>
      </c>
      <c r="W1514" t="s">
        <v>24</v>
      </c>
      <c r="X1514" t="s">
        <v>1176</v>
      </c>
      <c r="Y1514" t="s">
        <v>10</v>
      </c>
      <c r="Z1514" t="s">
        <v>11</v>
      </c>
      <c r="AA1514">
        <v>62371</v>
      </c>
      <c r="AB1514">
        <v>17063770</v>
      </c>
      <c r="AC1514">
        <v>0</v>
      </c>
      <c r="AD1514" s="8"/>
    </row>
    <row r="1515" spans="1:30" x14ac:dyDescent="0.3">
      <c r="A1515" t="s">
        <v>1627</v>
      </c>
      <c r="B1515">
        <v>1408500</v>
      </c>
      <c r="D1515" t="s">
        <v>7</v>
      </c>
      <c r="E1515">
        <v>946332</v>
      </c>
      <c r="F1515">
        <v>9015884123</v>
      </c>
      <c r="G1515">
        <v>339</v>
      </c>
      <c r="H1515" t="s">
        <v>862</v>
      </c>
      <c r="I1515">
        <v>0</v>
      </c>
      <c r="J1515" t="s">
        <v>863</v>
      </c>
      <c r="K1515" t="s">
        <v>8</v>
      </c>
      <c r="L1515" t="s">
        <v>15</v>
      </c>
      <c r="M1515" t="s">
        <v>9</v>
      </c>
      <c r="N1515" t="s">
        <v>14</v>
      </c>
      <c r="O1515" s="2">
        <v>0</v>
      </c>
      <c r="P1515" s="3">
        <v>2947.3359999999998</v>
      </c>
      <c r="Q1515" s="1">
        <v>46033</v>
      </c>
      <c r="R1515" s="1">
        <v>45992</v>
      </c>
      <c r="S1515" s="1">
        <v>46022</v>
      </c>
      <c r="V1515" s="8">
        <v>1</v>
      </c>
      <c r="W1515" t="s">
        <v>24</v>
      </c>
      <c r="X1515" t="s">
        <v>864</v>
      </c>
      <c r="Y1515" t="s">
        <v>41</v>
      </c>
      <c r="Z1515" t="s">
        <v>11</v>
      </c>
      <c r="AA1515">
        <v>62371</v>
      </c>
      <c r="AB1515">
        <v>17708078</v>
      </c>
      <c r="AC1515">
        <v>0</v>
      </c>
      <c r="AD1515" s="8"/>
    </row>
    <row r="1516" spans="1:30" x14ac:dyDescent="0.3">
      <c r="A1516" t="s">
        <v>1627</v>
      </c>
      <c r="B1516">
        <v>1356272</v>
      </c>
      <c r="D1516" t="s">
        <v>7</v>
      </c>
      <c r="E1516">
        <v>945472</v>
      </c>
      <c r="F1516">
        <v>9015884123</v>
      </c>
      <c r="G1516">
        <v>136</v>
      </c>
      <c r="H1516" t="s">
        <v>802</v>
      </c>
      <c r="I1516">
        <v>0</v>
      </c>
      <c r="J1516" t="s">
        <v>803</v>
      </c>
      <c r="K1516" t="s">
        <v>8</v>
      </c>
      <c r="L1516" t="s">
        <v>18</v>
      </c>
      <c r="M1516" t="s">
        <v>9</v>
      </c>
      <c r="N1516" t="s">
        <v>14</v>
      </c>
      <c r="O1516" s="2">
        <v>-2.4700000000000002</v>
      </c>
      <c r="P1516" s="3">
        <v>0</v>
      </c>
      <c r="Q1516" s="1">
        <v>46033</v>
      </c>
      <c r="R1516" s="1">
        <v>45992</v>
      </c>
      <c r="S1516" s="1">
        <v>46022</v>
      </c>
      <c r="V1516" s="8">
        <v>1</v>
      </c>
      <c r="W1516" t="s">
        <v>24</v>
      </c>
      <c r="X1516" t="s">
        <v>804</v>
      </c>
      <c r="Y1516" t="s">
        <v>10</v>
      </c>
      <c r="Z1516" t="s">
        <v>11</v>
      </c>
      <c r="AA1516">
        <v>62371</v>
      </c>
      <c r="AB1516">
        <v>20071780</v>
      </c>
      <c r="AC1516">
        <v>1</v>
      </c>
      <c r="AD1516" s="8"/>
    </row>
    <row r="1517" spans="1:30" x14ac:dyDescent="0.3">
      <c r="A1517" t="s">
        <v>1627</v>
      </c>
      <c r="B1517">
        <v>1403846</v>
      </c>
      <c r="D1517" t="s">
        <v>7</v>
      </c>
      <c r="E1517">
        <v>946130</v>
      </c>
      <c r="F1517">
        <v>9015884123</v>
      </c>
      <c r="G1517">
        <v>263</v>
      </c>
      <c r="H1517" t="s">
        <v>1618</v>
      </c>
      <c r="I1517">
        <v>0</v>
      </c>
      <c r="J1517" t="s">
        <v>1619</v>
      </c>
      <c r="K1517" t="s">
        <v>8</v>
      </c>
      <c r="L1517" t="s">
        <v>18</v>
      </c>
      <c r="M1517" t="s">
        <v>9</v>
      </c>
      <c r="N1517" t="s">
        <v>14</v>
      </c>
      <c r="O1517" s="2">
        <v>3.6</v>
      </c>
      <c r="P1517" s="3">
        <v>0</v>
      </c>
      <c r="Q1517" s="1">
        <v>46033</v>
      </c>
      <c r="R1517" s="1">
        <v>45992</v>
      </c>
      <c r="S1517" s="1">
        <v>46022</v>
      </c>
      <c r="V1517" s="8">
        <v>1</v>
      </c>
      <c r="W1517" t="s">
        <v>24</v>
      </c>
      <c r="X1517" t="s">
        <v>1620</v>
      </c>
      <c r="Y1517" t="s">
        <v>45</v>
      </c>
      <c r="Z1517" t="s">
        <v>11</v>
      </c>
      <c r="AA1517">
        <v>62371</v>
      </c>
      <c r="AB1517">
        <v>17403463</v>
      </c>
      <c r="AC1517">
        <v>0</v>
      </c>
      <c r="AD1517" s="8"/>
    </row>
    <row r="1518" spans="1:30" x14ac:dyDescent="0.3">
      <c r="A1518" t="s">
        <v>1627</v>
      </c>
      <c r="B1518">
        <v>1403981</v>
      </c>
      <c r="D1518" t="s">
        <v>7</v>
      </c>
      <c r="E1518">
        <v>946221</v>
      </c>
      <c r="F1518">
        <v>9015884123</v>
      </c>
      <c r="G1518">
        <v>292</v>
      </c>
      <c r="H1518" t="s">
        <v>811</v>
      </c>
      <c r="I1518">
        <v>0</v>
      </c>
      <c r="J1518" t="s">
        <v>812</v>
      </c>
      <c r="K1518" t="s">
        <v>8</v>
      </c>
      <c r="L1518" t="s">
        <v>67</v>
      </c>
      <c r="M1518" t="s">
        <v>9</v>
      </c>
      <c r="N1518" t="s">
        <v>14</v>
      </c>
      <c r="O1518" s="2">
        <v>0</v>
      </c>
      <c r="P1518" s="3">
        <v>0</v>
      </c>
      <c r="Q1518" s="1">
        <v>46033</v>
      </c>
      <c r="R1518" s="1">
        <v>45992</v>
      </c>
      <c r="S1518" s="1">
        <v>46022</v>
      </c>
      <c r="V1518" s="8">
        <v>1</v>
      </c>
      <c r="W1518" t="s">
        <v>24</v>
      </c>
      <c r="X1518" t="s">
        <v>813</v>
      </c>
      <c r="Y1518" t="s">
        <v>17</v>
      </c>
      <c r="Z1518" t="s">
        <v>11</v>
      </c>
      <c r="AA1518">
        <v>62371</v>
      </c>
      <c r="AB1518">
        <v>19461199</v>
      </c>
      <c r="AC1518">
        <v>0</v>
      </c>
      <c r="AD1518" s="8"/>
    </row>
    <row r="1519" spans="1:30" x14ac:dyDescent="0.3">
      <c r="A1519" t="s">
        <v>1627</v>
      </c>
      <c r="B1519">
        <v>1383084</v>
      </c>
      <c r="D1519" t="s">
        <v>7</v>
      </c>
      <c r="E1519">
        <v>946003</v>
      </c>
      <c r="F1519">
        <v>9015884123</v>
      </c>
      <c r="G1519">
        <v>219</v>
      </c>
      <c r="H1519" t="s">
        <v>877</v>
      </c>
      <c r="I1519">
        <v>0</v>
      </c>
      <c r="J1519" t="s">
        <v>878</v>
      </c>
      <c r="K1519" t="s">
        <v>8</v>
      </c>
      <c r="L1519" t="s">
        <v>15</v>
      </c>
      <c r="M1519" t="s">
        <v>9</v>
      </c>
      <c r="N1519" t="s">
        <v>14</v>
      </c>
      <c r="O1519" s="2">
        <v>0</v>
      </c>
      <c r="P1519" s="3">
        <v>1670.751</v>
      </c>
      <c r="Q1519" s="1">
        <v>46033</v>
      </c>
      <c r="R1519" s="1">
        <v>45992</v>
      </c>
      <c r="S1519" s="1">
        <v>46022</v>
      </c>
      <c r="V1519" s="8">
        <v>1</v>
      </c>
      <c r="W1519" t="s">
        <v>24</v>
      </c>
      <c r="X1519" t="s">
        <v>879</v>
      </c>
      <c r="Y1519" t="s">
        <v>10</v>
      </c>
      <c r="Z1519" t="s">
        <v>11</v>
      </c>
      <c r="AA1519">
        <v>62371</v>
      </c>
      <c r="AB1519">
        <v>19781239</v>
      </c>
      <c r="AC1519">
        <v>1</v>
      </c>
      <c r="AD1519" s="8"/>
    </row>
    <row r="1520" spans="1:30" x14ac:dyDescent="0.3">
      <c r="A1520" t="s">
        <v>1627</v>
      </c>
      <c r="B1520">
        <v>1408946</v>
      </c>
      <c r="D1520" t="s">
        <v>7</v>
      </c>
      <c r="E1520">
        <v>946352</v>
      </c>
      <c r="F1520">
        <v>9015884123</v>
      </c>
      <c r="G1520">
        <v>349</v>
      </c>
      <c r="H1520" t="s">
        <v>235</v>
      </c>
      <c r="I1520">
        <v>0</v>
      </c>
      <c r="J1520" t="s">
        <v>236</v>
      </c>
      <c r="K1520" t="s">
        <v>8</v>
      </c>
      <c r="L1520" t="s">
        <v>19</v>
      </c>
      <c r="M1520" t="s">
        <v>9</v>
      </c>
      <c r="N1520" t="s">
        <v>14</v>
      </c>
      <c r="O1520" s="2">
        <v>13212.54</v>
      </c>
      <c r="P1520" s="3">
        <v>80.980999999999995</v>
      </c>
      <c r="Q1520" s="1">
        <v>46033</v>
      </c>
      <c r="R1520" s="1">
        <v>45992</v>
      </c>
      <c r="S1520" s="1">
        <v>46022</v>
      </c>
      <c r="V1520" s="8">
        <v>1</v>
      </c>
      <c r="W1520" t="s">
        <v>24</v>
      </c>
      <c r="X1520" t="s">
        <v>237</v>
      </c>
      <c r="Y1520" t="s">
        <v>17</v>
      </c>
      <c r="Z1520" t="s">
        <v>11</v>
      </c>
      <c r="AA1520">
        <v>62371</v>
      </c>
      <c r="AB1520">
        <v>19966705</v>
      </c>
      <c r="AC1520">
        <v>1</v>
      </c>
      <c r="AD1520" s="8"/>
    </row>
    <row r="1521" spans="1:30" x14ac:dyDescent="0.3">
      <c r="A1521" t="s">
        <v>1627</v>
      </c>
      <c r="B1521">
        <v>1379385</v>
      </c>
      <c r="D1521" t="s">
        <v>7</v>
      </c>
      <c r="E1521">
        <v>945969</v>
      </c>
      <c r="F1521">
        <v>9015884123</v>
      </c>
      <c r="G1521">
        <v>203</v>
      </c>
      <c r="H1521" t="s">
        <v>1214</v>
      </c>
      <c r="I1521">
        <v>0</v>
      </c>
      <c r="J1521" t="s">
        <v>1215</v>
      </c>
      <c r="K1521" t="s">
        <v>8</v>
      </c>
      <c r="L1521" t="s">
        <v>67</v>
      </c>
      <c r="M1521" t="s">
        <v>9</v>
      </c>
      <c r="N1521" t="s">
        <v>14</v>
      </c>
      <c r="O1521" s="2">
        <v>543455.35</v>
      </c>
      <c r="P1521" s="3">
        <v>5032.192</v>
      </c>
      <c r="Q1521" s="1">
        <v>46033</v>
      </c>
      <c r="R1521" s="1">
        <v>45992</v>
      </c>
      <c r="S1521" s="1">
        <v>46022</v>
      </c>
      <c r="V1521" s="8">
        <v>1</v>
      </c>
      <c r="W1521" t="s">
        <v>24</v>
      </c>
      <c r="X1521" t="s">
        <v>1216</v>
      </c>
      <c r="Y1521" t="s">
        <v>10</v>
      </c>
      <c r="Z1521" t="s">
        <v>11</v>
      </c>
      <c r="AA1521">
        <v>62371</v>
      </c>
      <c r="AB1521">
        <v>19369206</v>
      </c>
      <c r="AC1521">
        <v>1</v>
      </c>
      <c r="AD1521" s="8"/>
    </row>
    <row r="1522" spans="1:30" x14ac:dyDescent="0.3">
      <c r="A1522" t="s">
        <v>1627</v>
      </c>
      <c r="B1522">
        <v>1418374</v>
      </c>
      <c r="D1522" t="s">
        <v>7</v>
      </c>
      <c r="E1522">
        <v>946609</v>
      </c>
      <c r="F1522">
        <v>9015884123</v>
      </c>
      <c r="G1522">
        <v>438</v>
      </c>
      <c r="H1522" t="s">
        <v>1180</v>
      </c>
      <c r="I1522">
        <v>0</v>
      </c>
      <c r="J1522" t="s">
        <v>1181</v>
      </c>
      <c r="K1522" t="s">
        <v>8</v>
      </c>
      <c r="L1522" t="s">
        <v>18</v>
      </c>
      <c r="M1522" t="s">
        <v>9</v>
      </c>
      <c r="N1522" t="s">
        <v>14</v>
      </c>
      <c r="O1522" s="2">
        <v>2.33</v>
      </c>
      <c r="P1522" s="3">
        <v>0</v>
      </c>
      <c r="Q1522" s="1">
        <v>46033</v>
      </c>
      <c r="R1522" s="1">
        <v>45992</v>
      </c>
      <c r="S1522" s="1">
        <v>46022</v>
      </c>
      <c r="V1522" s="8">
        <v>1</v>
      </c>
      <c r="W1522" t="s">
        <v>24</v>
      </c>
      <c r="X1522" t="s">
        <v>1182</v>
      </c>
      <c r="Y1522" t="s">
        <v>17</v>
      </c>
      <c r="Z1522" t="s">
        <v>11</v>
      </c>
      <c r="AA1522">
        <v>62371</v>
      </c>
      <c r="AB1522">
        <v>18948795</v>
      </c>
      <c r="AC1522">
        <v>0</v>
      </c>
      <c r="AD1522" s="8"/>
    </row>
    <row r="1523" spans="1:30" x14ac:dyDescent="0.3">
      <c r="A1523" t="s">
        <v>1627</v>
      </c>
      <c r="B1523">
        <v>1418407</v>
      </c>
      <c r="D1523" t="s">
        <v>7</v>
      </c>
      <c r="E1523">
        <v>946621</v>
      </c>
      <c r="F1523">
        <v>9015884123</v>
      </c>
      <c r="G1523">
        <v>442</v>
      </c>
      <c r="H1523" t="s">
        <v>259</v>
      </c>
      <c r="I1523">
        <v>0</v>
      </c>
      <c r="J1523" t="s">
        <v>260</v>
      </c>
      <c r="K1523" t="s">
        <v>8</v>
      </c>
      <c r="L1523" t="s">
        <v>19</v>
      </c>
      <c r="M1523" t="s">
        <v>9</v>
      </c>
      <c r="N1523" t="s">
        <v>14</v>
      </c>
      <c r="O1523" s="2">
        <v>11888.31</v>
      </c>
      <c r="P1523" s="3">
        <v>60.165999999999997</v>
      </c>
      <c r="Q1523" s="1">
        <v>46033</v>
      </c>
      <c r="R1523" s="1">
        <v>45992</v>
      </c>
      <c r="S1523" s="1">
        <v>46022</v>
      </c>
      <c r="V1523" s="8">
        <v>1</v>
      </c>
      <c r="W1523" t="s">
        <v>24</v>
      </c>
      <c r="X1523" t="s">
        <v>261</v>
      </c>
      <c r="Y1523" t="s">
        <v>17</v>
      </c>
      <c r="Z1523" t="s">
        <v>11</v>
      </c>
      <c r="AA1523">
        <v>62371</v>
      </c>
      <c r="AB1523">
        <v>18544699</v>
      </c>
      <c r="AC1523">
        <v>0</v>
      </c>
      <c r="AD1523" s="8"/>
    </row>
    <row r="1524" spans="1:30" x14ac:dyDescent="0.3">
      <c r="A1524" t="s">
        <v>1627</v>
      </c>
      <c r="B1524">
        <v>1383087</v>
      </c>
      <c r="D1524" t="s">
        <v>7</v>
      </c>
      <c r="E1524">
        <v>946010</v>
      </c>
      <c r="F1524">
        <v>9015884123</v>
      </c>
      <c r="G1524">
        <v>222</v>
      </c>
      <c r="H1524" t="s">
        <v>1555</v>
      </c>
      <c r="I1524">
        <v>0</v>
      </c>
      <c r="J1524" t="s">
        <v>1556</v>
      </c>
      <c r="K1524" t="s">
        <v>8</v>
      </c>
      <c r="L1524" t="s">
        <v>15</v>
      </c>
      <c r="M1524" t="s">
        <v>9</v>
      </c>
      <c r="N1524" t="s">
        <v>14</v>
      </c>
      <c r="O1524" s="2">
        <v>0</v>
      </c>
      <c r="P1524" s="3">
        <v>1590.2170000000001</v>
      </c>
      <c r="Q1524" s="1">
        <v>46033</v>
      </c>
      <c r="R1524" s="1">
        <v>45992</v>
      </c>
      <c r="S1524" s="1">
        <v>46022</v>
      </c>
      <c r="V1524" s="8">
        <v>1</v>
      </c>
      <c r="W1524" t="s">
        <v>24</v>
      </c>
      <c r="X1524" t="s">
        <v>1557</v>
      </c>
      <c r="Y1524" t="s">
        <v>10</v>
      </c>
      <c r="Z1524" t="s">
        <v>11</v>
      </c>
      <c r="AA1524">
        <v>62371</v>
      </c>
      <c r="AB1524">
        <v>18805630</v>
      </c>
      <c r="AC1524">
        <v>0</v>
      </c>
      <c r="AD1524" s="8"/>
    </row>
    <row r="1525" spans="1:30" x14ac:dyDescent="0.3">
      <c r="A1525" t="s">
        <v>1627</v>
      </c>
      <c r="B1525">
        <v>1417662</v>
      </c>
      <c r="D1525" t="s">
        <v>7</v>
      </c>
      <c r="E1525">
        <v>946597</v>
      </c>
      <c r="F1525">
        <v>9015884123</v>
      </c>
      <c r="G1525">
        <v>434</v>
      </c>
      <c r="H1525" t="s">
        <v>274</v>
      </c>
      <c r="I1525">
        <v>0</v>
      </c>
      <c r="J1525" t="s">
        <v>275</v>
      </c>
      <c r="K1525" t="s">
        <v>8</v>
      </c>
      <c r="L1525" t="s">
        <v>15</v>
      </c>
      <c r="M1525" t="s">
        <v>9</v>
      </c>
      <c r="N1525" t="s">
        <v>14</v>
      </c>
      <c r="O1525" s="2">
        <v>0</v>
      </c>
      <c r="P1525" s="3">
        <v>2153.9899999999998</v>
      </c>
      <c r="Q1525" s="1">
        <v>46033</v>
      </c>
      <c r="R1525" s="1">
        <v>45992</v>
      </c>
      <c r="S1525" s="1">
        <v>46022</v>
      </c>
      <c r="V1525" s="8">
        <v>1</v>
      </c>
      <c r="W1525" t="s">
        <v>24</v>
      </c>
      <c r="X1525" t="s">
        <v>276</v>
      </c>
      <c r="Y1525" t="s">
        <v>17</v>
      </c>
      <c r="Z1525" t="s">
        <v>11</v>
      </c>
      <c r="AA1525">
        <v>62371</v>
      </c>
      <c r="AB1525">
        <v>17751495</v>
      </c>
      <c r="AC1525">
        <v>0</v>
      </c>
      <c r="AD1525" s="8"/>
    </row>
    <row r="1526" spans="1:30" x14ac:dyDescent="0.3">
      <c r="A1526" t="s">
        <v>1627</v>
      </c>
      <c r="B1526">
        <v>1417658</v>
      </c>
      <c r="D1526" t="s">
        <v>7</v>
      </c>
      <c r="E1526">
        <v>946600</v>
      </c>
      <c r="F1526">
        <v>9015884123</v>
      </c>
      <c r="G1526">
        <v>435</v>
      </c>
      <c r="H1526" t="s">
        <v>1591</v>
      </c>
      <c r="I1526">
        <v>0</v>
      </c>
      <c r="J1526" t="s">
        <v>1592</v>
      </c>
      <c r="K1526" t="s">
        <v>8</v>
      </c>
      <c r="L1526" t="s">
        <v>18</v>
      </c>
      <c r="M1526" t="s">
        <v>9</v>
      </c>
      <c r="N1526" t="s">
        <v>14</v>
      </c>
      <c r="O1526" s="2">
        <v>2.23</v>
      </c>
      <c r="P1526" s="3">
        <v>0</v>
      </c>
      <c r="Q1526" s="1">
        <v>46033</v>
      </c>
      <c r="R1526" s="1">
        <v>45992</v>
      </c>
      <c r="S1526" s="1">
        <v>46022</v>
      </c>
      <c r="V1526" s="8">
        <v>1</v>
      </c>
      <c r="W1526" t="s">
        <v>24</v>
      </c>
      <c r="X1526" t="s">
        <v>1593</v>
      </c>
      <c r="Y1526" t="s">
        <v>17</v>
      </c>
      <c r="Z1526" t="s">
        <v>11</v>
      </c>
      <c r="AA1526">
        <v>62371</v>
      </c>
      <c r="AB1526">
        <v>19615410</v>
      </c>
      <c r="AC1526">
        <v>0</v>
      </c>
      <c r="AD1526" s="8"/>
    </row>
    <row r="1527" spans="1:30" x14ac:dyDescent="0.3">
      <c r="A1527" t="s">
        <v>1627</v>
      </c>
      <c r="B1527">
        <v>1384580</v>
      </c>
      <c r="D1527" t="s">
        <v>7</v>
      </c>
      <c r="E1527">
        <v>946041</v>
      </c>
      <c r="F1527">
        <v>9015884123</v>
      </c>
      <c r="G1527">
        <v>234</v>
      </c>
      <c r="H1527" t="s">
        <v>366</v>
      </c>
      <c r="I1527">
        <v>0</v>
      </c>
      <c r="J1527" t="s">
        <v>367</v>
      </c>
      <c r="K1527" t="s">
        <v>8</v>
      </c>
      <c r="L1527" t="s">
        <v>19</v>
      </c>
      <c r="M1527" t="s">
        <v>9</v>
      </c>
      <c r="N1527" t="s">
        <v>14</v>
      </c>
      <c r="O1527" s="2">
        <v>54275.69</v>
      </c>
      <c r="P1527" s="3">
        <v>274.68599999999998</v>
      </c>
      <c r="Q1527" s="1">
        <v>46033</v>
      </c>
      <c r="R1527" s="1">
        <v>45992</v>
      </c>
      <c r="S1527" s="1">
        <v>46022</v>
      </c>
      <c r="V1527" s="8">
        <v>1</v>
      </c>
      <c r="W1527" t="s">
        <v>24</v>
      </c>
      <c r="X1527" t="s">
        <v>368</v>
      </c>
      <c r="Y1527" t="s">
        <v>10</v>
      </c>
      <c r="Z1527" t="s">
        <v>11</v>
      </c>
      <c r="AA1527">
        <v>62371</v>
      </c>
      <c r="AB1527">
        <v>19392123</v>
      </c>
      <c r="AC1527">
        <v>0</v>
      </c>
      <c r="AD1527" s="8"/>
    </row>
    <row r="1528" spans="1:30" x14ac:dyDescent="0.3">
      <c r="A1528" t="s">
        <v>1627</v>
      </c>
      <c r="B1528">
        <v>1384580</v>
      </c>
      <c r="D1528" t="s">
        <v>7</v>
      </c>
      <c r="E1528">
        <v>946041</v>
      </c>
      <c r="F1528">
        <v>9015884123</v>
      </c>
      <c r="G1528">
        <v>234</v>
      </c>
      <c r="H1528" t="s">
        <v>366</v>
      </c>
      <c r="I1528">
        <v>0</v>
      </c>
      <c r="J1528" t="s">
        <v>367</v>
      </c>
      <c r="K1528" t="s">
        <v>8</v>
      </c>
      <c r="L1528" t="s">
        <v>18</v>
      </c>
      <c r="M1528" t="s">
        <v>9</v>
      </c>
      <c r="N1528" t="s">
        <v>14</v>
      </c>
      <c r="O1528" s="2">
        <v>4.99</v>
      </c>
      <c r="P1528" s="3">
        <v>0</v>
      </c>
      <c r="Q1528" s="1">
        <v>46033</v>
      </c>
      <c r="R1528" s="1">
        <v>45992</v>
      </c>
      <c r="S1528" s="1">
        <v>46022</v>
      </c>
      <c r="V1528" s="8">
        <v>1</v>
      </c>
      <c r="W1528" t="s">
        <v>24</v>
      </c>
      <c r="X1528" t="s">
        <v>368</v>
      </c>
      <c r="Y1528" t="s">
        <v>10</v>
      </c>
      <c r="Z1528" t="s">
        <v>11</v>
      </c>
      <c r="AA1528">
        <v>62371</v>
      </c>
      <c r="AB1528">
        <v>19392123</v>
      </c>
      <c r="AC1528">
        <v>0</v>
      </c>
      <c r="AD1528" s="8"/>
    </row>
    <row r="1529" spans="1:30" x14ac:dyDescent="0.3">
      <c r="A1529" t="s">
        <v>1627</v>
      </c>
      <c r="B1529">
        <v>1406119</v>
      </c>
      <c r="D1529" t="s">
        <v>7</v>
      </c>
      <c r="E1529">
        <v>946285</v>
      </c>
      <c r="F1529">
        <v>9015884123</v>
      </c>
      <c r="G1529">
        <v>315</v>
      </c>
      <c r="H1529" t="s">
        <v>848</v>
      </c>
      <c r="I1529">
        <v>0</v>
      </c>
      <c r="J1529" t="s">
        <v>849</v>
      </c>
      <c r="K1529" t="s">
        <v>8</v>
      </c>
      <c r="L1529" t="s">
        <v>67</v>
      </c>
      <c r="M1529" t="s">
        <v>9</v>
      </c>
      <c r="N1529" t="s">
        <v>14</v>
      </c>
      <c r="O1529" s="2">
        <v>318697.19</v>
      </c>
      <c r="P1529" s="3">
        <v>2951.0160000000001</v>
      </c>
      <c r="Q1529" s="1">
        <v>46033</v>
      </c>
      <c r="R1529" s="1">
        <v>45992</v>
      </c>
      <c r="S1529" s="1">
        <v>46022</v>
      </c>
      <c r="V1529" s="8">
        <v>1</v>
      </c>
      <c r="W1529" t="s">
        <v>24</v>
      </c>
      <c r="X1529" t="s">
        <v>850</v>
      </c>
      <c r="Y1529" t="s">
        <v>289</v>
      </c>
      <c r="Z1529" t="s">
        <v>11</v>
      </c>
      <c r="AA1529">
        <v>62371</v>
      </c>
      <c r="AB1529">
        <v>18405658</v>
      </c>
      <c r="AC1529">
        <v>1</v>
      </c>
      <c r="AD1529" s="8"/>
    </row>
    <row r="1530" spans="1:30" x14ac:dyDescent="0.3">
      <c r="A1530" t="s">
        <v>1627</v>
      </c>
      <c r="B1530">
        <v>1398092</v>
      </c>
      <c r="D1530" t="s">
        <v>7</v>
      </c>
      <c r="E1530">
        <v>946071</v>
      </c>
      <c r="F1530">
        <v>9015884123</v>
      </c>
      <c r="G1530">
        <v>244</v>
      </c>
      <c r="H1530" t="s">
        <v>1536</v>
      </c>
      <c r="I1530">
        <v>0</v>
      </c>
      <c r="J1530" t="s">
        <v>1537</v>
      </c>
      <c r="K1530" t="s">
        <v>8</v>
      </c>
      <c r="L1530" t="s">
        <v>67</v>
      </c>
      <c r="M1530" t="s">
        <v>9</v>
      </c>
      <c r="N1530" t="s">
        <v>14</v>
      </c>
      <c r="O1530" s="2">
        <v>1154673.3799999999</v>
      </c>
      <c r="P1530" s="3">
        <v>14053.259</v>
      </c>
      <c r="Q1530" s="1">
        <v>46033</v>
      </c>
      <c r="R1530" s="1">
        <v>45992</v>
      </c>
      <c r="S1530" s="1">
        <v>46022</v>
      </c>
      <c r="V1530" s="8">
        <v>2</v>
      </c>
      <c r="W1530" t="s">
        <v>24</v>
      </c>
      <c r="X1530" t="s">
        <v>1538</v>
      </c>
      <c r="Y1530" t="s">
        <v>37</v>
      </c>
      <c r="Z1530" t="s">
        <v>11</v>
      </c>
      <c r="AA1530">
        <v>62371</v>
      </c>
      <c r="AB1530">
        <v>17921534</v>
      </c>
      <c r="AC1530">
        <v>1</v>
      </c>
      <c r="AD1530" s="8"/>
    </row>
    <row r="1531" spans="1:30" x14ac:dyDescent="0.3">
      <c r="A1531" t="s">
        <v>1627</v>
      </c>
      <c r="B1531">
        <v>1415559</v>
      </c>
      <c r="D1531" t="s">
        <v>7</v>
      </c>
      <c r="E1531">
        <v>946506</v>
      </c>
      <c r="F1531">
        <v>9015884123</v>
      </c>
      <c r="G1531">
        <v>407</v>
      </c>
      <c r="H1531" t="s">
        <v>1415</v>
      </c>
      <c r="I1531">
        <v>0</v>
      </c>
      <c r="J1531" t="s">
        <v>1416</v>
      </c>
      <c r="K1531" t="s">
        <v>8</v>
      </c>
      <c r="L1531" t="s">
        <v>19</v>
      </c>
      <c r="M1531" t="s">
        <v>9</v>
      </c>
      <c r="N1531" t="s">
        <v>14</v>
      </c>
      <c r="O1531" s="2">
        <v>789.77</v>
      </c>
      <c r="P1531" s="3">
        <v>3.9969999999999999</v>
      </c>
      <c r="Q1531" s="1">
        <v>46033</v>
      </c>
      <c r="R1531" s="1">
        <v>45992</v>
      </c>
      <c r="S1531" s="1">
        <v>46022</v>
      </c>
      <c r="V1531" s="8">
        <v>1</v>
      </c>
      <c r="W1531" t="s">
        <v>24</v>
      </c>
      <c r="X1531" t="s">
        <v>1417</v>
      </c>
      <c r="Y1531" t="s">
        <v>1418</v>
      </c>
      <c r="Z1531" t="s">
        <v>11</v>
      </c>
      <c r="AA1531">
        <v>62371</v>
      </c>
      <c r="AB1531">
        <v>17423957</v>
      </c>
      <c r="AC1531">
        <v>0</v>
      </c>
      <c r="AD1531" s="8"/>
    </row>
    <row r="1532" spans="1:30" x14ac:dyDescent="0.3">
      <c r="A1532" t="s">
        <v>1627</v>
      </c>
      <c r="B1532">
        <v>1415559</v>
      </c>
      <c r="D1532" t="s">
        <v>7</v>
      </c>
      <c r="E1532">
        <v>946506</v>
      </c>
      <c r="F1532">
        <v>9015884123</v>
      </c>
      <c r="G1532">
        <v>407</v>
      </c>
      <c r="H1532" t="s">
        <v>1415</v>
      </c>
      <c r="I1532">
        <v>0</v>
      </c>
      <c r="J1532" t="s">
        <v>1416</v>
      </c>
      <c r="K1532" t="s">
        <v>8</v>
      </c>
      <c r="L1532" t="s">
        <v>18</v>
      </c>
      <c r="M1532" t="s">
        <v>9</v>
      </c>
      <c r="N1532" t="s">
        <v>14</v>
      </c>
      <c r="O1532" s="2">
        <v>2.4700000000000002</v>
      </c>
      <c r="P1532" s="3">
        <v>0</v>
      </c>
      <c r="Q1532" s="1">
        <v>46033</v>
      </c>
      <c r="R1532" s="1">
        <v>45992</v>
      </c>
      <c r="S1532" s="1">
        <v>46022</v>
      </c>
      <c r="V1532" s="8">
        <v>1</v>
      </c>
      <c r="W1532" t="s">
        <v>24</v>
      </c>
      <c r="X1532" t="s">
        <v>1417</v>
      </c>
      <c r="Y1532" t="s">
        <v>1418</v>
      </c>
      <c r="Z1532" t="s">
        <v>11</v>
      </c>
      <c r="AA1532">
        <v>62371</v>
      </c>
      <c r="AB1532">
        <v>17423957</v>
      </c>
      <c r="AC1532">
        <v>0</v>
      </c>
      <c r="AD1532" s="8"/>
    </row>
    <row r="1533" spans="1:30" x14ac:dyDescent="0.3">
      <c r="A1533" t="s">
        <v>1627</v>
      </c>
      <c r="B1533">
        <v>1415695</v>
      </c>
      <c r="D1533" t="s">
        <v>7</v>
      </c>
      <c r="E1533">
        <v>946536</v>
      </c>
      <c r="F1533">
        <v>9015884123</v>
      </c>
      <c r="G1533">
        <v>416</v>
      </c>
      <c r="H1533" t="s">
        <v>1198</v>
      </c>
      <c r="I1533">
        <v>0</v>
      </c>
      <c r="J1533" t="s">
        <v>1199</v>
      </c>
      <c r="K1533" t="s">
        <v>8</v>
      </c>
      <c r="L1533" t="s">
        <v>18</v>
      </c>
      <c r="M1533" t="s">
        <v>9</v>
      </c>
      <c r="N1533" t="s">
        <v>14</v>
      </c>
      <c r="O1533" s="2">
        <v>0.62</v>
      </c>
      <c r="P1533" s="3">
        <v>0</v>
      </c>
      <c r="Q1533" s="1">
        <v>46033</v>
      </c>
      <c r="R1533" s="1">
        <v>45992</v>
      </c>
      <c r="S1533" s="1">
        <v>46022</v>
      </c>
      <c r="V1533" s="8">
        <v>1</v>
      </c>
      <c r="W1533" t="s">
        <v>24</v>
      </c>
      <c r="X1533" t="s">
        <v>1200</v>
      </c>
      <c r="Y1533" t="s">
        <v>1201</v>
      </c>
      <c r="Z1533" t="s">
        <v>11</v>
      </c>
      <c r="AA1533">
        <v>62371</v>
      </c>
      <c r="AB1533">
        <v>18508884</v>
      </c>
      <c r="AC1533">
        <v>0</v>
      </c>
      <c r="AD1533" s="8"/>
    </row>
    <row r="1534" spans="1:30" x14ac:dyDescent="0.3">
      <c r="A1534" t="s">
        <v>1627</v>
      </c>
      <c r="B1534">
        <v>1418637</v>
      </c>
      <c r="D1534" t="s">
        <v>7</v>
      </c>
      <c r="E1534">
        <v>946648</v>
      </c>
      <c r="F1534">
        <v>9015884123</v>
      </c>
      <c r="G1534">
        <v>451</v>
      </c>
      <c r="H1534" t="s">
        <v>301</v>
      </c>
      <c r="I1534">
        <v>0</v>
      </c>
      <c r="J1534" t="s">
        <v>302</v>
      </c>
      <c r="K1534" t="s">
        <v>8</v>
      </c>
      <c r="L1534" t="s">
        <v>19</v>
      </c>
      <c r="M1534" t="s">
        <v>9</v>
      </c>
      <c r="N1534" t="s">
        <v>14</v>
      </c>
      <c r="O1534" s="2">
        <v>6200.82</v>
      </c>
      <c r="P1534" s="3">
        <v>31.382000000000001</v>
      </c>
      <c r="Q1534" s="1">
        <v>46033</v>
      </c>
      <c r="R1534" s="1">
        <v>45992</v>
      </c>
      <c r="S1534" s="1">
        <v>46022</v>
      </c>
      <c r="V1534" s="8">
        <v>1</v>
      </c>
      <c r="W1534" t="s">
        <v>24</v>
      </c>
      <c r="X1534" t="s">
        <v>303</v>
      </c>
      <c r="Y1534" t="s">
        <v>300</v>
      </c>
      <c r="Z1534" t="s">
        <v>11</v>
      </c>
      <c r="AA1534">
        <v>62371</v>
      </c>
      <c r="AB1534">
        <v>17955985</v>
      </c>
      <c r="AC1534">
        <v>0</v>
      </c>
      <c r="AD1534" s="8"/>
    </row>
    <row r="1535" spans="1:30" x14ac:dyDescent="0.3">
      <c r="A1535" t="s">
        <v>1627</v>
      </c>
      <c r="B1535">
        <v>1450127</v>
      </c>
      <c r="D1535" t="s">
        <v>7</v>
      </c>
      <c r="E1535">
        <v>949232</v>
      </c>
      <c r="F1535">
        <v>9015884123</v>
      </c>
      <c r="G1535">
        <v>538</v>
      </c>
      <c r="H1535" t="s">
        <v>865</v>
      </c>
      <c r="I1535">
        <v>0</v>
      </c>
      <c r="J1535" t="s">
        <v>866</v>
      </c>
      <c r="K1535" t="s">
        <v>8</v>
      </c>
      <c r="L1535" t="s">
        <v>18</v>
      </c>
      <c r="M1535" t="s">
        <v>9</v>
      </c>
      <c r="N1535" t="s">
        <v>14</v>
      </c>
      <c r="O1535" s="2">
        <v>-3.73</v>
      </c>
      <c r="P1535" s="3">
        <v>0</v>
      </c>
      <c r="Q1535" s="1">
        <v>46035</v>
      </c>
      <c r="R1535" s="1">
        <v>46020</v>
      </c>
      <c r="S1535" s="1">
        <v>46022</v>
      </c>
      <c r="V1535" s="8">
        <v>2</v>
      </c>
      <c r="W1535" t="s">
        <v>24</v>
      </c>
      <c r="X1535" t="s">
        <v>867</v>
      </c>
      <c r="Y1535" t="s">
        <v>37</v>
      </c>
      <c r="Z1535" t="s">
        <v>11</v>
      </c>
      <c r="AA1535">
        <v>62371</v>
      </c>
      <c r="AB1535">
        <v>21142284</v>
      </c>
      <c r="AC1535">
        <v>0</v>
      </c>
      <c r="AD1535" s="8"/>
    </row>
    <row r="1536" spans="1:30" x14ac:dyDescent="0.3">
      <c r="A1536" t="s">
        <v>1627</v>
      </c>
      <c r="B1536">
        <v>1411961</v>
      </c>
      <c r="D1536" t="s">
        <v>7</v>
      </c>
      <c r="E1536">
        <v>946371</v>
      </c>
      <c r="F1536">
        <v>9015884123</v>
      </c>
      <c r="G1536">
        <v>359</v>
      </c>
      <c r="H1536" t="s">
        <v>1551</v>
      </c>
      <c r="I1536">
        <v>0</v>
      </c>
      <c r="J1536" t="s">
        <v>1552</v>
      </c>
      <c r="K1536" t="s">
        <v>8</v>
      </c>
      <c r="L1536" t="s">
        <v>18</v>
      </c>
      <c r="M1536" t="s">
        <v>9</v>
      </c>
      <c r="N1536" t="s">
        <v>14</v>
      </c>
      <c r="O1536" s="2">
        <v>2.4300000000000002</v>
      </c>
      <c r="P1536" s="3">
        <v>0</v>
      </c>
      <c r="Q1536" s="1">
        <v>46033</v>
      </c>
      <c r="R1536" s="1">
        <v>45992</v>
      </c>
      <c r="S1536" s="1">
        <v>46022</v>
      </c>
      <c r="V1536" s="8">
        <v>1</v>
      </c>
      <c r="W1536" t="s">
        <v>24</v>
      </c>
      <c r="X1536" t="s">
        <v>1553</v>
      </c>
      <c r="Y1536" t="s">
        <v>1554</v>
      </c>
      <c r="Z1536" t="s">
        <v>11</v>
      </c>
      <c r="AA1536">
        <v>62371</v>
      </c>
      <c r="AB1536">
        <v>19565052</v>
      </c>
      <c r="AC1536">
        <v>0</v>
      </c>
      <c r="AD1536" s="8"/>
    </row>
    <row r="1537" spans="1:30" x14ac:dyDescent="0.3">
      <c r="A1537" t="s">
        <v>1627</v>
      </c>
      <c r="B1537">
        <v>1377620</v>
      </c>
      <c r="D1537" t="s">
        <v>7</v>
      </c>
      <c r="E1537">
        <v>945948</v>
      </c>
      <c r="F1537">
        <v>9015884123</v>
      </c>
      <c r="G1537">
        <v>192</v>
      </c>
      <c r="H1537" t="s">
        <v>337</v>
      </c>
      <c r="I1537">
        <v>0</v>
      </c>
      <c r="J1537" t="s">
        <v>338</v>
      </c>
      <c r="K1537" t="s">
        <v>8</v>
      </c>
      <c r="L1537" t="s">
        <v>19</v>
      </c>
      <c r="M1537" t="s">
        <v>9</v>
      </c>
      <c r="N1537" t="s">
        <v>14</v>
      </c>
      <c r="O1537" s="2">
        <v>25572.13</v>
      </c>
      <c r="P1537" s="3">
        <v>129.41900000000001</v>
      </c>
      <c r="Q1537" s="1">
        <v>46033</v>
      </c>
      <c r="R1537" s="1">
        <v>45992</v>
      </c>
      <c r="S1537" s="1">
        <v>46022</v>
      </c>
      <c r="V1537" s="8">
        <v>1</v>
      </c>
      <c r="W1537" t="s">
        <v>24</v>
      </c>
      <c r="X1537" t="s">
        <v>339</v>
      </c>
      <c r="Y1537" t="s">
        <v>10</v>
      </c>
      <c r="Z1537" t="s">
        <v>11</v>
      </c>
      <c r="AA1537">
        <v>62371</v>
      </c>
      <c r="AB1537">
        <v>18884431</v>
      </c>
      <c r="AC1537">
        <v>0</v>
      </c>
      <c r="AD1537" s="8"/>
    </row>
    <row r="1538" spans="1:30" x14ac:dyDescent="0.3">
      <c r="A1538" t="s">
        <v>1627</v>
      </c>
      <c r="B1538">
        <v>1395800</v>
      </c>
      <c r="D1538" t="s">
        <v>7</v>
      </c>
      <c r="E1538">
        <v>946082</v>
      </c>
      <c r="F1538">
        <v>9015884123</v>
      </c>
      <c r="G1538">
        <v>247</v>
      </c>
      <c r="H1538" t="s">
        <v>370</v>
      </c>
      <c r="I1538">
        <v>0</v>
      </c>
      <c r="J1538" t="s">
        <v>371</v>
      </c>
      <c r="K1538" t="s">
        <v>8</v>
      </c>
      <c r="L1538" t="s">
        <v>15</v>
      </c>
      <c r="M1538" t="s">
        <v>9</v>
      </c>
      <c r="N1538" t="s">
        <v>14</v>
      </c>
      <c r="O1538" s="2">
        <v>0</v>
      </c>
      <c r="P1538" s="3">
        <v>7327.8310000000001</v>
      </c>
      <c r="Q1538" s="1">
        <v>46033</v>
      </c>
      <c r="R1538" s="1">
        <v>45992</v>
      </c>
      <c r="S1538" s="1">
        <v>46022</v>
      </c>
      <c r="V1538" s="8">
        <v>1</v>
      </c>
      <c r="W1538" t="s">
        <v>24</v>
      </c>
      <c r="X1538" t="s">
        <v>372</v>
      </c>
      <c r="Y1538" t="s">
        <v>10</v>
      </c>
      <c r="Z1538" t="s">
        <v>11</v>
      </c>
      <c r="AA1538">
        <v>62371</v>
      </c>
      <c r="AB1538">
        <v>18807823</v>
      </c>
      <c r="AC1538">
        <v>0</v>
      </c>
      <c r="AD1538" s="8"/>
    </row>
    <row r="1539" spans="1:30" x14ac:dyDescent="0.3">
      <c r="A1539" t="s">
        <v>1627</v>
      </c>
      <c r="B1539">
        <v>1395779</v>
      </c>
      <c r="D1539" t="s">
        <v>7</v>
      </c>
      <c r="E1539">
        <v>946052</v>
      </c>
      <c r="F1539">
        <v>9015884123</v>
      </c>
      <c r="G1539">
        <v>238</v>
      </c>
      <c r="H1539" t="s">
        <v>1220</v>
      </c>
      <c r="I1539">
        <v>0</v>
      </c>
      <c r="J1539" t="s">
        <v>1221</v>
      </c>
      <c r="K1539" t="s">
        <v>8</v>
      </c>
      <c r="L1539" t="s">
        <v>18</v>
      </c>
      <c r="M1539" t="s">
        <v>9</v>
      </c>
      <c r="N1539" t="s">
        <v>14</v>
      </c>
      <c r="O1539" s="2">
        <v>-3.85</v>
      </c>
      <c r="P1539" s="3">
        <v>0</v>
      </c>
      <c r="Q1539" s="1">
        <v>46033</v>
      </c>
      <c r="R1539" s="1">
        <v>45992</v>
      </c>
      <c r="S1539" s="1">
        <v>46022</v>
      </c>
      <c r="V1539" s="8">
        <v>1</v>
      </c>
      <c r="W1539" t="s">
        <v>24</v>
      </c>
      <c r="X1539" t="s">
        <v>1222</v>
      </c>
      <c r="Y1539" t="s">
        <v>10</v>
      </c>
      <c r="Z1539" t="s">
        <v>11</v>
      </c>
      <c r="AA1539">
        <v>62371</v>
      </c>
      <c r="AB1539">
        <v>19392126</v>
      </c>
      <c r="AC1539">
        <v>0</v>
      </c>
      <c r="AD1539" s="8"/>
    </row>
    <row r="1540" spans="1:30" x14ac:dyDescent="0.3">
      <c r="A1540" t="s">
        <v>1627</v>
      </c>
      <c r="B1540">
        <v>1395787</v>
      </c>
      <c r="D1540" t="s">
        <v>7</v>
      </c>
      <c r="E1540">
        <v>946061</v>
      </c>
      <c r="F1540">
        <v>9015884123</v>
      </c>
      <c r="G1540">
        <v>241</v>
      </c>
      <c r="H1540" t="s">
        <v>1564</v>
      </c>
      <c r="I1540">
        <v>0</v>
      </c>
      <c r="J1540" t="s">
        <v>1565</v>
      </c>
      <c r="K1540" t="s">
        <v>8</v>
      </c>
      <c r="L1540" t="s">
        <v>18</v>
      </c>
      <c r="M1540" t="s">
        <v>9</v>
      </c>
      <c r="N1540" t="s">
        <v>14</v>
      </c>
      <c r="O1540" s="2">
        <v>3.02</v>
      </c>
      <c r="P1540" s="3">
        <v>0</v>
      </c>
      <c r="Q1540" s="1">
        <v>46033</v>
      </c>
      <c r="R1540" s="1">
        <v>45992</v>
      </c>
      <c r="S1540" s="1">
        <v>46022</v>
      </c>
      <c r="V1540" s="8">
        <v>1</v>
      </c>
      <c r="W1540" t="s">
        <v>24</v>
      </c>
      <c r="X1540" t="s">
        <v>1566</v>
      </c>
      <c r="Y1540" t="s">
        <v>10</v>
      </c>
      <c r="Z1540" t="s">
        <v>11</v>
      </c>
      <c r="AA1540">
        <v>62371</v>
      </c>
      <c r="AB1540">
        <v>17549054</v>
      </c>
      <c r="AC1540">
        <v>1</v>
      </c>
      <c r="AD1540" s="8"/>
    </row>
    <row r="1541" spans="1:30" x14ac:dyDescent="0.3">
      <c r="A1541" t="s">
        <v>1627</v>
      </c>
      <c r="B1541">
        <v>1395834</v>
      </c>
      <c r="D1541" t="s">
        <v>7</v>
      </c>
      <c r="E1541">
        <v>946089</v>
      </c>
      <c r="F1541">
        <v>9015884123</v>
      </c>
      <c r="G1541">
        <v>249</v>
      </c>
      <c r="H1541" t="s">
        <v>1223</v>
      </c>
      <c r="I1541">
        <v>0</v>
      </c>
      <c r="J1541" t="s">
        <v>1224</v>
      </c>
      <c r="K1541" t="s">
        <v>8</v>
      </c>
      <c r="L1541" t="s">
        <v>18</v>
      </c>
      <c r="M1541" t="s">
        <v>9</v>
      </c>
      <c r="N1541" t="s">
        <v>14</v>
      </c>
      <c r="O1541" s="2">
        <v>-0.86</v>
      </c>
      <c r="P1541" s="3">
        <v>0</v>
      </c>
      <c r="Q1541" s="1">
        <v>46033</v>
      </c>
      <c r="R1541" s="1">
        <v>45992</v>
      </c>
      <c r="S1541" s="1">
        <v>46022</v>
      </c>
      <c r="V1541" s="8">
        <v>1</v>
      </c>
      <c r="W1541" t="s">
        <v>24</v>
      </c>
      <c r="X1541" t="s">
        <v>1225</v>
      </c>
      <c r="Y1541" t="s">
        <v>10</v>
      </c>
      <c r="Z1541" t="s">
        <v>11</v>
      </c>
      <c r="AA1541">
        <v>62371</v>
      </c>
      <c r="AB1541">
        <v>17682335</v>
      </c>
      <c r="AC1541">
        <v>0</v>
      </c>
      <c r="AD1541" s="8"/>
    </row>
    <row r="1542" spans="1:30" x14ac:dyDescent="0.3">
      <c r="A1542" t="s">
        <v>1627</v>
      </c>
      <c r="B1542">
        <v>1403846</v>
      </c>
      <c r="D1542" t="s">
        <v>7</v>
      </c>
      <c r="E1542">
        <v>946130</v>
      </c>
      <c r="F1542">
        <v>9015884123</v>
      </c>
      <c r="G1542">
        <v>263</v>
      </c>
      <c r="H1542" t="s">
        <v>1618</v>
      </c>
      <c r="I1542">
        <v>0</v>
      </c>
      <c r="J1542" t="s">
        <v>1619</v>
      </c>
      <c r="K1542" t="s">
        <v>8</v>
      </c>
      <c r="L1542" t="s">
        <v>15</v>
      </c>
      <c r="M1542" t="s">
        <v>9</v>
      </c>
      <c r="N1542" t="s">
        <v>14</v>
      </c>
      <c r="O1542" s="2">
        <v>0</v>
      </c>
      <c r="P1542" s="3">
        <v>1897.519</v>
      </c>
      <c r="Q1542" s="1">
        <v>46033</v>
      </c>
      <c r="R1542" s="1">
        <v>45992</v>
      </c>
      <c r="S1542" s="1">
        <v>46022</v>
      </c>
      <c r="V1542" s="8">
        <v>1</v>
      </c>
      <c r="W1542" t="s">
        <v>24</v>
      </c>
      <c r="X1542" t="s">
        <v>1620</v>
      </c>
      <c r="Y1542" t="s">
        <v>45</v>
      </c>
      <c r="Z1542" t="s">
        <v>11</v>
      </c>
      <c r="AA1542">
        <v>62371</v>
      </c>
      <c r="AB1542">
        <v>17403463</v>
      </c>
      <c r="AC1542">
        <v>0</v>
      </c>
      <c r="AD1542" s="8"/>
    </row>
    <row r="1543" spans="1:30" x14ac:dyDescent="0.3">
      <c r="A1543" t="s">
        <v>1627</v>
      </c>
      <c r="B1543">
        <v>1413690</v>
      </c>
      <c r="D1543" t="s">
        <v>7</v>
      </c>
      <c r="E1543">
        <v>946432</v>
      </c>
      <c r="F1543">
        <v>9015884123</v>
      </c>
      <c r="G1543">
        <v>384</v>
      </c>
      <c r="H1543" t="s">
        <v>346</v>
      </c>
      <c r="I1543">
        <v>0</v>
      </c>
      <c r="J1543" t="s">
        <v>347</v>
      </c>
      <c r="K1543" t="s">
        <v>8</v>
      </c>
      <c r="L1543" t="s">
        <v>15</v>
      </c>
      <c r="M1543" t="s">
        <v>9</v>
      </c>
      <c r="N1543" t="s">
        <v>14</v>
      </c>
      <c r="O1543" s="2">
        <v>0</v>
      </c>
      <c r="P1543" s="3">
        <v>1222.374</v>
      </c>
      <c r="Q1543" s="1">
        <v>46033</v>
      </c>
      <c r="R1543" s="1">
        <v>45992</v>
      </c>
      <c r="S1543" s="1">
        <v>46022</v>
      </c>
      <c r="V1543" s="8">
        <v>1</v>
      </c>
      <c r="W1543" t="s">
        <v>24</v>
      </c>
      <c r="X1543" t="s">
        <v>348</v>
      </c>
      <c r="Y1543" t="s">
        <v>349</v>
      </c>
      <c r="Z1543" t="s">
        <v>11</v>
      </c>
      <c r="AA1543">
        <v>62371</v>
      </c>
      <c r="AB1543">
        <v>17613052</v>
      </c>
      <c r="AC1543">
        <v>0</v>
      </c>
      <c r="AD1543" s="8"/>
    </row>
    <row r="1544" spans="1:30" x14ac:dyDescent="0.3">
      <c r="A1544" t="s">
        <v>1627</v>
      </c>
      <c r="B1544">
        <v>1403673</v>
      </c>
      <c r="D1544" t="s">
        <v>7</v>
      </c>
      <c r="E1544">
        <v>946179</v>
      </c>
      <c r="F1544">
        <v>9015884123</v>
      </c>
      <c r="G1544">
        <v>277</v>
      </c>
      <c r="H1544" t="s">
        <v>1621</v>
      </c>
      <c r="I1544">
        <v>0</v>
      </c>
      <c r="J1544" t="s">
        <v>1622</v>
      </c>
      <c r="K1544" t="s">
        <v>8</v>
      </c>
      <c r="L1544" t="s">
        <v>67</v>
      </c>
      <c r="M1544" t="s">
        <v>9</v>
      </c>
      <c r="N1544" t="s">
        <v>14</v>
      </c>
      <c r="O1544" s="2">
        <v>254810.45</v>
      </c>
      <c r="P1544" s="3">
        <v>1789.0039999999999</v>
      </c>
      <c r="Q1544" s="1">
        <v>46033</v>
      </c>
      <c r="R1544" s="1">
        <v>45992</v>
      </c>
      <c r="S1544" s="1">
        <v>46022</v>
      </c>
      <c r="V1544" s="8">
        <v>1</v>
      </c>
      <c r="W1544" t="s">
        <v>24</v>
      </c>
      <c r="X1544" t="s">
        <v>1623</v>
      </c>
      <c r="Y1544" t="s">
        <v>57</v>
      </c>
      <c r="Z1544" t="s">
        <v>11</v>
      </c>
      <c r="AA1544">
        <v>62371</v>
      </c>
      <c r="AB1544">
        <v>21391471</v>
      </c>
      <c r="AC1544">
        <v>0</v>
      </c>
      <c r="AD1544" s="8"/>
    </row>
    <row r="1545" spans="1:30" x14ac:dyDescent="0.3">
      <c r="A1545" t="s">
        <v>1627</v>
      </c>
      <c r="B1545">
        <v>1403673</v>
      </c>
      <c r="D1545" t="s">
        <v>7</v>
      </c>
      <c r="E1545">
        <v>946179</v>
      </c>
      <c r="F1545">
        <v>9015884123</v>
      </c>
      <c r="G1545">
        <v>277</v>
      </c>
      <c r="H1545" t="s">
        <v>1621</v>
      </c>
      <c r="I1545">
        <v>0</v>
      </c>
      <c r="J1545" t="s">
        <v>1622</v>
      </c>
      <c r="K1545" t="s">
        <v>8</v>
      </c>
      <c r="L1545" t="s">
        <v>15</v>
      </c>
      <c r="M1545" t="s">
        <v>9</v>
      </c>
      <c r="N1545" t="s">
        <v>14</v>
      </c>
      <c r="O1545" s="2">
        <v>0</v>
      </c>
      <c r="P1545" s="3">
        <v>1789.0039999999999</v>
      </c>
      <c r="Q1545" s="1">
        <v>46033</v>
      </c>
      <c r="R1545" s="1">
        <v>45992</v>
      </c>
      <c r="S1545" s="1">
        <v>46022</v>
      </c>
      <c r="V1545" s="8">
        <v>1</v>
      </c>
      <c r="W1545" t="s">
        <v>24</v>
      </c>
      <c r="X1545" t="s">
        <v>1623</v>
      </c>
      <c r="Y1545" t="s">
        <v>57</v>
      </c>
      <c r="Z1545" t="s">
        <v>11</v>
      </c>
      <c r="AA1545">
        <v>62371</v>
      </c>
      <c r="AB1545">
        <v>21391471</v>
      </c>
      <c r="AC1545">
        <v>0</v>
      </c>
      <c r="AD1545" s="8"/>
    </row>
    <row r="1546" spans="1:30" x14ac:dyDescent="0.3">
      <c r="A1546" t="s">
        <v>1627</v>
      </c>
      <c r="B1546">
        <v>1400918</v>
      </c>
      <c r="D1546" t="s">
        <v>7</v>
      </c>
      <c r="E1546">
        <v>946102</v>
      </c>
      <c r="F1546">
        <v>9015884123</v>
      </c>
      <c r="G1546">
        <v>254</v>
      </c>
      <c r="H1546" t="s">
        <v>1558</v>
      </c>
      <c r="I1546">
        <v>0</v>
      </c>
      <c r="J1546" t="s">
        <v>1559</v>
      </c>
      <c r="K1546" t="s">
        <v>8</v>
      </c>
      <c r="L1546" t="s">
        <v>67</v>
      </c>
      <c r="M1546" t="s">
        <v>9</v>
      </c>
      <c r="N1546" t="s">
        <v>14</v>
      </c>
      <c r="O1546" s="2">
        <v>164373.64000000001</v>
      </c>
      <c r="P1546" s="3">
        <v>1522.038</v>
      </c>
      <c r="Q1546" s="1">
        <v>46033</v>
      </c>
      <c r="R1546" s="1">
        <v>45992</v>
      </c>
      <c r="S1546" s="1">
        <v>46022</v>
      </c>
      <c r="V1546" s="8">
        <v>1</v>
      </c>
      <c r="W1546" t="s">
        <v>24</v>
      </c>
      <c r="X1546" t="s">
        <v>1560</v>
      </c>
      <c r="Y1546" t="s">
        <v>10</v>
      </c>
      <c r="Z1546" t="s">
        <v>11</v>
      </c>
      <c r="AA1546">
        <v>62371</v>
      </c>
      <c r="AB1546">
        <v>18604234</v>
      </c>
      <c r="AC1546">
        <v>1</v>
      </c>
      <c r="AD1546" s="8"/>
    </row>
    <row r="1547" spans="1:30" x14ac:dyDescent="0.3">
      <c r="A1547" t="s">
        <v>1627</v>
      </c>
      <c r="B1547">
        <v>1383085</v>
      </c>
      <c r="D1547" t="s">
        <v>7</v>
      </c>
      <c r="E1547">
        <v>946006</v>
      </c>
      <c r="F1547">
        <v>9015884123</v>
      </c>
      <c r="G1547">
        <v>220</v>
      </c>
      <c r="H1547" t="s">
        <v>880</v>
      </c>
      <c r="I1547">
        <v>0</v>
      </c>
      <c r="J1547" t="s">
        <v>881</v>
      </c>
      <c r="K1547" t="s">
        <v>8</v>
      </c>
      <c r="L1547" t="s">
        <v>15</v>
      </c>
      <c r="M1547" t="s">
        <v>9</v>
      </c>
      <c r="N1547" t="s">
        <v>14</v>
      </c>
      <c r="O1547" s="2">
        <v>0</v>
      </c>
      <c r="P1547" s="3">
        <v>1596.615</v>
      </c>
      <c r="Q1547" s="1">
        <v>46033</v>
      </c>
      <c r="R1547" s="1">
        <v>45992</v>
      </c>
      <c r="S1547" s="1">
        <v>46022</v>
      </c>
      <c r="V1547" s="8">
        <v>1</v>
      </c>
      <c r="W1547" t="s">
        <v>24</v>
      </c>
      <c r="X1547" t="s">
        <v>882</v>
      </c>
      <c r="Y1547" t="s">
        <v>10</v>
      </c>
      <c r="Z1547" t="s">
        <v>11</v>
      </c>
      <c r="AA1547">
        <v>62371</v>
      </c>
      <c r="AB1547">
        <v>18640898</v>
      </c>
      <c r="AC1547">
        <v>0</v>
      </c>
      <c r="AD1547" s="8"/>
    </row>
    <row r="1548" spans="1:30" x14ac:dyDescent="0.3">
      <c r="A1548" t="s">
        <v>1627</v>
      </c>
      <c r="B1548">
        <v>1383088</v>
      </c>
      <c r="D1548" t="s">
        <v>7</v>
      </c>
      <c r="E1548">
        <v>946012</v>
      </c>
      <c r="F1548">
        <v>9015884123</v>
      </c>
      <c r="G1548">
        <v>223</v>
      </c>
      <c r="H1548" t="s">
        <v>350</v>
      </c>
      <c r="I1548">
        <v>0</v>
      </c>
      <c r="J1548" t="s">
        <v>351</v>
      </c>
      <c r="K1548" t="s">
        <v>8</v>
      </c>
      <c r="L1548" t="s">
        <v>19</v>
      </c>
      <c r="M1548" t="s">
        <v>9</v>
      </c>
      <c r="N1548" t="s">
        <v>14</v>
      </c>
      <c r="O1548" s="2">
        <v>14251.31</v>
      </c>
      <c r="P1548" s="3">
        <v>72.125</v>
      </c>
      <c r="Q1548" s="1">
        <v>46033</v>
      </c>
      <c r="R1548" s="1">
        <v>45992</v>
      </c>
      <c r="S1548" s="1">
        <v>46022</v>
      </c>
      <c r="V1548" s="8">
        <v>1</v>
      </c>
      <c r="W1548" t="s">
        <v>24</v>
      </c>
      <c r="X1548" t="s">
        <v>352</v>
      </c>
      <c r="Y1548" t="s">
        <v>10</v>
      </c>
      <c r="Z1548" t="s">
        <v>11</v>
      </c>
      <c r="AA1548">
        <v>62371</v>
      </c>
      <c r="AB1548">
        <v>19664227</v>
      </c>
      <c r="AC1548">
        <v>0</v>
      </c>
      <c r="AD1548" s="8"/>
    </row>
    <row r="1549" spans="1:30" x14ac:dyDescent="0.3">
      <c r="A1549" t="s">
        <v>1627</v>
      </c>
      <c r="B1549">
        <v>1379385</v>
      </c>
      <c r="D1549" t="s">
        <v>7</v>
      </c>
      <c r="E1549">
        <v>945969</v>
      </c>
      <c r="F1549">
        <v>9015884123</v>
      </c>
      <c r="G1549">
        <v>203</v>
      </c>
      <c r="H1549" t="s">
        <v>1214</v>
      </c>
      <c r="I1549">
        <v>0</v>
      </c>
      <c r="J1549" t="s">
        <v>1215</v>
      </c>
      <c r="K1549" t="s">
        <v>8</v>
      </c>
      <c r="L1549" t="s">
        <v>18</v>
      </c>
      <c r="M1549" t="s">
        <v>9</v>
      </c>
      <c r="N1549" t="s">
        <v>14</v>
      </c>
      <c r="O1549" s="2">
        <v>4.49</v>
      </c>
      <c r="P1549" s="3">
        <v>0</v>
      </c>
      <c r="Q1549" s="1">
        <v>46033</v>
      </c>
      <c r="R1549" s="1">
        <v>45992</v>
      </c>
      <c r="S1549" s="1">
        <v>46022</v>
      </c>
      <c r="V1549" s="8">
        <v>1</v>
      </c>
      <c r="W1549" t="s">
        <v>24</v>
      </c>
      <c r="X1549" t="s">
        <v>1216</v>
      </c>
      <c r="Y1549" t="s">
        <v>10</v>
      </c>
      <c r="Z1549" t="s">
        <v>11</v>
      </c>
      <c r="AA1549">
        <v>62371</v>
      </c>
      <c r="AB1549">
        <v>19369206</v>
      </c>
      <c r="AC1549">
        <v>1</v>
      </c>
      <c r="AD1549" s="8"/>
    </row>
    <row r="1550" spans="1:30" x14ac:dyDescent="0.3">
      <c r="A1550" t="s">
        <v>1627</v>
      </c>
      <c r="B1550">
        <v>1379412</v>
      </c>
      <c r="D1550" t="s">
        <v>7</v>
      </c>
      <c r="E1550">
        <v>945980</v>
      </c>
      <c r="F1550">
        <v>9015884123</v>
      </c>
      <c r="G1550">
        <v>209</v>
      </c>
      <c r="H1550" t="s">
        <v>354</v>
      </c>
      <c r="I1550">
        <v>0</v>
      </c>
      <c r="J1550" t="s">
        <v>355</v>
      </c>
      <c r="K1550" t="s">
        <v>8</v>
      </c>
      <c r="L1550" t="s">
        <v>18</v>
      </c>
      <c r="M1550" t="s">
        <v>9</v>
      </c>
      <c r="N1550" t="s">
        <v>14</v>
      </c>
      <c r="O1550" s="2">
        <v>-1.74</v>
      </c>
      <c r="P1550" s="3">
        <v>0</v>
      </c>
      <c r="Q1550" s="1">
        <v>46033</v>
      </c>
      <c r="R1550" s="1">
        <v>45992</v>
      </c>
      <c r="S1550" s="1">
        <v>46022</v>
      </c>
      <c r="V1550" s="8">
        <v>1</v>
      </c>
      <c r="W1550" t="s">
        <v>24</v>
      </c>
      <c r="X1550" t="s">
        <v>356</v>
      </c>
      <c r="Y1550" t="s">
        <v>10</v>
      </c>
      <c r="Z1550" t="s">
        <v>11</v>
      </c>
      <c r="AA1550">
        <v>62371</v>
      </c>
      <c r="AB1550">
        <v>21376636</v>
      </c>
      <c r="AC1550">
        <v>1</v>
      </c>
      <c r="AD1550" s="8"/>
    </row>
    <row r="1551" spans="1:30" x14ac:dyDescent="0.3">
      <c r="A1551" t="s">
        <v>1627</v>
      </c>
      <c r="B1551">
        <v>1403721</v>
      </c>
      <c r="D1551" t="s">
        <v>7</v>
      </c>
      <c r="E1551">
        <v>946142</v>
      </c>
      <c r="F1551">
        <v>9015884123</v>
      </c>
      <c r="G1551">
        <v>267</v>
      </c>
      <c r="H1551" t="s">
        <v>391</v>
      </c>
      <c r="I1551">
        <v>0</v>
      </c>
      <c r="J1551" t="s">
        <v>392</v>
      </c>
      <c r="K1551" t="s">
        <v>8</v>
      </c>
      <c r="L1551" t="s">
        <v>15</v>
      </c>
      <c r="M1551" t="s">
        <v>9</v>
      </c>
      <c r="N1551" t="s">
        <v>14</v>
      </c>
      <c r="O1551" s="2">
        <v>0</v>
      </c>
      <c r="P1551" s="3">
        <v>2089.5830000000001</v>
      </c>
      <c r="Q1551" s="1">
        <v>46033</v>
      </c>
      <c r="R1551" s="1">
        <v>45992</v>
      </c>
      <c r="S1551" s="1">
        <v>46022</v>
      </c>
      <c r="V1551" s="8">
        <v>1</v>
      </c>
      <c r="W1551" t="s">
        <v>24</v>
      </c>
      <c r="X1551" t="s">
        <v>393</v>
      </c>
      <c r="Y1551" t="s">
        <v>10</v>
      </c>
      <c r="Z1551" t="s">
        <v>11</v>
      </c>
      <c r="AA1551">
        <v>62371</v>
      </c>
      <c r="AB1551">
        <v>21113181</v>
      </c>
      <c r="AC1551">
        <v>1</v>
      </c>
      <c r="AD1551" s="8"/>
    </row>
    <row r="1552" spans="1:30" x14ac:dyDescent="0.3">
      <c r="A1552" t="s">
        <v>1627</v>
      </c>
      <c r="B1552">
        <v>1405490</v>
      </c>
      <c r="D1552" t="s">
        <v>7</v>
      </c>
      <c r="E1552">
        <v>946259</v>
      </c>
      <c r="F1552">
        <v>9015884123</v>
      </c>
      <c r="G1552">
        <v>304</v>
      </c>
      <c r="H1552" t="s">
        <v>1437</v>
      </c>
      <c r="I1552">
        <v>0</v>
      </c>
      <c r="J1552" t="s">
        <v>1438</v>
      </c>
      <c r="K1552" t="s">
        <v>8</v>
      </c>
      <c r="L1552" t="s">
        <v>67</v>
      </c>
      <c r="M1552" t="s">
        <v>9</v>
      </c>
      <c r="N1552" t="s">
        <v>14</v>
      </c>
      <c r="O1552" s="2">
        <v>0</v>
      </c>
      <c r="P1552" s="3">
        <v>0</v>
      </c>
      <c r="Q1552" s="1">
        <v>46033</v>
      </c>
      <c r="R1552" s="1">
        <v>45992</v>
      </c>
      <c r="S1552" s="1">
        <v>46022</v>
      </c>
      <c r="V1552" s="8">
        <v>1</v>
      </c>
      <c r="W1552" t="s">
        <v>24</v>
      </c>
      <c r="X1552" t="s">
        <v>1439</v>
      </c>
      <c r="Y1552" t="s">
        <v>10</v>
      </c>
      <c r="Z1552" t="s">
        <v>11</v>
      </c>
      <c r="AA1552">
        <v>62371</v>
      </c>
      <c r="AB1552">
        <v>18530365</v>
      </c>
      <c r="AC1552">
        <v>1</v>
      </c>
      <c r="AD1552" s="8"/>
    </row>
    <row r="1553" spans="1:30" x14ac:dyDescent="0.3">
      <c r="A1553" t="s">
        <v>1627</v>
      </c>
      <c r="B1553">
        <v>1405499</v>
      </c>
      <c r="D1553" t="s">
        <v>7</v>
      </c>
      <c r="E1553">
        <v>946267</v>
      </c>
      <c r="F1553">
        <v>9015884123</v>
      </c>
      <c r="G1553">
        <v>308</v>
      </c>
      <c r="H1553" t="s">
        <v>1241</v>
      </c>
      <c r="I1553">
        <v>0</v>
      </c>
      <c r="J1553" t="s">
        <v>1242</v>
      </c>
      <c r="K1553" t="s">
        <v>8</v>
      </c>
      <c r="L1553" t="s">
        <v>67</v>
      </c>
      <c r="M1553" t="s">
        <v>9</v>
      </c>
      <c r="N1553" t="s">
        <v>14</v>
      </c>
      <c r="O1553" s="2">
        <v>213923.93</v>
      </c>
      <c r="P1553" s="3">
        <v>1501.943</v>
      </c>
      <c r="Q1553" s="1">
        <v>46033</v>
      </c>
      <c r="R1553" s="1">
        <v>45992</v>
      </c>
      <c r="S1553" s="1">
        <v>46022</v>
      </c>
      <c r="V1553" s="8">
        <v>1</v>
      </c>
      <c r="W1553" t="s">
        <v>24</v>
      </c>
      <c r="X1553" t="s">
        <v>1243</v>
      </c>
      <c r="Y1553" t="s">
        <v>10</v>
      </c>
      <c r="Z1553" t="s">
        <v>11</v>
      </c>
      <c r="AA1553">
        <v>62371</v>
      </c>
      <c r="AB1553">
        <v>19402887</v>
      </c>
      <c r="AC1553">
        <v>0</v>
      </c>
      <c r="AD1553" s="8"/>
    </row>
    <row r="1554" spans="1:30" x14ac:dyDescent="0.3">
      <c r="A1554" t="s">
        <v>1627</v>
      </c>
      <c r="B1554">
        <v>1384494</v>
      </c>
      <c r="D1554" t="s">
        <v>7</v>
      </c>
      <c r="E1554">
        <v>946035</v>
      </c>
      <c r="F1554">
        <v>9015884123</v>
      </c>
      <c r="G1554">
        <v>232</v>
      </c>
      <c r="H1554" t="s">
        <v>1603</v>
      </c>
      <c r="I1554">
        <v>0</v>
      </c>
      <c r="J1554" t="s">
        <v>1604</v>
      </c>
      <c r="K1554" t="s">
        <v>8</v>
      </c>
      <c r="L1554" t="s">
        <v>18</v>
      </c>
      <c r="M1554" t="s">
        <v>9</v>
      </c>
      <c r="N1554" t="s">
        <v>14</v>
      </c>
      <c r="O1554" s="2">
        <v>-2.14</v>
      </c>
      <c r="P1554" s="3">
        <v>0</v>
      </c>
      <c r="Q1554" s="1">
        <v>46033</v>
      </c>
      <c r="R1554" s="1">
        <v>45992</v>
      </c>
      <c r="S1554" s="1">
        <v>46022</v>
      </c>
      <c r="V1554" s="8">
        <v>2</v>
      </c>
      <c r="W1554" t="s">
        <v>24</v>
      </c>
      <c r="X1554" t="s">
        <v>1605</v>
      </c>
      <c r="Y1554" t="s">
        <v>10</v>
      </c>
      <c r="Z1554" t="s">
        <v>11</v>
      </c>
      <c r="AA1554">
        <v>62371</v>
      </c>
      <c r="AB1554">
        <v>19315266</v>
      </c>
      <c r="AC1554">
        <v>1</v>
      </c>
      <c r="AD1554" s="8"/>
    </row>
    <row r="1555" spans="1:30" x14ac:dyDescent="0.3">
      <c r="A1555" t="s">
        <v>1627</v>
      </c>
      <c r="B1555">
        <v>1406183</v>
      </c>
      <c r="D1555" t="s">
        <v>7</v>
      </c>
      <c r="E1555">
        <v>946289</v>
      </c>
      <c r="F1555">
        <v>9015884123</v>
      </c>
      <c r="G1555">
        <v>317</v>
      </c>
      <c r="H1555" t="s">
        <v>1606</v>
      </c>
      <c r="I1555">
        <v>0</v>
      </c>
      <c r="J1555" t="s">
        <v>1607</v>
      </c>
      <c r="K1555" t="s">
        <v>8</v>
      </c>
      <c r="L1555" t="s">
        <v>15</v>
      </c>
      <c r="M1555" t="s">
        <v>9</v>
      </c>
      <c r="N1555" t="s">
        <v>14</v>
      </c>
      <c r="O1555" s="2">
        <v>0</v>
      </c>
      <c r="P1555" s="3">
        <v>44112.82</v>
      </c>
      <c r="Q1555" s="1">
        <v>46033</v>
      </c>
      <c r="R1555" s="1">
        <v>45992</v>
      </c>
      <c r="S1555" s="1">
        <v>46022</v>
      </c>
      <c r="V1555" s="8">
        <v>1</v>
      </c>
      <c r="W1555" t="s">
        <v>24</v>
      </c>
      <c r="X1555" t="s">
        <v>1608</v>
      </c>
      <c r="Y1555" t="s">
        <v>10</v>
      </c>
      <c r="Z1555" t="s">
        <v>11</v>
      </c>
      <c r="AA1555">
        <v>62371</v>
      </c>
      <c r="AB1555">
        <v>20066477</v>
      </c>
      <c r="AC1555">
        <v>1</v>
      </c>
      <c r="AD1555" s="8"/>
    </row>
    <row r="1556" spans="1:30" x14ac:dyDescent="0.3">
      <c r="A1556" t="s">
        <v>1627</v>
      </c>
      <c r="B1556">
        <v>1395787</v>
      </c>
      <c r="D1556" t="s">
        <v>7</v>
      </c>
      <c r="E1556">
        <v>946061</v>
      </c>
      <c r="F1556">
        <v>9015884123</v>
      </c>
      <c r="G1556">
        <v>241</v>
      </c>
      <c r="H1556" t="s">
        <v>1564</v>
      </c>
      <c r="I1556">
        <v>0</v>
      </c>
      <c r="J1556" t="s">
        <v>1565</v>
      </c>
      <c r="K1556" t="s">
        <v>8</v>
      </c>
      <c r="L1556" t="s">
        <v>67</v>
      </c>
      <c r="M1556" t="s">
        <v>9</v>
      </c>
      <c r="N1556" t="s">
        <v>14</v>
      </c>
      <c r="O1556" s="2">
        <v>929996.98</v>
      </c>
      <c r="P1556" s="3">
        <v>8611.4220000000005</v>
      </c>
      <c r="Q1556" s="1">
        <v>46033</v>
      </c>
      <c r="R1556" s="1">
        <v>45992</v>
      </c>
      <c r="S1556" s="1">
        <v>46022</v>
      </c>
      <c r="V1556" s="8">
        <v>1</v>
      </c>
      <c r="W1556" t="s">
        <v>24</v>
      </c>
      <c r="X1556" t="s">
        <v>1566</v>
      </c>
      <c r="Y1556" t="s">
        <v>10</v>
      </c>
      <c r="Z1556" t="s">
        <v>11</v>
      </c>
      <c r="AA1556">
        <v>62371</v>
      </c>
      <c r="AB1556">
        <v>17549054</v>
      </c>
      <c r="AC1556">
        <v>1</v>
      </c>
      <c r="AD1556" s="8"/>
    </row>
    <row r="1557" spans="1:30" x14ac:dyDescent="0.3">
      <c r="A1557" t="s">
        <v>1627</v>
      </c>
      <c r="B1557">
        <v>1400918</v>
      </c>
      <c r="D1557" t="s">
        <v>7</v>
      </c>
      <c r="E1557">
        <v>946102</v>
      </c>
      <c r="F1557">
        <v>9015884123</v>
      </c>
      <c r="G1557">
        <v>254</v>
      </c>
      <c r="H1557" t="s">
        <v>1558</v>
      </c>
      <c r="I1557">
        <v>0</v>
      </c>
      <c r="J1557" t="s">
        <v>1559</v>
      </c>
      <c r="K1557" t="s">
        <v>8</v>
      </c>
      <c r="L1557" t="s">
        <v>18</v>
      </c>
      <c r="M1557" t="s">
        <v>9</v>
      </c>
      <c r="N1557" t="s">
        <v>14</v>
      </c>
      <c r="O1557" s="2">
        <v>-3.64</v>
      </c>
      <c r="P1557" s="3">
        <v>0</v>
      </c>
      <c r="Q1557" s="1">
        <v>46033</v>
      </c>
      <c r="R1557" s="1">
        <v>45992</v>
      </c>
      <c r="S1557" s="1">
        <v>46022</v>
      </c>
      <c r="V1557" s="8">
        <v>1</v>
      </c>
      <c r="W1557" t="s">
        <v>24</v>
      </c>
      <c r="X1557" t="s">
        <v>1560</v>
      </c>
      <c r="Y1557" t="s">
        <v>10</v>
      </c>
      <c r="Z1557" t="s">
        <v>11</v>
      </c>
      <c r="AA1557">
        <v>62371</v>
      </c>
      <c r="AB1557">
        <v>18604234</v>
      </c>
      <c r="AC1557">
        <v>1</v>
      </c>
      <c r="AD1557" s="8"/>
    </row>
    <row r="1558" spans="1:30" x14ac:dyDescent="0.3">
      <c r="A1558" t="s">
        <v>1627</v>
      </c>
      <c r="B1558">
        <v>1403651</v>
      </c>
      <c r="D1558" t="s">
        <v>7</v>
      </c>
      <c r="E1558">
        <v>946123</v>
      </c>
      <c r="F1558">
        <v>9015884123</v>
      </c>
      <c r="G1558">
        <v>261</v>
      </c>
      <c r="H1558" t="s">
        <v>388</v>
      </c>
      <c r="I1558">
        <v>0</v>
      </c>
      <c r="J1558" t="s">
        <v>389</v>
      </c>
      <c r="K1558" t="s">
        <v>8</v>
      </c>
      <c r="L1558" t="s">
        <v>15</v>
      </c>
      <c r="M1558" t="s">
        <v>9</v>
      </c>
      <c r="N1558" t="s">
        <v>14</v>
      </c>
      <c r="O1558" s="2">
        <v>0</v>
      </c>
      <c r="P1558" s="3">
        <v>7946.1959999999999</v>
      </c>
      <c r="Q1558" s="1">
        <v>46033</v>
      </c>
      <c r="R1558" s="1">
        <v>45992</v>
      </c>
      <c r="S1558" s="1">
        <v>46022</v>
      </c>
      <c r="V1558" s="8">
        <v>2</v>
      </c>
      <c r="W1558" t="s">
        <v>24</v>
      </c>
      <c r="X1558" t="s">
        <v>390</v>
      </c>
      <c r="Y1558" t="s">
        <v>10</v>
      </c>
      <c r="Z1558" t="s">
        <v>11</v>
      </c>
      <c r="AA1558">
        <v>62371</v>
      </c>
      <c r="AB1558">
        <v>17058720</v>
      </c>
      <c r="AC1558">
        <v>1</v>
      </c>
      <c r="AD1558" s="8"/>
    </row>
    <row r="1559" spans="1:30" x14ac:dyDescent="0.3">
      <c r="A1559" t="s">
        <v>1627</v>
      </c>
      <c r="B1559">
        <v>1403797</v>
      </c>
      <c r="D1559" t="s">
        <v>7</v>
      </c>
      <c r="E1559">
        <v>946173</v>
      </c>
      <c r="F1559">
        <v>9015884123</v>
      </c>
      <c r="G1559">
        <v>275</v>
      </c>
      <c r="H1559" t="s">
        <v>895</v>
      </c>
      <c r="I1559">
        <v>0</v>
      </c>
      <c r="J1559" t="s">
        <v>896</v>
      </c>
      <c r="K1559" t="s">
        <v>8</v>
      </c>
      <c r="L1559" t="s">
        <v>67</v>
      </c>
      <c r="M1559" t="s">
        <v>9</v>
      </c>
      <c r="N1559" t="s">
        <v>14</v>
      </c>
      <c r="O1559" s="2">
        <v>5704850.2800000003</v>
      </c>
      <c r="P1559" s="3">
        <v>40053.302000000003</v>
      </c>
      <c r="Q1559" s="1">
        <v>46033</v>
      </c>
      <c r="R1559" s="1">
        <v>45992</v>
      </c>
      <c r="S1559" s="1">
        <v>46022</v>
      </c>
      <c r="V1559" s="8">
        <v>1</v>
      </c>
      <c r="W1559" t="s">
        <v>24</v>
      </c>
      <c r="X1559" t="s">
        <v>897</v>
      </c>
      <c r="Y1559" t="s">
        <v>10</v>
      </c>
      <c r="Z1559" t="s">
        <v>11</v>
      </c>
      <c r="AA1559">
        <v>62371</v>
      </c>
      <c r="AB1559">
        <v>19315017</v>
      </c>
      <c r="AC1559">
        <v>0</v>
      </c>
      <c r="AD1559" s="8"/>
    </row>
    <row r="1560" spans="1:30" x14ac:dyDescent="0.3">
      <c r="A1560" t="s">
        <v>1627</v>
      </c>
      <c r="B1560">
        <v>1403801</v>
      </c>
      <c r="D1560" t="s">
        <v>7</v>
      </c>
      <c r="E1560">
        <v>946188</v>
      </c>
      <c r="F1560">
        <v>9015884123</v>
      </c>
      <c r="G1560">
        <v>280</v>
      </c>
      <c r="H1560" t="s">
        <v>400</v>
      </c>
      <c r="I1560">
        <v>0</v>
      </c>
      <c r="J1560" t="s">
        <v>401</v>
      </c>
      <c r="K1560" t="s">
        <v>8</v>
      </c>
      <c r="L1560" t="s">
        <v>18</v>
      </c>
      <c r="M1560" t="s">
        <v>9</v>
      </c>
      <c r="N1560" t="s">
        <v>14</v>
      </c>
      <c r="O1560" s="2">
        <v>0.32</v>
      </c>
      <c r="P1560" s="3">
        <v>0</v>
      </c>
      <c r="Q1560" s="1">
        <v>46033</v>
      </c>
      <c r="R1560" s="1">
        <v>45992</v>
      </c>
      <c r="S1560" s="1">
        <v>46022</v>
      </c>
      <c r="V1560" s="8">
        <v>1</v>
      </c>
      <c r="W1560" t="s">
        <v>24</v>
      </c>
      <c r="X1560" t="s">
        <v>402</v>
      </c>
      <c r="Y1560" t="s">
        <v>10</v>
      </c>
      <c r="Z1560" t="s">
        <v>11</v>
      </c>
      <c r="AA1560">
        <v>62371</v>
      </c>
      <c r="AB1560">
        <v>18543934</v>
      </c>
      <c r="AC1560">
        <v>1</v>
      </c>
      <c r="AD1560" s="8"/>
    </row>
    <row r="1561" spans="1:30" x14ac:dyDescent="0.3">
      <c r="A1561" t="s">
        <v>1627</v>
      </c>
      <c r="B1561">
        <v>1403809</v>
      </c>
      <c r="D1561" t="s">
        <v>7</v>
      </c>
      <c r="E1561">
        <v>946203</v>
      </c>
      <c r="F1561">
        <v>9015884123</v>
      </c>
      <c r="G1561">
        <v>287</v>
      </c>
      <c r="H1561" t="s">
        <v>403</v>
      </c>
      <c r="I1561">
        <v>0</v>
      </c>
      <c r="J1561" t="s">
        <v>404</v>
      </c>
      <c r="K1561" t="s">
        <v>8</v>
      </c>
      <c r="L1561" t="s">
        <v>19</v>
      </c>
      <c r="M1561" t="s">
        <v>9</v>
      </c>
      <c r="N1561" t="s">
        <v>14</v>
      </c>
      <c r="O1561" s="2">
        <v>4621.47</v>
      </c>
      <c r="P1561" s="3">
        <v>23.388999999999999</v>
      </c>
      <c r="Q1561" s="1">
        <v>46033</v>
      </c>
      <c r="R1561" s="1">
        <v>45992</v>
      </c>
      <c r="S1561" s="1">
        <v>46022</v>
      </c>
      <c r="V1561" s="8">
        <v>1</v>
      </c>
      <c r="W1561" t="s">
        <v>24</v>
      </c>
      <c r="X1561" t="s">
        <v>405</v>
      </c>
      <c r="Y1561" t="s">
        <v>10</v>
      </c>
      <c r="Z1561" t="s">
        <v>11</v>
      </c>
      <c r="AA1561">
        <v>62371</v>
      </c>
      <c r="AB1561">
        <v>18587469</v>
      </c>
      <c r="AC1561">
        <v>0</v>
      </c>
      <c r="AD1561" s="8"/>
    </row>
    <row r="1562" spans="1:30" x14ac:dyDescent="0.3">
      <c r="A1562" t="s">
        <v>1627</v>
      </c>
      <c r="B1562">
        <v>1407508</v>
      </c>
      <c r="D1562" t="s">
        <v>7</v>
      </c>
      <c r="E1562">
        <v>946315</v>
      </c>
      <c r="F1562">
        <v>9015884123</v>
      </c>
      <c r="G1562">
        <v>330</v>
      </c>
      <c r="H1562" t="s">
        <v>1259</v>
      </c>
      <c r="I1562">
        <v>0</v>
      </c>
      <c r="J1562" t="s">
        <v>1260</v>
      </c>
      <c r="K1562" t="s">
        <v>8</v>
      </c>
      <c r="L1562" t="s">
        <v>18</v>
      </c>
      <c r="M1562" t="s">
        <v>9</v>
      </c>
      <c r="N1562" t="s">
        <v>14</v>
      </c>
      <c r="O1562" s="2">
        <v>-4.49</v>
      </c>
      <c r="P1562" s="3">
        <v>0</v>
      </c>
      <c r="Q1562" s="1">
        <v>46033</v>
      </c>
      <c r="R1562" s="1">
        <v>45992</v>
      </c>
      <c r="S1562" s="1">
        <v>46022</v>
      </c>
      <c r="V1562" s="8">
        <v>1</v>
      </c>
      <c r="W1562" t="s">
        <v>24</v>
      </c>
      <c r="X1562" t="s">
        <v>1261</v>
      </c>
      <c r="Y1562" t="s">
        <v>10</v>
      </c>
      <c r="Z1562" t="s">
        <v>11</v>
      </c>
      <c r="AA1562">
        <v>62371</v>
      </c>
      <c r="AB1562">
        <v>19844095</v>
      </c>
      <c r="AC1562">
        <v>1</v>
      </c>
      <c r="AD1562" s="8"/>
    </row>
    <row r="1563" spans="1:30" x14ac:dyDescent="0.3">
      <c r="A1563" t="s">
        <v>1627</v>
      </c>
      <c r="B1563">
        <v>1407518</v>
      </c>
      <c r="D1563" t="s">
        <v>7</v>
      </c>
      <c r="E1563">
        <v>946325</v>
      </c>
      <c r="F1563">
        <v>9015884123</v>
      </c>
      <c r="G1563">
        <v>335</v>
      </c>
      <c r="H1563" t="s">
        <v>1250</v>
      </c>
      <c r="I1563">
        <v>0</v>
      </c>
      <c r="J1563" t="s">
        <v>1251</v>
      </c>
      <c r="K1563" t="s">
        <v>8</v>
      </c>
      <c r="L1563" t="s">
        <v>67</v>
      </c>
      <c r="M1563" t="s">
        <v>9</v>
      </c>
      <c r="N1563" t="s">
        <v>14</v>
      </c>
      <c r="O1563" s="2">
        <v>517060.38</v>
      </c>
      <c r="P1563" s="3">
        <v>3630.24</v>
      </c>
      <c r="Q1563" s="1">
        <v>46033</v>
      </c>
      <c r="R1563" s="1">
        <v>45992</v>
      </c>
      <c r="S1563" s="1">
        <v>46022</v>
      </c>
      <c r="V1563" s="8">
        <v>1</v>
      </c>
      <c r="W1563" t="s">
        <v>24</v>
      </c>
      <c r="X1563" t="s">
        <v>1252</v>
      </c>
      <c r="Y1563" t="s">
        <v>10</v>
      </c>
      <c r="Z1563" t="s">
        <v>11</v>
      </c>
      <c r="AA1563">
        <v>62371</v>
      </c>
      <c r="AB1563">
        <v>19510026</v>
      </c>
      <c r="AC1563">
        <v>0</v>
      </c>
      <c r="AD1563" s="8"/>
    </row>
    <row r="1564" spans="1:30" x14ac:dyDescent="0.3">
      <c r="A1564" t="s">
        <v>1627</v>
      </c>
      <c r="B1564">
        <v>1412137</v>
      </c>
      <c r="D1564" t="s">
        <v>7</v>
      </c>
      <c r="E1564">
        <v>946377</v>
      </c>
      <c r="F1564">
        <v>9015884123</v>
      </c>
      <c r="G1564">
        <v>362</v>
      </c>
      <c r="H1564" t="s">
        <v>913</v>
      </c>
      <c r="I1564">
        <v>0</v>
      </c>
      <c r="J1564" t="s">
        <v>914</v>
      </c>
      <c r="K1564" t="s">
        <v>8</v>
      </c>
      <c r="L1564" t="s">
        <v>18</v>
      </c>
      <c r="M1564" t="s">
        <v>9</v>
      </c>
      <c r="N1564" t="s">
        <v>14</v>
      </c>
      <c r="O1564" s="2">
        <v>-1.42</v>
      </c>
      <c r="P1564" s="3">
        <v>0</v>
      </c>
      <c r="Q1564" s="1">
        <v>46033</v>
      </c>
      <c r="R1564" s="1">
        <v>45992</v>
      </c>
      <c r="S1564" s="1">
        <v>46022</v>
      </c>
      <c r="V1564" s="8">
        <v>2</v>
      </c>
      <c r="W1564" t="s">
        <v>24</v>
      </c>
      <c r="X1564" t="s">
        <v>915</v>
      </c>
      <c r="Y1564" t="s">
        <v>10</v>
      </c>
      <c r="Z1564" t="s">
        <v>11</v>
      </c>
      <c r="AA1564">
        <v>62371</v>
      </c>
      <c r="AB1564">
        <v>19374742</v>
      </c>
      <c r="AC1564">
        <v>1</v>
      </c>
      <c r="AD1564" s="8"/>
    </row>
    <row r="1565" spans="1:30" x14ac:dyDescent="0.3">
      <c r="A1565" t="s">
        <v>1627</v>
      </c>
      <c r="B1565">
        <v>1412656</v>
      </c>
      <c r="D1565" t="s">
        <v>7</v>
      </c>
      <c r="E1565">
        <v>946414</v>
      </c>
      <c r="F1565">
        <v>9015884123</v>
      </c>
      <c r="G1565">
        <v>378</v>
      </c>
      <c r="H1565" t="s">
        <v>1446</v>
      </c>
      <c r="I1565">
        <v>0</v>
      </c>
      <c r="J1565" t="s">
        <v>1447</v>
      </c>
      <c r="K1565" t="s">
        <v>8</v>
      </c>
      <c r="L1565" t="s">
        <v>18</v>
      </c>
      <c r="M1565" t="s">
        <v>9</v>
      </c>
      <c r="N1565" t="s">
        <v>14</v>
      </c>
      <c r="O1565" s="2">
        <v>-0.67</v>
      </c>
      <c r="P1565" s="3">
        <v>0</v>
      </c>
      <c r="Q1565" s="1">
        <v>46033</v>
      </c>
      <c r="R1565" s="1">
        <v>45992</v>
      </c>
      <c r="S1565" s="1">
        <v>46022</v>
      </c>
      <c r="V1565" s="8">
        <v>1</v>
      </c>
      <c r="W1565" t="s">
        <v>24</v>
      </c>
      <c r="X1565" t="s">
        <v>1448</v>
      </c>
      <c r="Y1565" t="s">
        <v>10</v>
      </c>
      <c r="Z1565" t="s">
        <v>11</v>
      </c>
      <c r="AA1565">
        <v>62371</v>
      </c>
      <c r="AB1565">
        <v>18365210</v>
      </c>
      <c r="AC1565">
        <v>1</v>
      </c>
      <c r="AD1565" s="8"/>
    </row>
    <row r="1566" spans="1:30" x14ac:dyDescent="0.3">
      <c r="A1566" t="s">
        <v>1627</v>
      </c>
      <c r="B1566">
        <v>1415545</v>
      </c>
      <c r="D1566" t="s">
        <v>7</v>
      </c>
      <c r="E1566">
        <v>946446</v>
      </c>
      <c r="F1566">
        <v>9015884123</v>
      </c>
      <c r="G1566">
        <v>388</v>
      </c>
      <c r="H1566" t="s">
        <v>1271</v>
      </c>
      <c r="I1566">
        <v>0</v>
      </c>
      <c r="J1566" t="s">
        <v>1272</v>
      </c>
      <c r="K1566" t="s">
        <v>8</v>
      </c>
      <c r="L1566" t="s">
        <v>67</v>
      </c>
      <c r="M1566" t="s">
        <v>9</v>
      </c>
      <c r="N1566" t="s">
        <v>14</v>
      </c>
      <c r="O1566" s="2">
        <v>2940389.31</v>
      </c>
      <c r="P1566" s="3">
        <v>35786.788999999997</v>
      </c>
      <c r="Q1566" s="1">
        <v>46033</v>
      </c>
      <c r="R1566" s="1">
        <v>45992</v>
      </c>
      <c r="S1566" s="1">
        <v>46022</v>
      </c>
      <c r="V1566" s="8">
        <v>2</v>
      </c>
      <c r="W1566" t="s">
        <v>24</v>
      </c>
      <c r="X1566" t="s">
        <v>1273</v>
      </c>
      <c r="Y1566" t="s">
        <v>10</v>
      </c>
      <c r="Z1566" t="s">
        <v>11</v>
      </c>
      <c r="AA1566">
        <v>62371</v>
      </c>
      <c r="AB1566">
        <v>20035766</v>
      </c>
      <c r="AC1566">
        <v>1</v>
      </c>
      <c r="AD1566" s="8"/>
    </row>
    <row r="1567" spans="1:30" x14ac:dyDescent="0.3">
      <c r="A1567" t="s">
        <v>1627</v>
      </c>
      <c r="B1567">
        <v>1415509</v>
      </c>
      <c r="D1567" t="s">
        <v>7</v>
      </c>
      <c r="E1567">
        <v>946509</v>
      </c>
      <c r="F1567">
        <v>9015884123</v>
      </c>
      <c r="G1567">
        <v>408</v>
      </c>
      <c r="H1567" t="s">
        <v>916</v>
      </c>
      <c r="I1567">
        <v>0</v>
      </c>
      <c r="J1567" t="s">
        <v>917</v>
      </c>
      <c r="K1567" t="s">
        <v>8</v>
      </c>
      <c r="L1567" t="s">
        <v>67</v>
      </c>
      <c r="M1567" t="s">
        <v>9</v>
      </c>
      <c r="N1567" t="s">
        <v>14</v>
      </c>
      <c r="O1567" s="2">
        <v>61863.21</v>
      </c>
      <c r="P1567" s="3">
        <v>572.83000000000004</v>
      </c>
      <c r="Q1567" s="1">
        <v>46033</v>
      </c>
      <c r="R1567" s="1">
        <v>45992</v>
      </c>
      <c r="S1567" s="1">
        <v>46022</v>
      </c>
      <c r="V1567" s="8">
        <v>1</v>
      </c>
      <c r="W1567" t="s">
        <v>24</v>
      </c>
      <c r="X1567" t="s">
        <v>918</v>
      </c>
      <c r="Y1567" t="s">
        <v>10</v>
      </c>
      <c r="Z1567" t="s">
        <v>11</v>
      </c>
      <c r="AA1567">
        <v>62371</v>
      </c>
      <c r="AB1567">
        <v>21493271</v>
      </c>
      <c r="AC1567">
        <v>1</v>
      </c>
      <c r="AD1567" s="8"/>
    </row>
    <row r="1568" spans="1:30" x14ac:dyDescent="0.3">
      <c r="A1568" t="s">
        <v>1627</v>
      </c>
      <c r="B1568">
        <v>1406183</v>
      </c>
      <c r="D1568" t="s">
        <v>7</v>
      </c>
      <c r="E1568">
        <v>946289</v>
      </c>
      <c r="F1568">
        <v>9015884123</v>
      </c>
      <c r="G1568">
        <v>317</v>
      </c>
      <c r="H1568" t="s">
        <v>1606</v>
      </c>
      <c r="I1568">
        <v>0</v>
      </c>
      <c r="J1568" t="s">
        <v>1607</v>
      </c>
      <c r="K1568" t="s">
        <v>8</v>
      </c>
      <c r="L1568" t="s">
        <v>18</v>
      </c>
      <c r="M1568" t="s">
        <v>9</v>
      </c>
      <c r="N1568" t="s">
        <v>14</v>
      </c>
      <c r="O1568" s="2">
        <v>2.92</v>
      </c>
      <c r="P1568" s="3">
        <v>0</v>
      </c>
      <c r="Q1568" s="1">
        <v>46033</v>
      </c>
      <c r="R1568" s="1">
        <v>45992</v>
      </c>
      <c r="S1568" s="1">
        <v>46022</v>
      </c>
      <c r="V1568" s="8">
        <v>1</v>
      </c>
      <c r="W1568" t="s">
        <v>24</v>
      </c>
      <c r="X1568" t="s">
        <v>1608</v>
      </c>
      <c r="Y1568" t="s">
        <v>10</v>
      </c>
      <c r="Z1568" t="s">
        <v>11</v>
      </c>
      <c r="AA1568">
        <v>62371</v>
      </c>
      <c r="AB1568">
        <v>20066477</v>
      </c>
      <c r="AC1568">
        <v>1</v>
      </c>
      <c r="AD1568" s="8"/>
    </row>
    <row r="1569" spans="1:30" x14ac:dyDescent="0.3">
      <c r="A1569" t="s">
        <v>1627</v>
      </c>
      <c r="B1569">
        <v>1415466</v>
      </c>
      <c r="D1569" t="s">
        <v>7</v>
      </c>
      <c r="E1569">
        <v>946479</v>
      </c>
      <c r="F1569">
        <v>9015884123</v>
      </c>
      <c r="G1569">
        <v>398</v>
      </c>
      <c r="H1569" t="s">
        <v>457</v>
      </c>
      <c r="I1569">
        <v>0</v>
      </c>
      <c r="J1569" t="s">
        <v>458</v>
      </c>
      <c r="K1569" t="s">
        <v>8</v>
      </c>
      <c r="L1569" t="s">
        <v>19</v>
      </c>
      <c r="M1569" t="s">
        <v>9</v>
      </c>
      <c r="N1569" t="s">
        <v>14</v>
      </c>
      <c r="O1569" s="2">
        <v>15443.57</v>
      </c>
      <c r="P1569" s="3">
        <v>78.159000000000006</v>
      </c>
      <c r="Q1569" s="1">
        <v>46033</v>
      </c>
      <c r="R1569" s="1">
        <v>45992</v>
      </c>
      <c r="S1569" s="1">
        <v>46022</v>
      </c>
      <c r="V1569" s="8">
        <v>1</v>
      </c>
      <c r="W1569" t="s">
        <v>24</v>
      </c>
      <c r="X1569" t="s">
        <v>459</v>
      </c>
      <c r="Y1569" t="s">
        <v>10</v>
      </c>
      <c r="Z1569" t="s">
        <v>11</v>
      </c>
      <c r="AA1569">
        <v>62371</v>
      </c>
      <c r="AB1569">
        <v>17178482</v>
      </c>
      <c r="AC1569">
        <v>0</v>
      </c>
      <c r="AD1569" s="8"/>
    </row>
    <row r="1570" spans="1:30" x14ac:dyDescent="0.3">
      <c r="A1570" t="s">
        <v>1627</v>
      </c>
      <c r="B1570">
        <v>1413683</v>
      </c>
      <c r="D1570" t="s">
        <v>7</v>
      </c>
      <c r="E1570">
        <v>946573</v>
      </c>
      <c r="F1570">
        <v>9015884123</v>
      </c>
      <c r="G1570">
        <v>427</v>
      </c>
      <c r="H1570" t="s">
        <v>466</v>
      </c>
      <c r="I1570">
        <v>0</v>
      </c>
      <c r="J1570" t="s">
        <v>467</v>
      </c>
      <c r="K1570" t="s">
        <v>8</v>
      </c>
      <c r="L1570" t="s">
        <v>18</v>
      </c>
      <c r="M1570" t="s">
        <v>9</v>
      </c>
      <c r="N1570" t="s">
        <v>14</v>
      </c>
      <c r="O1570" s="2">
        <v>1.42</v>
      </c>
      <c r="P1570" s="3">
        <v>0</v>
      </c>
      <c r="Q1570" s="1">
        <v>46033</v>
      </c>
      <c r="R1570" s="1">
        <v>45992</v>
      </c>
      <c r="S1570" s="1">
        <v>46022</v>
      </c>
      <c r="V1570" s="8">
        <v>1</v>
      </c>
      <c r="W1570" t="s">
        <v>24</v>
      </c>
      <c r="X1570" t="s">
        <v>468</v>
      </c>
      <c r="Y1570" t="s">
        <v>10</v>
      </c>
      <c r="Z1570" t="s">
        <v>11</v>
      </c>
      <c r="AA1570">
        <v>62371</v>
      </c>
      <c r="AB1570">
        <v>17066681</v>
      </c>
      <c r="AC1570">
        <v>0</v>
      </c>
      <c r="AD1570" s="8"/>
    </row>
    <row r="1571" spans="1:30" x14ac:dyDescent="0.3">
      <c r="A1571" t="s">
        <v>1627</v>
      </c>
      <c r="B1571">
        <v>1416891</v>
      </c>
      <c r="D1571" t="s">
        <v>7</v>
      </c>
      <c r="E1571">
        <v>946583</v>
      </c>
      <c r="F1571">
        <v>9015884123</v>
      </c>
      <c r="G1571">
        <v>430</v>
      </c>
      <c r="H1571" t="s">
        <v>928</v>
      </c>
      <c r="I1571">
        <v>0</v>
      </c>
      <c r="J1571" t="s">
        <v>929</v>
      </c>
      <c r="K1571" t="s">
        <v>8</v>
      </c>
      <c r="L1571" t="s">
        <v>19</v>
      </c>
      <c r="M1571" t="s">
        <v>9</v>
      </c>
      <c r="N1571" t="s">
        <v>14</v>
      </c>
      <c r="O1571" s="2">
        <v>6497.85</v>
      </c>
      <c r="P1571" s="3">
        <v>39.826000000000001</v>
      </c>
      <c r="Q1571" s="1">
        <v>46033</v>
      </c>
      <c r="R1571" s="1">
        <v>45992</v>
      </c>
      <c r="S1571" s="1">
        <v>46022</v>
      </c>
      <c r="V1571" s="8">
        <v>1</v>
      </c>
      <c r="W1571" t="s">
        <v>24</v>
      </c>
      <c r="X1571" t="s">
        <v>930</v>
      </c>
      <c r="Y1571" t="s">
        <v>10</v>
      </c>
      <c r="Z1571" t="s">
        <v>11</v>
      </c>
      <c r="AA1571">
        <v>62371</v>
      </c>
      <c r="AB1571">
        <v>17032628</v>
      </c>
      <c r="AC1571">
        <v>1</v>
      </c>
      <c r="AD1571" s="8"/>
    </row>
    <row r="1572" spans="1:30" x14ac:dyDescent="0.3">
      <c r="A1572" t="s">
        <v>1627</v>
      </c>
      <c r="B1572">
        <v>1417112</v>
      </c>
      <c r="D1572" t="s">
        <v>7</v>
      </c>
      <c r="E1572">
        <v>946602</v>
      </c>
      <c r="F1572">
        <v>9015884123</v>
      </c>
      <c r="G1572">
        <v>436</v>
      </c>
      <c r="H1572" t="s">
        <v>940</v>
      </c>
      <c r="I1572">
        <v>0</v>
      </c>
      <c r="J1572" t="s">
        <v>941</v>
      </c>
      <c r="K1572" t="s">
        <v>8</v>
      </c>
      <c r="L1572" t="s">
        <v>67</v>
      </c>
      <c r="M1572" t="s">
        <v>9</v>
      </c>
      <c r="N1572" t="s">
        <v>14</v>
      </c>
      <c r="O1572" s="2">
        <v>872826.11</v>
      </c>
      <c r="P1572" s="3">
        <v>6128.0429999999997</v>
      </c>
      <c r="Q1572" s="1">
        <v>46033</v>
      </c>
      <c r="R1572" s="1">
        <v>45992</v>
      </c>
      <c r="S1572" s="1">
        <v>46022</v>
      </c>
      <c r="V1572" s="8">
        <v>1</v>
      </c>
      <c r="W1572" t="s">
        <v>24</v>
      </c>
      <c r="X1572" t="s">
        <v>942</v>
      </c>
      <c r="Y1572" t="s">
        <v>10</v>
      </c>
      <c r="Z1572" t="s">
        <v>11</v>
      </c>
      <c r="AA1572">
        <v>62371</v>
      </c>
      <c r="AB1572">
        <v>18631653</v>
      </c>
      <c r="AC1572">
        <v>0</v>
      </c>
      <c r="AD1572" s="8"/>
    </row>
    <row r="1573" spans="1:30" x14ac:dyDescent="0.3">
      <c r="A1573" t="s">
        <v>1627</v>
      </c>
      <c r="B1573">
        <v>1420781</v>
      </c>
      <c r="D1573" t="s">
        <v>7</v>
      </c>
      <c r="E1573">
        <v>946680</v>
      </c>
      <c r="F1573">
        <v>9015884123</v>
      </c>
      <c r="G1573">
        <v>462</v>
      </c>
      <c r="H1573" t="s">
        <v>1286</v>
      </c>
      <c r="I1573">
        <v>0</v>
      </c>
      <c r="J1573" t="s">
        <v>1287</v>
      </c>
      <c r="K1573" t="s">
        <v>8</v>
      </c>
      <c r="L1573" t="s">
        <v>19</v>
      </c>
      <c r="M1573" t="s">
        <v>9</v>
      </c>
      <c r="N1573" t="s">
        <v>14</v>
      </c>
      <c r="O1573" s="2">
        <v>2908.16</v>
      </c>
      <c r="P1573" s="3">
        <v>14.718</v>
      </c>
      <c r="Q1573" s="1">
        <v>46033</v>
      </c>
      <c r="R1573" s="1">
        <v>45992</v>
      </c>
      <c r="S1573" s="1">
        <v>46022</v>
      </c>
      <c r="V1573" s="8">
        <v>1</v>
      </c>
      <c r="W1573" t="s">
        <v>24</v>
      </c>
      <c r="X1573" t="s">
        <v>1288</v>
      </c>
      <c r="Y1573" t="s">
        <v>10</v>
      </c>
      <c r="Z1573" t="s">
        <v>11</v>
      </c>
      <c r="AA1573">
        <v>62371</v>
      </c>
      <c r="AB1573">
        <v>20033949</v>
      </c>
      <c r="AC1573">
        <v>0</v>
      </c>
      <c r="AD1573" s="8"/>
    </row>
    <row r="1574" spans="1:30" x14ac:dyDescent="0.3">
      <c r="A1574" t="s">
        <v>1627</v>
      </c>
      <c r="B1574">
        <v>1428427</v>
      </c>
      <c r="D1574" t="s">
        <v>7</v>
      </c>
      <c r="E1574">
        <v>946738</v>
      </c>
      <c r="F1574">
        <v>9015884123</v>
      </c>
      <c r="G1574">
        <v>480</v>
      </c>
      <c r="H1574" t="s">
        <v>958</v>
      </c>
      <c r="I1574">
        <v>0</v>
      </c>
      <c r="J1574" t="s">
        <v>959</v>
      </c>
      <c r="K1574" t="s">
        <v>8</v>
      </c>
      <c r="L1574" t="s">
        <v>19</v>
      </c>
      <c r="M1574" t="s">
        <v>9</v>
      </c>
      <c r="N1574" t="s">
        <v>14</v>
      </c>
      <c r="O1574" s="2">
        <v>2176.83</v>
      </c>
      <c r="P1574" s="3">
        <v>13.342000000000001</v>
      </c>
      <c r="Q1574" s="1">
        <v>46033</v>
      </c>
      <c r="R1574" s="1">
        <v>45992</v>
      </c>
      <c r="S1574" s="1">
        <v>46022</v>
      </c>
      <c r="V1574" s="8">
        <v>1</v>
      </c>
      <c r="W1574" t="s">
        <v>24</v>
      </c>
      <c r="X1574" t="s">
        <v>960</v>
      </c>
      <c r="Y1574" t="s">
        <v>10</v>
      </c>
      <c r="Z1574" t="s">
        <v>11</v>
      </c>
      <c r="AA1574">
        <v>62371</v>
      </c>
      <c r="AB1574">
        <v>21491306</v>
      </c>
      <c r="AC1574">
        <v>1</v>
      </c>
      <c r="AD1574" s="8"/>
    </row>
    <row r="1575" spans="1:30" x14ac:dyDescent="0.3">
      <c r="A1575" t="s">
        <v>1627</v>
      </c>
      <c r="B1575">
        <v>1428434</v>
      </c>
      <c r="D1575" t="s">
        <v>7</v>
      </c>
      <c r="E1575">
        <v>946756</v>
      </c>
      <c r="F1575">
        <v>9015884123</v>
      </c>
      <c r="G1575">
        <v>486</v>
      </c>
      <c r="H1575" t="s">
        <v>961</v>
      </c>
      <c r="I1575">
        <v>0</v>
      </c>
      <c r="J1575" t="s">
        <v>962</v>
      </c>
      <c r="K1575" t="s">
        <v>8</v>
      </c>
      <c r="L1575" t="s">
        <v>15</v>
      </c>
      <c r="M1575" t="s">
        <v>9</v>
      </c>
      <c r="N1575" t="s">
        <v>14</v>
      </c>
      <c r="O1575" s="2">
        <v>0</v>
      </c>
      <c r="P1575" s="3">
        <v>0</v>
      </c>
      <c r="Q1575" s="1">
        <v>46033</v>
      </c>
      <c r="R1575" s="1">
        <v>45992</v>
      </c>
      <c r="S1575" s="1">
        <v>46022</v>
      </c>
      <c r="V1575" s="8">
        <v>1</v>
      </c>
      <c r="W1575" t="s">
        <v>24</v>
      </c>
      <c r="X1575" t="s">
        <v>963</v>
      </c>
      <c r="Y1575" t="s">
        <v>10</v>
      </c>
      <c r="Z1575" t="s">
        <v>11</v>
      </c>
      <c r="AA1575">
        <v>62371</v>
      </c>
      <c r="AB1575">
        <v>21491289</v>
      </c>
      <c r="AC1575">
        <v>1</v>
      </c>
      <c r="AD1575" s="8"/>
    </row>
    <row r="1576" spans="1:30" x14ac:dyDescent="0.3">
      <c r="A1576" t="s">
        <v>1627</v>
      </c>
      <c r="B1576">
        <v>1425190</v>
      </c>
      <c r="D1576" t="s">
        <v>7</v>
      </c>
      <c r="E1576">
        <v>946712</v>
      </c>
      <c r="F1576">
        <v>9015884123</v>
      </c>
      <c r="G1576">
        <v>471</v>
      </c>
      <c r="H1576" t="s">
        <v>1292</v>
      </c>
      <c r="I1576">
        <v>0</v>
      </c>
      <c r="J1576" t="s">
        <v>1293</v>
      </c>
      <c r="K1576" t="s">
        <v>8</v>
      </c>
      <c r="L1576" t="s">
        <v>67</v>
      </c>
      <c r="M1576" t="s">
        <v>9</v>
      </c>
      <c r="N1576" t="s">
        <v>14</v>
      </c>
      <c r="O1576" s="2">
        <v>156814.26</v>
      </c>
      <c r="P1576" s="3">
        <v>1452.0409999999999</v>
      </c>
      <c r="Q1576" s="1">
        <v>46033</v>
      </c>
      <c r="R1576" s="1">
        <v>45992</v>
      </c>
      <c r="S1576" s="1">
        <v>46022</v>
      </c>
      <c r="V1576" s="8">
        <v>1</v>
      </c>
      <c r="W1576" t="s">
        <v>24</v>
      </c>
      <c r="X1576" t="s">
        <v>1294</v>
      </c>
      <c r="Y1576" t="s">
        <v>10</v>
      </c>
      <c r="Z1576" t="s">
        <v>11</v>
      </c>
      <c r="AA1576">
        <v>62371</v>
      </c>
      <c r="AB1576">
        <v>18930907</v>
      </c>
      <c r="AC1576">
        <v>1</v>
      </c>
      <c r="AD1576" s="8"/>
    </row>
    <row r="1577" spans="1:30" x14ac:dyDescent="0.3">
      <c r="A1577" t="s">
        <v>1627</v>
      </c>
      <c r="B1577">
        <v>1428401</v>
      </c>
      <c r="D1577" t="s">
        <v>7</v>
      </c>
      <c r="E1577">
        <v>946718</v>
      </c>
      <c r="F1577">
        <v>9015884123</v>
      </c>
      <c r="G1577">
        <v>474</v>
      </c>
      <c r="H1577" t="s">
        <v>967</v>
      </c>
      <c r="I1577">
        <v>0</v>
      </c>
      <c r="J1577" t="s">
        <v>968</v>
      </c>
      <c r="K1577" t="s">
        <v>8</v>
      </c>
      <c r="L1577" t="s">
        <v>67</v>
      </c>
      <c r="M1577" t="s">
        <v>9</v>
      </c>
      <c r="N1577" t="s">
        <v>14</v>
      </c>
      <c r="O1577" s="2">
        <v>272170.03000000003</v>
      </c>
      <c r="P1577" s="3">
        <v>2520.192</v>
      </c>
      <c r="Q1577" s="1">
        <v>46033</v>
      </c>
      <c r="R1577" s="1">
        <v>45992</v>
      </c>
      <c r="S1577" s="1">
        <v>46022</v>
      </c>
      <c r="V1577" s="8">
        <v>1</v>
      </c>
      <c r="W1577" t="s">
        <v>24</v>
      </c>
      <c r="X1577" t="s">
        <v>969</v>
      </c>
      <c r="Y1577" t="s">
        <v>10</v>
      </c>
      <c r="Z1577" t="s">
        <v>11</v>
      </c>
      <c r="AA1577">
        <v>62371</v>
      </c>
      <c r="AB1577">
        <v>21376398</v>
      </c>
      <c r="AC1577">
        <v>1</v>
      </c>
      <c r="AD1577" s="8"/>
    </row>
    <row r="1578" spans="1:30" x14ac:dyDescent="0.3">
      <c r="A1578" t="s">
        <v>1627</v>
      </c>
      <c r="B1578">
        <v>1438084</v>
      </c>
      <c r="D1578" t="s">
        <v>7</v>
      </c>
      <c r="E1578">
        <v>946825</v>
      </c>
      <c r="F1578">
        <v>9015884123</v>
      </c>
      <c r="G1578">
        <v>509</v>
      </c>
      <c r="H1578" t="s">
        <v>484</v>
      </c>
      <c r="I1578">
        <v>0</v>
      </c>
      <c r="J1578" t="s">
        <v>485</v>
      </c>
      <c r="K1578" t="s">
        <v>8</v>
      </c>
      <c r="L1578" t="s">
        <v>15</v>
      </c>
      <c r="M1578" t="s">
        <v>9</v>
      </c>
      <c r="N1578" t="s">
        <v>14</v>
      </c>
      <c r="O1578" s="2">
        <v>0</v>
      </c>
      <c r="P1578" s="3">
        <v>3434.761</v>
      </c>
      <c r="Q1578" s="1">
        <v>46033</v>
      </c>
      <c r="R1578" s="1">
        <v>45992</v>
      </c>
      <c r="S1578" s="1">
        <v>46022</v>
      </c>
      <c r="V1578" s="8">
        <v>1</v>
      </c>
      <c r="W1578" t="s">
        <v>24</v>
      </c>
      <c r="X1578" t="s">
        <v>486</v>
      </c>
      <c r="Y1578" t="s">
        <v>10</v>
      </c>
      <c r="Z1578" t="s">
        <v>11</v>
      </c>
      <c r="AA1578">
        <v>62371</v>
      </c>
      <c r="AB1578">
        <v>21467892</v>
      </c>
      <c r="AC1578">
        <v>1</v>
      </c>
      <c r="AD1578" s="8"/>
    </row>
    <row r="1579" spans="1:30" x14ac:dyDescent="0.3">
      <c r="A1579" t="s">
        <v>1627</v>
      </c>
      <c r="B1579">
        <v>1428404</v>
      </c>
      <c r="D1579" t="s">
        <v>7</v>
      </c>
      <c r="E1579">
        <v>946732</v>
      </c>
      <c r="F1579">
        <v>9015884123</v>
      </c>
      <c r="G1579">
        <v>478</v>
      </c>
      <c r="H1579" t="s">
        <v>955</v>
      </c>
      <c r="I1579">
        <v>0</v>
      </c>
      <c r="J1579" t="s">
        <v>956</v>
      </c>
      <c r="K1579" t="s">
        <v>8</v>
      </c>
      <c r="L1579" t="s">
        <v>67</v>
      </c>
      <c r="M1579" t="s">
        <v>9</v>
      </c>
      <c r="N1579" t="s">
        <v>14</v>
      </c>
      <c r="O1579" s="2">
        <v>92678.17</v>
      </c>
      <c r="P1579" s="3">
        <v>858.16499999999996</v>
      </c>
      <c r="Q1579" s="1">
        <v>46033</v>
      </c>
      <c r="R1579" s="1">
        <v>45992</v>
      </c>
      <c r="S1579" s="1">
        <v>46022</v>
      </c>
      <c r="V1579" s="8">
        <v>1</v>
      </c>
      <c r="W1579" t="s">
        <v>24</v>
      </c>
      <c r="X1579" t="s">
        <v>957</v>
      </c>
      <c r="Y1579" t="s">
        <v>10</v>
      </c>
      <c r="Z1579" t="s">
        <v>11</v>
      </c>
      <c r="AA1579">
        <v>62371</v>
      </c>
      <c r="AB1579">
        <v>21376438</v>
      </c>
      <c r="AC1579">
        <v>1</v>
      </c>
      <c r="AD1579" s="8"/>
    </row>
    <row r="1580" spans="1:30" x14ac:dyDescent="0.3">
      <c r="A1580" t="s">
        <v>1627</v>
      </c>
      <c r="B1580">
        <v>1428435</v>
      </c>
      <c r="D1580" t="s">
        <v>7</v>
      </c>
      <c r="E1580">
        <v>946769</v>
      </c>
      <c r="F1580">
        <v>9015884123</v>
      </c>
      <c r="G1580">
        <v>490</v>
      </c>
      <c r="H1580" t="s">
        <v>1576</v>
      </c>
      <c r="I1580">
        <v>0</v>
      </c>
      <c r="J1580" t="s">
        <v>1577</v>
      </c>
      <c r="K1580" t="s">
        <v>8</v>
      </c>
      <c r="L1580" t="s">
        <v>67</v>
      </c>
      <c r="M1580" t="s">
        <v>9</v>
      </c>
      <c r="N1580" t="s">
        <v>14</v>
      </c>
      <c r="O1580" s="2">
        <v>248071.85</v>
      </c>
      <c r="P1580" s="3">
        <v>2297.0520000000001</v>
      </c>
      <c r="Q1580" s="1">
        <v>46033</v>
      </c>
      <c r="R1580" s="1">
        <v>45992</v>
      </c>
      <c r="S1580" s="1">
        <v>46022</v>
      </c>
      <c r="V1580" s="8">
        <v>1</v>
      </c>
      <c r="W1580" t="s">
        <v>24</v>
      </c>
      <c r="X1580" t="s">
        <v>1578</v>
      </c>
      <c r="Y1580" t="s">
        <v>10</v>
      </c>
      <c r="Z1580" t="s">
        <v>11</v>
      </c>
      <c r="AA1580">
        <v>62371</v>
      </c>
      <c r="AB1580">
        <v>21491295</v>
      </c>
      <c r="AC1580">
        <v>1</v>
      </c>
      <c r="AD1580" s="8"/>
    </row>
    <row r="1581" spans="1:30" x14ac:dyDescent="0.3">
      <c r="A1581" t="s">
        <v>1627</v>
      </c>
      <c r="B1581">
        <v>1428421</v>
      </c>
      <c r="D1581" t="s">
        <v>7</v>
      </c>
      <c r="E1581">
        <v>946775</v>
      </c>
      <c r="F1581">
        <v>9015884123</v>
      </c>
      <c r="G1581">
        <v>493</v>
      </c>
      <c r="H1581" t="s">
        <v>514</v>
      </c>
      <c r="I1581">
        <v>0</v>
      </c>
      <c r="J1581" t="s">
        <v>515</v>
      </c>
      <c r="K1581" t="s">
        <v>8</v>
      </c>
      <c r="L1581" t="s">
        <v>15</v>
      </c>
      <c r="M1581" t="s">
        <v>9</v>
      </c>
      <c r="N1581" t="s">
        <v>14</v>
      </c>
      <c r="O1581" s="2">
        <v>0</v>
      </c>
      <c r="P1581" s="3">
        <v>660.38499999999999</v>
      </c>
      <c r="Q1581" s="1">
        <v>46033</v>
      </c>
      <c r="R1581" s="1">
        <v>45992</v>
      </c>
      <c r="S1581" s="1">
        <v>46022</v>
      </c>
      <c r="V1581" s="8">
        <v>1</v>
      </c>
      <c r="W1581" t="s">
        <v>24</v>
      </c>
      <c r="X1581" t="s">
        <v>516</v>
      </c>
      <c r="Y1581" t="s">
        <v>10</v>
      </c>
      <c r="Z1581" t="s">
        <v>11</v>
      </c>
      <c r="AA1581">
        <v>62371</v>
      </c>
      <c r="AB1581">
        <v>21376482</v>
      </c>
      <c r="AC1581">
        <v>1</v>
      </c>
      <c r="AD1581" s="8"/>
    </row>
    <row r="1582" spans="1:30" x14ac:dyDescent="0.3">
      <c r="A1582" t="s">
        <v>1627</v>
      </c>
      <c r="B1582">
        <v>1428437</v>
      </c>
      <c r="D1582" t="s">
        <v>7</v>
      </c>
      <c r="E1582">
        <v>946794</v>
      </c>
      <c r="F1582">
        <v>9015884123</v>
      </c>
      <c r="G1582">
        <v>499</v>
      </c>
      <c r="H1582" t="s">
        <v>517</v>
      </c>
      <c r="I1582">
        <v>0</v>
      </c>
      <c r="J1582" t="s">
        <v>518</v>
      </c>
      <c r="K1582" t="s">
        <v>8</v>
      </c>
      <c r="L1582" t="s">
        <v>19</v>
      </c>
      <c r="M1582" t="s">
        <v>9</v>
      </c>
      <c r="N1582" t="s">
        <v>14</v>
      </c>
      <c r="O1582" s="2">
        <v>2331.66</v>
      </c>
      <c r="P1582" s="3">
        <v>14.291</v>
      </c>
      <c r="Q1582" s="1">
        <v>46033</v>
      </c>
      <c r="R1582" s="1">
        <v>45992</v>
      </c>
      <c r="S1582" s="1">
        <v>46022</v>
      </c>
      <c r="V1582" s="8">
        <v>1</v>
      </c>
      <c r="W1582" t="s">
        <v>24</v>
      </c>
      <c r="X1582" t="s">
        <v>519</v>
      </c>
      <c r="Y1582" t="s">
        <v>10</v>
      </c>
      <c r="Z1582" t="s">
        <v>11</v>
      </c>
      <c r="AA1582">
        <v>62371</v>
      </c>
      <c r="AB1582">
        <v>21491290</v>
      </c>
      <c r="AC1582">
        <v>1</v>
      </c>
      <c r="AD1582" s="8"/>
    </row>
    <row r="1583" spans="1:30" x14ac:dyDescent="0.3">
      <c r="A1583" t="s">
        <v>1627</v>
      </c>
      <c r="B1583">
        <v>1407503</v>
      </c>
      <c r="D1583" t="s">
        <v>7</v>
      </c>
      <c r="E1583">
        <v>946311</v>
      </c>
      <c r="F1583">
        <v>9015884123</v>
      </c>
      <c r="G1583">
        <v>327</v>
      </c>
      <c r="H1583" t="s">
        <v>907</v>
      </c>
      <c r="I1583">
        <v>0</v>
      </c>
      <c r="J1583" t="s">
        <v>908</v>
      </c>
      <c r="K1583" t="s">
        <v>8</v>
      </c>
      <c r="L1583" t="s">
        <v>67</v>
      </c>
      <c r="M1583" t="s">
        <v>9</v>
      </c>
      <c r="N1583" t="s">
        <v>14</v>
      </c>
      <c r="O1583" s="2">
        <v>1000366.93</v>
      </c>
      <c r="P1583" s="3">
        <v>7023.4970000000003</v>
      </c>
      <c r="Q1583" s="1">
        <v>46033</v>
      </c>
      <c r="R1583" s="1">
        <v>45992</v>
      </c>
      <c r="S1583" s="1">
        <v>46022</v>
      </c>
      <c r="V1583" s="8">
        <v>1</v>
      </c>
      <c r="W1583" t="s">
        <v>24</v>
      </c>
      <c r="X1583" t="s">
        <v>909</v>
      </c>
      <c r="Y1583" t="s">
        <v>10</v>
      </c>
      <c r="Z1583" t="s">
        <v>11</v>
      </c>
      <c r="AA1583">
        <v>62371</v>
      </c>
      <c r="AB1583">
        <v>19383328</v>
      </c>
      <c r="AC1583">
        <v>0</v>
      </c>
      <c r="AD1583" s="8"/>
    </row>
    <row r="1584" spans="1:30" x14ac:dyDescent="0.3">
      <c r="A1584" t="s">
        <v>1627</v>
      </c>
      <c r="B1584">
        <v>1407518</v>
      </c>
      <c r="D1584" t="s">
        <v>7</v>
      </c>
      <c r="E1584">
        <v>946325</v>
      </c>
      <c r="F1584">
        <v>9015884123</v>
      </c>
      <c r="G1584">
        <v>335</v>
      </c>
      <c r="H1584" t="s">
        <v>1250</v>
      </c>
      <c r="I1584">
        <v>0</v>
      </c>
      <c r="J1584" t="s">
        <v>1251</v>
      </c>
      <c r="K1584" t="s">
        <v>8</v>
      </c>
      <c r="L1584" t="s">
        <v>19</v>
      </c>
      <c r="M1584" t="s">
        <v>9</v>
      </c>
      <c r="N1584" t="s">
        <v>14</v>
      </c>
      <c r="O1584" s="2">
        <v>24585.75</v>
      </c>
      <c r="P1584" s="3">
        <v>124.42700000000001</v>
      </c>
      <c r="Q1584" s="1">
        <v>46033</v>
      </c>
      <c r="R1584" s="1">
        <v>45992</v>
      </c>
      <c r="S1584" s="1">
        <v>46022</v>
      </c>
      <c r="V1584" s="8">
        <v>1</v>
      </c>
      <c r="W1584" t="s">
        <v>24</v>
      </c>
      <c r="X1584" t="s">
        <v>1252</v>
      </c>
      <c r="Y1584" t="s">
        <v>10</v>
      </c>
      <c r="Z1584" t="s">
        <v>11</v>
      </c>
      <c r="AA1584">
        <v>62371</v>
      </c>
      <c r="AB1584">
        <v>19510026</v>
      </c>
      <c r="AC1584">
        <v>0</v>
      </c>
      <c r="AD1584" s="8"/>
    </row>
    <row r="1585" spans="1:30" x14ac:dyDescent="0.3">
      <c r="A1585" t="s">
        <v>1627</v>
      </c>
      <c r="B1585">
        <v>1412131</v>
      </c>
      <c r="D1585" t="s">
        <v>7</v>
      </c>
      <c r="E1585">
        <v>946359</v>
      </c>
      <c r="F1585">
        <v>9015884123</v>
      </c>
      <c r="G1585">
        <v>352</v>
      </c>
      <c r="H1585" t="s">
        <v>427</v>
      </c>
      <c r="I1585">
        <v>0</v>
      </c>
      <c r="J1585" t="s">
        <v>428</v>
      </c>
      <c r="K1585" t="s">
        <v>8</v>
      </c>
      <c r="L1585" t="s">
        <v>19</v>
      </c>
      <c r="M1585" t="s">
        <v>9</v>
      </c>
      <c r="N1585" t="s">
        <v>14</v>
      </c>
      <c r="O1585" s="2">
        <v>16733.650000000001</v>
      </c>
      <c r="P1585" s="3">
        <v>84.688000000000002</v>
      </c>
      <c r="Q1585" s="1">
        <v>46033</v>
      </c>
      <c r="R1585" s="1">
        <v>45992</v>
      </c>
      <c r="S1585" s="1">
        <v>46022</v>
      </c>
      <c r="V1585" s="8">
        <v>1</v>
      </c>
      <c r="W1585" t="s">
        <v>24</v>
      </c>
      <c r="X1585" t="s">
        <v>429</v>
      </c>
      <c r="Y1585" t="s">
        <v>10</v>
      </c>
      <c r="Z1585" t="s">
        <v>11</v>
      </c>
      <c r="AA1585">
        <v>62371</v>
      </c>
      <c r="AB1585">
        <v>19680216</v>
      </c>
      <c r="AC1585">
        <v>0</v>
      </c>
      <c r="AD1585" s="8"/>
    </row>
    <row r="1586" spans="1:30" x14ac:dyDescent="0.3">
      <c r="A1586" t="s">
        <v>1627</v>
      </c>
      <c r="B1586">
        <v>1412144</v>
      </c>
      <c r="D1586" t="s">
        <v>7</v>
      </c>
      <c r="E1586">
        <v>946396</v>
      </c>
      <c r="F1586">
        <v>9015884123</v>
      </c>
      <c r="G1586">
        <v>372</v>
      </c>
      <c r="H1586" t="s">
        <v>1443</v>
      </c>
      <c r="I1586">
        <v>0</v>
      </c>
      <c r="J1586" t="s">
        <v>1444</v>
      </c>
      <c r="K1586" t="s">
        <v>8</v>
      </c>
      <c r="L1586" t="s">
        <v>15</v>
      </c>
      <c r="M1586" t="s">
        <v>9</v>
      </c>
      <c r="N1586" t="s">
        <v>14</v>
      </c>
      <c r="O1586" s="2">
        <v>0</v>
      </c>
      <c r="P1586" s="3">
        <v>1457.1559999999999</v>
      </c>
      <c r="Q1586" s="1">
        <v>46033</v>
      </c>
      <c r="R1586" s="1">
        <v>45992</v>
      </c>
      <c r="S1586" s="1">
        <v>46022</v>
      </c>
      <c r="V1586" s="8">
        <v>1</v>
      </c>
      <c r="W1586" t="s">
        <v>24</v>
      </c>
      <c r="X1586" t="s">
        <v>1445</v>
      </c>
      <c r="Y1586" t="s">
        <v>10</v>
      </c>
      <c r="Z1586" t="s">
        <v>11</v>
      </c>
      <c r="AA1586">
        <v>62371</v>
      </c>
      <c r="AB1586">
        <v>21245164</v>
      </c>
      <c r="AC1586">
        <v>0</v>
      </c>
      <c r="AD1586" s="8"/>
    </row>
    <row r="1587" spans="1:30" x14ac:dyDescent="0.3">
      <c r="A1587" t="s">
        <v>1627</v>
      </c>
      <c r="B1587">
        <v>1412680</v>
      </c>
      <c r="D1587" t="s">
        <v>7</v>
      </c>
      <c r="E1587">
        <v>946421</v>
      </c>
      <c r="F1587">
        <v>9015884123</v>
      </c>
      <c r="G1587">
        <v>380</v>
      </c>
      <c r="H1587" t="s">
        <v>1268</v>
      </c>
      <c r="I1587">
        <v>0</v>
      </c>
      <c r="J1587" t="s">
        <v>1269</v>
      </c>
      <c r="K1587" t="s">
        <v>8</v>
      </c>
      <c r="L1587" t="s">
        <v>19</v>
      </c>
      <c r="M1587" t="s">
        <v>9</v>
      </c>
      <c r="N1587" t="s">
        <v>14</v>
      </c>
      <c r="O1587" s="2">
        <v>18373.27</v>
      </c>
      <c r="P1587" s="3">
        <v>92.986000000000004</v>
      </c>
      <c r="Q1587" s="1">
        <v>46033</v>
      </c>
      <c r="R1587" s="1">
        <v>45992</v>
      </c>
      <c r="S1587" s="1">
        <v>46022</v>
      </c>
      <c r="V1587" s="8">
        <v>1</v>
      </c>
      <c r="W1587" t="s">
        <v>24</v>
      </c>
      <c r="X1587" t="s">
        <v>1270</v>
      </c>
      <c r="Y1587" t="s">
        <v>10</v>
      </c>
      <c r="Z1587" t="s">
        <v>11</v>
      </c>
      <c r="AA1587">
        <v>62371</v>
      </c>
      <c r="AB1587">
        <v>17055396</v>
      </c>
      <c r="AC1587">
        <v>0</v>
      </c>
      <c r="AD1587" s="8"/>
    </row>
    <row r="1588" spans="1:30" x14ac:dyDescent="0.3">
      <c r="A1588" t="s">
        <v>1627</v>
      </c>
      <c r="B1588">
        <v>1415530</v>
      </c>
      <c r="D1588" t="s">
        <v>7</v>
      </c>
      <c r="E1588">
        <v>946525</v>
      </c>
      <c r="F1588">
        <v>9015884123</v>
      </c>
      <c r="G1588">
        <v>413</v>
      </c>
      <c r="H1588" t="s">
        <v>1280</v>
      </c>
      <c r="I1588">
        <v>0</v>
      </c>
      <c r="J1588" t="s">
        <v>1281</v>
      </c>
      <c r="K1588" t="s">
        <v>8</v>
      </c>
      <c r="L1588" t="s">
        <v>15</v>
      </c>
      <c r="M1588" t="s">
        <v>9</v>
      </c>
      <c r="N1588" t="s">
        <v>14</v>
      </c>
      <c r="O1588" s="2">
        <v>0</v>
      </c>
      <c r="P1588" s="3">
        <v>11294.402</v>
      </c>
      <c r="Q1588" s="1">
        <v>46033</v>
      </c>
      <c r="R1588" s="1">
        <v>45992</v>
      </c>
      <c r="S1588" s="1">
        <v>46022</v>
      </c>
      <c r="V1588" s="8">
        <v>1</v>
      </c>
      <c r="W1588" t="s">
        <v>24</v>
      </c>
      <c r="X1588" t="s">
        <v>1282</v>
      </c>
      <c r="Y1588" t="s">
        <v>10</v>
      </c>
      <c r="Z1588" t="s">
        <v>11</v>
      </c>
      <c r="AA1588">
        <v>62371</v>
      </c>
      <c r="AB1588">
        <v>19391536</v>
      </c>
      <c r="AC1588">
        <v>0</v>
      </c>
      <c r="AD1588" s="8"/>
    </row>
    <row r="1589" spans="1:30" x14ac:dyDescent="0.3">
      <c r="A1589" t="s">
        <v>1627</v>
      </c>
      <c r="B1589">
        <v>1418013</v>
      </c>
      <c r="D1589" t="s">
        <v>7</v>
      </c>
      <c r="E1589">
        <v>946628</v>
      </c>
      <c r="F1589">
        <v>9015884123</v>
      </c>
      <c r="G1589">
        <v>444</v>
      </c>
      <c r="H1589" t="s">
        <v>472</v>
      </c>
      <c r="I1589">
        <v>0</v>
      </c>
      <c r="J1589" t="s">
        <v>473</v>
      </c>
      <c r="K1589" t="s">
        <v>8</v>
      </c>
      <c r="L1589" t="s">
        <v>15</v>
      </c>
      <c r="M1589" t="s">
        <v>9</v>
      </c>
      <c r="N1589" t="s">
        <v>14</v>
      </c>
      <c r="O1589" s="2">
        <v>0</v>
      </c>
      <c r="P1589" s="3">
        <v>6826.0839999999998</v>
      </c>
      <c r="Q1589" s="1">
        <v>46033</v>
      </c>
      <c r="R1589" s="1">
        <v>45992</v>
      </c>
      <c r="S1589" s="1">
        <v>46022</v>
      </c>
      <c r="V1589" s="8">
        <v>1</v>
      </c>
      <c r="W1589" t="s">
        <v>24</v>
      </c>
      <c r="X1589" t="s">
        <v>474</v>
      </c>
      <c r="Y1589" t="s">
        <v>10</v>
      </c>
      <c r="Z1589" t="s">
        <v>11</v>
      </c>
      <c r="AA1589">
        <v>62371</v>
      </c>
      <c r="AB1589">
        <v>19389799</v>
      </c>
      <c r="AC1589">
        <v>0</v>
      </c>
      <c r="AD1589" s="8"/>
    </row>
    <row r="1590" spans="1:30" x14ac:dyDescent="0.3">
      <c r="A1590" t="s">
        <v>1627</v>
      </c>
      <c r="B1590">
        <v>1428433</v>
      </c>
      <c r="D1590" t="s">
        <v>7</v>
      </c>
      <c r="E1590">
        <v>946747</v>
      </c>
      <c r="F1590">
        <v>9015884123</v>
      </c>
      <c r="G1590">
        <v>483</v>
      </c>
      <c r="H1590" t="s">
        <v>478</v>
      </c>
      <c r="I1590">
        <v>0</v>
      </c>
      <c r="J1590" t="s">
        <v>479</v>
      </c>
      <c r="K1590" t="s">
        <v>8</v>
      </c>
      <c r="L1590" t="s">
        <v>18</v>
      </c>
      <c r="M1590" t="s">
        <v>9</v>
      </c>
      <c r="N1590" t="s">
        <v>14</v>
      </c>
      <c r="O1590" s="2">
        <v>-0.91</v>
      </c>
      <c r="P1590" s="3">
        <v>0</v>
      </c>
      <c r="Q1590" s="1">
        <v>46033</v>
      </c>
      <c r="R1590" s="1">
        <v>45992</v>
      </c>
      <c r="S1590" s="1">
        <v>46022</v>
      </c>
      <c r="V1590" s="8">
        <v>1</v>
      </c>
      <c r="W1590" t="s">
        <v>24</v>
      </c>
      <c r="X1590" t="s">
        <v>480</v>
      </c>
      <c r="Y1590" t="s">
        <v>10</v>
      </c>
      <c r="Z1590" t="s">
        <v>11</v>
      </c>
      <c r="AA1590">
        <v>62371</v>
      </c>
      <c r="AB1590">
        <v>21491300</v>
      </c>
      <c r="AC1590">
        <v>1</v>
      </c>
      <c r="AD1590" s="8"/>
    </row>
    <row r="1591" spans="1:30" x14ac:dyDescent="0.3">
      <c r="A1591" t="s">
        <v>1627</v>
      </c>
      <c r="B1591">
        <v>1428436</v>
      </c>
      <c r="D1591" t="s">
        <v>7</v>
      </c>
      <c r="E1591">
        <v>946787</v>
      </c>
      <c r="F1591">
        <v>9015884123</v>
      </c>
      <c r="G1591">
        <v>497</v>
      </c>
      <c r="H1591" t="s">
        <v>1461</v>
      </c>
      <c r="I1591">
        <v>0</v>
      </c>
      <c r="J1591" t="s">
        <v>1462</v>
      </c>
      <c r="K1591" t="s">
        <v>8</v>
      </c>
      <c r="L1591" t="s">
        <v>15</v>
      </c>
      <c r="M1591" t="s">
        <v>9</v>
      </c>
      <c r="N1591" t="s">
        <v>14</v>
      </c>
      <c r="O1591" s="2">
        <v>0</v>
      </c>
      <c r="P1591" s="3">
        <v>2383.38</v>
      </c>
      <c r="Q1591" s="1">
        <v>46033</v>
      </c>
      <c r="R1591" s="1">
        <v>45992</v>
      </c>
      <c r="S1591" s="1">
        <v>46022</v>
      </c>
      <c r="V1591" s="8">
        <v>1</v>
      </c>
      <c r="W1591" t="s">
        <v>24</v>
      </c>
      <c r="X1591" t="s">
        <v>1463</v>
      </c>
      <c r="Y1591" t="s">
        <v>10</v>
      </c>
      <c r="Z1591" t="s">
        <v>11</v>
      </c>
      <c r="AA1591">
        <v>62371</v>
      </c>
      <c r="AB1591">
        <v>21491307</v>
      </c>
      <c r="AC1591">
        <v>1</v>
      </c>
      <c r="AD1591" s="8"/>
    </row>
    <row r="1592" spans="1:30" x14ac:dyDescent="0.3">
      <c r="A1592" t="s">
        <v>1627</v>
      </c>
      <c r="B1592">
        <v>1438068</v>
      </c>
      <c r="D1592" t="s">
        <v>7</v>
      </c>
      <c r="E1592">
        <v>946822</v>
      </c>
      <c r="F1592">
        <v>9015884123</v>
      </c>
      <c r="G1592">
        <v>508</v>
      </c>
      <c r="H1592" t="s">
        <v>1301</v>
      </c>
      <c r="I1592">
        <v>0</v>
      </c>
      <c r="J1592" t="s">
        <v>1302</v>
      </c>
      <c r="K1592" t="s">
        <v>8</v>
      </c>
      <c r="L1592" t="s">
        <v>15</v>
      </c>
      <c r="M1592" t="s">
        <v>9</v>
      </c>
      <c r="N1592" t="s">
        <v>14</v>
      </c>
      <c r="O1592" s="2">
        <v>0</v>
      </c>
      <c r="P1592" s="3">
        <v>24365.537</v>
      </c>
      <c r="Q1592" s="1">
        <v>46033</v>
      </c>
      <c r="R1592" s="1">
        <v>45992</v>
      </c>
      <c r="S1592" s="1">
        <v>46022</v>
      </c>
      <c r="V1592" s="8">
        <v>1</v>
      </c>
      <c r="W1592" t="s">
        <v>24</v>
      </c>
      <c r="X1592" t="s">
        <v>1303</v>
      </c>
      <c r="Y1592" t="s">
        <v>10</v>
      </c>
      <c r="Z1592" t="s">
        <v>11</v>
      </c>
      <c r="AA1592">
        <v>62371</v>
      </c>
      <c r="AB1592">
        <v>21376530</v>
      </c>
      <c r="AC1592">
        <v>1</v>
      </c>
      <c r="AD1592" s="8"/>
    </row>
    <row r="1593" spans="1:30" x14ac:dyDescent="0.3">
      <c r="A1593" t="s">
        <v>1627</v>
      </c>
      <c r="B1593">
        <v>1428404</v>
      </c>
      <c r="D1593" t="s">
        <v>7</v>
      </c>
      <c r="E1593">
        <v>946732</v>
      </c>
      <c r="F1593">
        <v>9015884123</v>
      </c>
      <c r="G1593">
        <v>478</v>
      </c>
      <c r="H1593" t="s">
        <v>955</v>
      </c>
      <c r="I1593">
        <v>0</v>
      </c>
      <c r="J1593" t="s">
        <v>956</v>
      </c>
      <c r="K1593" t="s">
        <v>8</v>
      </c>
      <c r="L1593" t="s">
        <v>15</v>
      </c>
      <c r="M1593" t="s">
        <v>9</v>
      </c>
      <c r="N1593" t="s">
        <v>14</v>
      </c>
      <c r="O1593" s="2">
        <v>0</v>
      </c>
      <c r="P1593" s="3">
        <v>858.16499999999996</v>
      </c>
      <c r="Q1593" s="1">
        <v>46033</v>
      </c>
      <c r="R1593" s="1">
        <v>45992</v>
      </c>
      <c r="S1593" s="1">
        <v>46022</v>
      </c>
      <c r="V1593" s="8">
        <v>1</v>
      </c>
      <c r="W1593" t="s">
        <v>24</v>
      </c>
      <c r="X1593" t="s">
        <v>957</v>
      </c>
      <c r="Y1593" t="s">
        <v>10</v>
      </c>
      <c r="Z1593" t="s">
        <v>11</v>
      </c>
      <c r="AA1593">
        <v>62371</v>
      </c>
      <c r="AB1593">
        <v>21376438</v>
      </c>
      <c r="AC1593">
        <v>1</v>
      </c>
      <c r="AD1593" s="8"/>
    </row>
    <row r="1594" spans="1:30" x14ac:dyDescent="0.3">
      <c r="A1594" t="s">
        <v>1627</v>
      </c>
      <c r="B1594">
        <v>1428407</v>
      </c>
      <c r="D1594" t="s">
        <v>7</v>
      </c>
      <c r="E1594">
        <v>946750</v>
      </c>
      <c r="F1594">
        <v>9015884123</v>
      </c>
      <c r="G1594">
        <v>484</v>
      </c>
      <c r="H1594" t="s">
        <v>1295</v>
      </c>
      <c r="I1594">
        <v>0</v>
      </c>
      <c r="J1594" t="s">
        <v>1296</v>
      </c>
      <c r="K1594" t="s">
        <v>8</v>
      </c>
      <c r="L1594" t="s">
        <v>67</v>
      </c>
      <c r="M1594" t="s">
        <v>9</v>
      </c>
      <c r="N1594" t="s">
        <v>14</v>
      </c>
      <c r="O1594" s="2">
        <v>85071.71</v>
      </c>
      <c r="P1594" s="3">
        <v>787.73199999999997</v>
      </c>
      <c r="Q1594" s="1">
        <v>46033</v>
      </c>
      <c r="R1594" s="1">
        <v>45992</v>
      </c>
      <c r="S1594" s="1">
        <v>46022</v>
      </c>
      <c r="V1594" s="8">
        <v>1</v>
      </c>
      <c r="W1594" t="s">
        <v>24</v>
      </c>
      <c r="X1594" t="s">
        <v>1297</v>
      </c>
      <c r="Y1594" t="s">
        <v>10</v>
      </c>
      <c r="Z1594" t="s">
        <v>11</v>
      </c>
      <c r="AA1594">
        <v>62371</v>
      </c>
      <c r="AB1594">
        <v>21376402</v>
      </c>
      <c r="AC1594">
        <v>1</v>
      </c>
      <c r="AD1594" s="8"/>
    </row>
    <row r="1595" spans="1:30" x14ac:dyDescent="0.3">
      <c r="A1595" t="s">
        <v>1627</v>
      </c>
      <c r="B1595">
        <v>1444791</v>
      </c>
      <c r="D1595" t="s">
        <v>7</v>
      </c>
      <c r="E1595">
        <v>946862</v>
      </c>
      <c r="F1595">
        <v>9015884123</v>
      </c>
      <c r="G1595">
        <v>521</v>
      </c>
      <c r="H1595" t="s">
        <v>526</v>
      </c>
      <c r="I1595">
        <v>0</v>
      </c>
      <c r="J1595" t="s">
        <v>527</v>
      </c>
      <c r="K1595" t="s">
        <v>8</v>
      </c>
      <c r="L1595" t="s">
        <v>15</v>
      </c>
      <c r="M1595" t="s">
        <v>9</v>
      </c>
      <c r="N1595" t="s">
        <v>14</v>
      </c>
      <c r="O1595" s="2">
        <v>0</v>
      </c>
      <c r="P1595" s="3">
        <v>53961.294999999998</v>
      </c>
      <c r="Q1595" s="1">
        <v>46033</v>
      </c>
      <c r="R1595" s="1">
        <v>45992</v>
      </c>
      <c r="S1595" s="1">
        <v>46022</v>
      </c>
      <c r="V1595" s="8">
        <v>2</v>
      </c>
      <c r="W1595" t="s">
        <v>24</v>
      </c>
      <c r="X1595" t="s">
        <v>528</v>
      </c>
      <c r="Y1595" t="s">
        <v>10</v>
      </c>
      <c r="Z1595" t="s">
        <v>11</v>
      </c>
      <c r="AA1595">
        <v>62371</v>
      </c>
      <c r="AB1595">
        <v>17055446</v>
      </c>
      <c r="AC1595">
        <v>1</v>
      </c>
      <c r="AD1595" s="8"/>
    </row>
    <row r="1596" spans="1:30" x14ac:dyDescent="0.3">
      <c r="A1596" t="s">
        <v>1627</v>
      </c>
      <c r="B1596">
        <v>1446201</v>
      </c>
      <c r="D1596" t="s">
        <v>7</v>
      </c>
      <c r="E1596">
        <v>946884</v>
      </c>
      <c r="F1596">
        <v>9015884123</v>
      </c>
      <c r="G1596">
        <v>526</v>
      </c>
      <c r="H1596" t="s">
        <v>538</v>
      </c>
      <c r="I1596">
        <v>0</v>
      </c>
      <c r="J1596" t="s">
        <v>539</v>
      </c>
      <c r="K1596" t="s">
        <v>8</v>
      </c>
      <c r="L1596" t="s">
        <v>67</v>
      </c>
      <c r="M1596" t="s">
        <v>9</v>
      </c>
      <c r="N1596" t="s">
        <v>14</v>
      </c>
      <c r="O1596" s="2">
        <v>1245651.71</v>
      </c>
      <c r="P1596" s="3">
        <v>11534.266</v>
      </c>
      <c r="Q1596" s="1">
        <v>46033</v>
      </c>
      <c r="R1596" s="1">
        <v>45992</v>
      </c>
      <c r="S1596" s="1">
        <v>46022</v>
      </c>
      <c r="V1596" s="8">
        <v>1</v>
      </c>
      <c r="W1596" t="s">
        <v>24</v>
      </c>
      <c r="X1596" t="s">
        <v>540</v>
      </c>
      <c r="Y1596" t="s">
        <v>10</v>
      </c>
      <c r="Z1596" t="s">
        <v>11</v>
      </c>
      <c r="AA1596">
        <v>62371</v>
      </c>
      <c r="AB1596">
        <v>18415479</v>
      </c>
      <c r="AC1596">
        <v>1</v>
      </c>
      <c r="AD1596" s="8"/>
    </row>
    <row r="1597" spans="1:30" x14ac:dyDescent="0.3">
      <c r="A1597" t="s">
        <v>1627</v>
      </c>
      <c r="B1597">
        <v>1446202</v>
      </c>
      <c r="D1597" t="s">
        <v>7</v>
      </c>
      <c r="E1597">
        <v>946887</v>
      </c>
      <c r="F1597">
        <v>9015884123</v>
      </c>
      <c r="G1597">
        <v>527</v>
      </c>
      <c r="H1597" t="s">
        <v>1470</v>
      </c>
      <c r="I1597">
        <v>0</v>
      </c>
      <c r="J1597" t="s">
        <v>1471</v>
      </c>
      <c r="K1597" t="s">
        <v>8</v>
      </c>
      <c r="L1597" t="s">
        <v>15</v>
      </c>
      <c r="M1597" t="s">
        <v>9</v>
      </c>
      <c r="N1597" t="s">
        <v>14</v>
      </c>
      <c r="O1597" s="2">
        <v>0</v>
      </c>
      <c r="P1597" s="3">
        <v>1771.2449999999999</v>
      </c>
      <c r="Q1597" s="1">
        <v>46033</v>
      </c>
      <c r="R1597" s="1">
        <v>45992</v>
      </c>
      <c r="S1597" s="1">
        <v>46022</v>
      </c>
      <c r="V1597" s="8">
        <v>1</v>
      </c>
      <c r="W1597" t="s">
        <v>24</v>
      </c>
      <c r="X1597" t="s">
        <v>1472</v>
      </c>
      <c r="Y1597" t="s">
        <v>10</v>
      </c>
      <c r="Z1597" t="s">
        <v>11</v>
      </c>
      <c r="AA1597">
        <v>62371</v>
      </c>
      <c r="AB1597">
        <v>18629844</v>
      </c>
      <c r="AC1597">
        <v>1</v>
      </c>
      <c r="AD1597" s="8"/>
    </row>
    <row r="1598" spans="1:30" x14ac:dyDescent="0.3">
      <c r="A1598" t="s">
        <v>1627</v>
      </c>
      <c r="B1598">
        <v>1449294</v>
      </c>
      <c r="D1598" t="s">
        <v>7</v>
      </c>
      <c r="E1598">
        <v>949191</v>
      </c>
      <c r="F1598">
        <v>9015884123</v>
      </c>
      <c r="G1598">
        <v>534</v>
      </c>
      <c r="H1598" t="s">
        <v>550</v>
      </c>
      <c r="I1598">
        <v>0</v>
      </c>
      <c r="J1598" t="s">
        <v>551</v>
      </c>
      <c r="K1598" t="s">
        <v>8</v>
      </c>
      <c r="L1598" t="s">
        <v>15</v>
      </c>
      <c r="M1598" t="s">
        <v>9</v>
      </c>
      <c r="N1598" t="s">
        <v>14</v>
      </c>
      <c r="O1598" s="2">
        <v>0</v>
      </c>
      <c r="P1598" s="3">
        <v>1308.434</v>
      </c>
      <c r="Q1598" s="1">
        <v>46035</v>
      </c>
      <c r="R1598" s="1">
        <v>46011</v>
      </c>
      <c r="S1598" s="1">
        <v>46022</v>
      </c>
      <c r="V1598" s="8">
        <v>1</v>
      </c>
      <c r="W1598" t="s">
        <v>24</v>
      </c>
      <c r="X1598" t="s">
        <v>552</v>
      </c>
      <c r="Y1598" t="s">
        <v>10</v>
      </c>
      <c r="Z1598" t="s">
        <v>11</v>
      </c>
      <c r="AA1598">
        <v>62371</v>
      </c>
      <c r="AB1598">
        <v>19552434</v>
      </c>
      <c r="AC1598">
        <v>1</v>
      </c>
      <c r="AD1598" s="8"/>
    </row>
    <row r="1599" spans="1:30" x14ac:dyDescent="0.3">
      <c r="A1599" t="s">
        <v>1627</v>
      </c>
      <c r="B1599">
        <v>1449294</v>
      </c>
      <c r="D1599" t="s">
        <v>7</v>
      </c>
      <c r="E1599">
        <v>949191</v>
      </c>
      <c r="F1599">
        <v>9015884123</v>
      </c>
      <c r="G1599">
        <v>534</v>
      </c>
      <c r="H1599" t="s">
        <v>550</v>
      </c>
      <c r="I1599">
        <v>0</v>
      </c>
      <c r="J1599" t="s">
        <v>551</v>
      </c>
      <c r="K1599" t="s">
        <v>8</v>
      </c>
      <c r="L1599" t="s">
        <v>67</v>
      </c>
      <c r="M1599" t="s">
        <v>9</v>
      </c>
      <c r="N1599" t="s">
        <v>14</v>
      </c>
      <c r="O1599" s="2">
        <v>141305.31</v>
      </c>
      <c r="P1599" s="3">
        <v>1308.434</v>
      </c>
      <c r="Q1599" s="1">
        <v>46035</v>
      </c>
      <c r="R1599" s="1">
        <v>46011</v>
      </c>
      <c r="S1599" s="1">
        <v>46022</v>
      </c>
      <c r="V1599" s="8">
        <v>1</v>
      </c>
      <c r="W1599" t="s">
        <v>24</v>
      </c>
      <c r="X1599" t="s">
        <v>552</v>
      </c>
      <c r="Y1599" t="s">
        <v>10</v>
      </c>
      <c r="Z1599" t="s">
        <v>11</v>
      </c>
      <c r="AA1599">
        <v>62371</v>
      </c>
      <c r="AB1599">
        <v>19552434</v>
      </c>
      <c r="AC1599">
        <v>1</v>
      </c>
      <c r="AD1599" s="8"/>
    </row>
    <row r="1600" spans="1:30" x14ac:dyDescent="0.3">
      <c r="A1600" t="s">
        <v>1627</v>
      </c>
      <c r="B1600">
        <v>1446206</v>
      </c>
      <c r="D1600" t="s">
        <v>7</v>
      </c>
      <c r="E1600">
        <v>946901</v>
      </c>
      <c r="F1600">
        <v>9015884123</v>
      </c>
      <c r="G1600">
        <v>531</v>
      </c>
      <c r="H1600" t="s">
        <v>1612</v>
      </c>
      <c r="I1600">
        <v>0</v>
      </c>
      <c r="J1600" t="s">
        <v>1613</v>
      </c>
      <c r="K1600" t="s">
        <v>8</v>
      </c>
      <c r="L1600" t="s">
        <v>18</v>
      </c>
      <c r="M1600" t="s">
        <v>9</v>
      </c>
      <c r="N1600" t="s">
        <v>14</v>
      </c>
      <c r="O1600" s="2">
        <v>1.89</v>
      </c>
      <c r="P1600" s="3">
        <v>0</v>
      </c>
      <c r="Q1600" s="1">
        <v>46033</v>
      </c>
      <c r="R1600" s="1">
        <v>45992</v>
      </c>
      <c r="S1600" s="1">
        <v>46022</v>
      </c>
      <c r="V1600" s="8">
        <v>1</v>
      </c>
      <c r="W1600" t="s">
        <v>24</v>
      </c>
      <c r="X1600" t="s">
        <v>1614</v>
      </c>
      <c r="Y1600" t="s">
        <v>10</v>
      </c>
      <c r="Z1600" t="s">
        <v>11</v>
      </c>
      <c r="AA1600">
        <v>62371</v>
      </c>
      <c r="AB1600">
        <v>19594784</v>
      </c>
      <c r="AC1600">
        <v>1</v>
      </c>
      <c r="AD1600" s="8"/>
    </row>
    <row r="1601" spans="1:30" x14ac:dyDescent="0.3">
      <c r="A1601" t="s">
        <v>1627</v>
      </c>
      <c r="B1601">
        <v>1282989</v>
      </c>
      <c r="D1601" t="s">
        <v>7</v>
      </c>
      <c r="E1601">
        <v>945192</v>
      </c>
      <c r="F1601">
        <v>9015884123</v>
      </c>
      <c r="G1601">
        <v>5</v>
      </c>
      <c r="H1601" t="s">
        <v>1307</v>
      </c>
      <c r="I1601">
        <v>0</v>
      </c>
      <c r="J1601" t="s">
        <v>1308</v>
      </c>
      <c r="K1601" t="s">
        <v>8</v>
      </c>
      <c r="L1601" t="s">
        <v>15</v>
      </c>
      <c r="M1601" t="s">
        <v>9</v>
      </c>
      <c r="N1601" t="s">
        <v>14</v>
      </c>
      <c r="O1601" s="2">
        <v>0</v>
      </c>
      <c r="P1601" s="3">
        <v>171.96899999999999</v>
      </c>
      <c r="Q1601" s="1">
        <v>46033</v>
      </c>
      <c r="R1601" s="1">
        <v>45992</v>
      </c>
      <c r="S1601" s="1">
        <v>46022</v>
      </c>
      <c r="V1601" s="8">
        <v>1</v>
      </c>
      <c r="W1601" t="s">
        <v>24</v>
      </c>
      <c r="X1601" t="s">
        <v>1309</v>
      </c>
      <c r="Y1601" t="s">
        <v>10</v>
      </c>
      <c r="Z1601" t="s">
        <v>11</v>
      </c>
      <c r="AA1601">
        <v>62371</v>
      </c>
      <c r="AB1601">
        <v>18320485</v>
      </c>
      <c r="AC1601">
        <v>1</v>
      </c>
      <c r="AD1601" s="8"/>
    </row>
    <row r="1602" spans="1:30" x14ac:dyDescent="0.3">
      <c r="A1602" t="s">
        <v>1627</v>
      </c>
      <c r="B1602">
        <v>1308499</v>
      </c>
      <c r="D1602" t="s">
        <v>7</v>
      </c>
      <c r="E1602">
        <v>945175</v>
      </c>
      <c r="F1602">
        <v>9015884123</v>
      </c>
      <c r="G1602">
        <v>40</v>
      </c>
      <c r="H1602" t="s">
        <v>529</v>
      </c>
      <c r="I1602">
        <v>0</v>
      </c>
      <c r="J1602" t="s">
        <v>530</v>
      </c>
      <c r="K1602" t="s">
        <v>8</v>
      </c>
      <c r="L1602" t="s">
        <v>18</v>
      </c>
      <c r="M1602" t="s">
        <v>9</v>
      </c>
      <c r="N1602" t="s">
        <v>14</v>
      </c>
      <c r="O1602" s="2">
        <v>-0.78</v>
      </c>
      <c r="P1602" s="3">
        <v>0</v>
      </c>
      <c r="Q1602" s="1">
        <v>46033</v>
      </c>
      <c r="R1602" s="1">
        <v>45992</v>
      </c>
      <c r="S1602" s="1">
        <v>46022</v>
      </c>
      <c r="V1602" s="8">
        <v>1</v>
      </c>
      <c r="W1602" t="s">
        <v>24</v>
      </c>
      <c r="X1602" t="s">
        <v>531</v>
      </c>
      <c r="Y1602" t="s">
        <v>10</v>
      </c>
      <c r="Z1602" t="s">
        <v>11</v>
      </c>
      <c r="AA1602">
        <v>62371</v>
      </c>
      <c r="AB1602">
        <v>17530931</v>
      </c>
      <c r="AC1602">
        <v>0</v>
      </c>
      <c r="AD1602" s="8"/>
    </row>
    <row r="1603" spans="1:30" x14ac:dyDescent="0.3">
      <c r="A1603" t="s">
        <v>1627</v>
      </c>
      <c r="B1603">
        <v>1296899</v>
      </c>
      <c r="D1603" t="s">
        <v>7</v>
      </c>
      <c r="E1603">
        <v>945123</v>
      </c>
      <c r="F1603">
        <v>9015884123</v>
      </c>
      <c r="G1603">
        <v>14</v>
      </c>
      <c r="H1603" t="s">
        <v>988</v>
      </c>
      <c r="I1603">
        <v>0</v>
      </c>
      <c r="J1603" t="s">
        <v>989</v>
      </c>
      <c r="K1603" t="s">
        <v>8</v>
      </c>
      <c r="L1603" t="s">
        <v>18</v>
      </c>
      <c r="M1603" t="s">
        <v>9</v>
      </c>
      <c r="N1603" t="s">
        <v>14</v>
      </c>
      <c r="O1603" s="2">
        <v>-1.62</v>
      </c>
      <c r="P1603" s="3">
        <v>0</v>
      </c>
      <c r="Q1603" s="1">
        <v>46033</v>
      </c>
      <c r="R1603" s="1">
        <v>45992</v>
      </c>
      <c r="S1603" s="1">
        <v>46022</v>
      </c>
      <c r="V1603" s="8">
        <v>1</v>
      </c>
      <c r="W1603" t="s">
        <v>24</v>
      </c>
      <c r="X1603" t="s">
        <v>990</v>
      </c>
      <c r="Y1603" t="s">
        <v>10</v>
      </c>
      <c r="Z1603" t="s">
        <v>11</v>
      </c>
      <c r="AA1603">
        <v>62371</v>
      </c>
      <c r="AB1603">
        <v>21394691</v>
      </c>
      <c r="AC1603">
        <v>1</v>
      </c>
      <c r="AD1603" s="8"/>
    </row>
    <row r="1604" spans="1:30" x14ac:dyDescent="0.3">
      <c r="A1604" t="s">
        <v>1627</v>
      </c>
      <c r="B1604">
        <v>1304933</v>
      </c>
      <c r="D1604" t="s">
        <v>7</v>
      </c>
      <c r="E1604">
        <v>945167</v>
      </c>
      <c r="F1604">
        <v>9015884123</v>
      </c>
      <c r="G1604">
        <v>36</v>
      </c>
      <c r="H1604" t="s">
        <v>1582</v>
      </c>
      <c r="I1604">
        <v>0</v>
      </c>
      <c r="J1604" t="s">
        <v>1583</v>
      </c>
      <c r="K1604" t="s">
        <v>8</v>
      </c>
      <c r="L1604" t="s">
        <v>15</v>
      </c>
      <c r="M1604" t="s">
        <v>9</v>
      </c>
      <c r="N1604" t="s">
        <v>14</v>
      </c>
      <c r="O1604" s="2">
        <v>0</v>
      </c>
      <c r="P1604" s="3">
        <v>7896.4589999999998</v>
      </c>
      <c r="Q1604" s="1">
        <v>46033</v>
      </c>
      <c r="R1604" s="1">
        <v>45992</v>
      </c>
      <c r="S1604" s="1">
        <v>46022</v>
      </c>
      <c r="V1604" s="8">
        <v>1</v>
      </c>
      <c r="W1604" t="s">
        <v>24</v>
      </c>
      <c r="X1604" t="s">
        <v>1584</v>
      </c>
      <c r="Y1604" t="s">
        <v>10</v>
      </c>
      <c r="Z1604" t="s">
        <v>11</v>
      </c>
      <c r="AA1604">
        <v>62371</v>
      </c>
      <c r="AB1604">
        <v>17058905</v>
      </c>
      <c r="AC1604">
        <v>1</v>
      </c>
      <c r="AD1604" s="8"/>
    </row>
    <row r="1605" spans="1:30" x14ac:dyDescent="0.3">
      <c r="A1605" t="s">
        <v>1627</v>
      </c>
      <c r="B1605">
        <v>1304933</v>
      </c>
      <c r="D1605" t="s">
        <v>7</v>
      </c>
      <c r="E1605">
        <v>945167</v>
      </c>
      <c r="F1605">
        <v>9015884123</v>
      </c>
      <c r="G1605">
        <v>36</v>
      </c>
      <c r="H1605" t="s">
        <v>1582</v>
      </c>
      <c r="I1605">
        <v>0</v>
      </c>
      <c r="J1605" t="s">
        <v>1583</v>
      </c>
      <c r="K1605" t="s">
        <v>8</v>
      </c>
      <c r="L1605" t="s">
        <v>18</v>
      </c>
      <c r="M1605" t="s">
        <v>9</v>
      </c>
      <c r="N1605" t="s">
        <v>14</v>
      </c>
      <c r="O1605" s="2">
        <v>-3.53</v>
      </c>
      <c r="P1605" s="3">
        <v>0</v>
      </c>
      <c r="Q1605" s="1">
        <v>46033</v>
      </c>
      <c r="R1605" s="1">
        <v>45992</v>
      </c>
      <c r="S1605" s="1">
        <v>46022</v>
      </c>
      <c r="V1605" s="8">
        <v>1</v>
      </c>
      <c r="W1605" t="s">
        <v>24</v>
      </c>
      <c r="X1605" t="s">
        <v>1584</v>
      </c>
      <c r="Y1605" t="s">
        <v>10</v>
      </c>
      <c r="Z1605" t="s">
        <v>11</v>
      </c>
      <c r="AA1605">
        <v>62371</v>
      </c>
      <c r="AB1605">
        <v>17058905</v>
      </c>
      <c r="AC1605">
        <v>1</v>
      </c>
      <c r="AD1605" s="8"/>
    </row>
    <row r="1606" spans="1:30" x14ac:dyDescent="0.3">
      <c r="A1606" t="s">
        <v>1627</v>
      </c>
      <c r="B1606">
        <v>1308503</v>
      </c>
      <c r="D1606" t="s">
        <v>7</v>
      </c>
      <c r="E1606">
        <v>945180</v>
      </c>
      <c r="F1606">
        <v>9015884123</v>
      </c>
      <c r="G1606">
        <v>42</v>
      </c>
      <c r="H1606" t="s">
        <v>994</v>
      </c>
      <c r="I1606">
        <v>0</v>
      </c>
      <c r="J1606" t="s">
        <v>995</v>
      </c>
      <c r="K1606" t="s">
        <v>8</v>
      </c>
      <c r="L1606" t="s">
        <v>15</v>
      </c>
      <c r="M1606" t="s">
        <v>9</v>
      </c>
      <c r="N1606" t="s">
        <v>14</v>
      </c>
      <c r="O1606" s="2">
        <v>0</v>
      </c>
      <c r="P1606" s="3">
        <v>14742.199000000001</v>
      </c>
      <c r="Q1606" s="1">
        <v>46033</v>
      </c>
      <c r="R1606" s="1">
        <v>45992</v>
      </c>
      <c r="S1606" s="1">
        <v>46022</v>
      </c>
      <c r="V1606" s="8">
        <v>1</v>
      </c>
      <c r="W1606" t="s">
        <v>24</v>
      </c>
      <c r="X1606" t="s">
        <v>996</v>
      </c>
      <c r="Y1606" t="s">
        <v>10</v>
      </c>
      <c r="Z1606" t="s">
        <v>11</v>
      </c>
      <c r="AA1606">
        <v>62371</v>
      </c>
      <c r="AB1606">
        <v>17063552</v>
      </c>
      <c r="AC1606">
        <v>1</v>
      </c>
      <c r="AD1606" s="8"/>
    </row>
    <row r="1607" spans="1:30" x14ac:dyDescent="0.3">
      <c r="A1607" t="s">
        <v>1627</v>
      </c>
      <c r="B1607">
        <v>1340634</v>
      </c>
      <c r="D1607" t="s">
        <v>7</v>
      </c>
      <c r="E1607">
        <v>945235</v>
      </c>
      <c r="F1607">
        <v>9015884123</v>
      </c>
      <c r="G1607">
        <v>62</v>
      </c>
      <c r="H1607" t="s">
        <v>1319</v>
      </c>
      <c r="I1607">
        <v>0</v>
      </c>
      <c r="J1607" t="s">
        <v>1320</v>
      </c>
      <c r="K1607" t="s">
        <v>8</v>
      </c>
      <c r="L1607" t="s">
        <v>15</v>
      </c>
      <c r="M1607" t="s">
        <v>9</v>
      </c>
      <c r="N1607" t="s">
        <v>14</v>
      </c>
      <c r="O1607" s="2">
        <v>0</v>
      </c>
      <c r="P1607" s="3">
        <v>1220.367</v>
      </c>
      <c r="Q1607" s="1">
        <v>46033</v>
      </c>
      <c r="R1607" s="1">
        <v>45992</v>
      </c>
      <c r="S1607" s="1">
        <v>46022</v>
      </c>
      <c r="V1607" s="8">
        <v>1</v>
      </c>
      <c r="W1607" t="s">
        <v>24</v>
      </c>
      <c r="X1607" t="s">
        <v>1321</v>
      </c>
      <c r="Y1607" t="s">
        <v>10</v>
      </c>
      <c r="Z1607" t="s">
        <v>11</v>
      </c>
      <c r="AA1607">
        <v>62371</v>
      </c>
      <c r="AB1607">
        <v>18404974</v>
      </c>
      <c r="AC1607">
        <v>1</v>
      </c>
      <c r="AD1607" s="8"/>
    </row>
    <row r="1608" spans="1:30" x14ac:dyDescent="0.3">
      <c r="A1608" t="s">
        <v>1627</v>
      </c>
      <c r="B1608">
        <v>1335625</v>
      </c>
      <c r="D1608" t="s">
        <v>7</v>
      </c>
      <c r="E1608">
        <v>945194</v>
      </c>
      <c r="F1608">
        <v>9015884123</v>
      </c>
      <c r="G1608">
        <v>50</v>
      </c>
      <c r="H1608" t="s">
        <v>1482</v>
      </c>
      <c r="I1608">
        <v>0</v>
      </c>
      <c r="J1608" t="s">
        <v>1483</v>
      </c>
      <c r="K1608" t="s">
        <v>8</v>
      </c>
      <c r="L1608" t="s">
        <v>67</v>
      </c>
      <c r="M1608" t="s">
        <v>9</v>
      </c>
      <c r="N1608" t="s">
        <v>14</v>
      </c>
      <c r="O1608" s="2">
        <v>1709799.95</v>
      </c>
      <c r="P1608" s="3">
        <v>15832.103999999999</v>
      </c>
      <c r="Q1608" s="1">
        <v>46033</v>
      </c>
      <c r="R1608" s="1">
        <v>45992</v>
      </c>
      <c r="S1608" s="1">
        <v>46022</v>
      </c>
      <c r="V1608" s="8">
        <v>1</v>
      </c>
      <c r="W1608" t="s">
        <v>24</v>
      </c>
      <c r="X1608" t="s">
        <v>1484</v>
      </c>
      <c r="Y1608" t="s">
        <v>10</v>
      </c>
      <c r="Z1608" t="s">
        <v>11</v>
      </c>
      <c r="AA1608">
        <v>62371</v>
      </c>
      <c r="AB1608">
        <v>17513208</v>
      </c>
      <c r="AC1608">
        <v>1</v>
      </c>
      <c r="AD1608" s="8"/>
    </row>
    <row r="1609" spans="1:30" x14ac:dyDescent="0.3">
      <c r="A1609" t="s">
        <v>1627</v>
      </c>
      <c r="B1609">
        <v>1340624</v>
      </c>
      <c r="D1609" t="s">
        <v>7</v>
      </c>
      <c r="E1609">
        <v>945218</v>
      </c>
      <c r="F1609">
        <v>9015884123</v>
      </c>
      <c r="G1609">
        <v>58</v>
      </c>
      <c r="H1609" t="s">
        <v>571</v>
      </c>
      <c r="I1609">
        <v>0</v>
      </c>
      <c r="J1609" t="s">
        <v>572</v>
      </c>
      <c r="K1609" t="s">
        <v>8</v>
      </c>
      <c r="L1609" t="s">
        <v>15</v>
      </c>
      <c r="M1609" t="s">
        <v>9</v>
      </c>
      <c r="N1609" t="s">
        <v>14</v>
      </c>
      <c r="O1609" s="2">
        <v>0</v>
      </c>
      <c r="P1609" s="3">
        <v>8427.25</v>
      </c>
      <c r="Q1609" s="1">
        <v>46033</v>
      </c>
      <c r="R1609" s="1">
        <v>45992</v>
      </c>
      <c r="S1609" s="1">
        <v>46022</v>
      </c>
      <c r="V1609" s="8">
        <v>1</v>
      </c>
      <c r="W1609" t="s">
        <v>24</v>
      </c>
      <c r="X1609" t="s">
        <v>573</v>
      </c>
      <c r="Y1609" t="s">
        <v>10</v>
      </c>
      <c r="Z1609" t="s">
        <v>11</v>
      </c>
      <c r="AA1609">
        <v>62371</v>
      </c>
      <c r="AB1609">
        <v>19430843</v>
      </c>
      <c r="AC1609">
        <v>1</v>
      </c>
      <c r="AD1609" s="8"/>
    </row>
    <row r="1610" spans="1:30" x14ac:dyDescent="0.3">
      <c r="A1610" t="s">
        <v>1627</v>
      </c>
      <c r="B1610">
        <v>1365126</v>
      </c>
      <c r="D1610" t="s">
        <v>7</v>
      </c>
      <c r="E1610">
        <v>945929</v>
      </c>
      <c r="F1610">
        <v>9015884123</v>
      </c>
      <c r="G1610">
        <v>180</v>
      </c>
      <c r="H1610" t="s">
        <v>583</v>
      </c>
      <c r="I1610">
        <v>0</v>
      </c>
      <c r="J1610" t="s">
        <v>584</v>
      </c>
      <c r="K1610" t="s">
        <v>8</v>
      </c>
      <c r="L1610" t="s">
        <v>15</v>
      </c>
      <c r="M1610" t="s">
        <v>9</v>
      </c>
      <c r="N1610" t="s">
        <v>14</v>
      </c>
      <c r="O1610" s="2">
        <v>0</v>
      </c>
      <c r="P1610" s="3">
        <v>1067.982</v>
      </c>
      <c r="Q1610" s="1">
        <v>46033</v>
      </c>
      <c r="R1610" s="1">
        <v>45992</v>
      </c>
      <c r="S1610" s="1">
        <v>46022</v>
      </c>
      <c r="V1610" s="8">
        <v>1</v>
      </c>
      <c r="W1610" t="s">
        <v>24</v>
      </c>
      <c r="X1610" t="s">
        <v>585</v>
      </c>
      <c r="Y1610" t="s">
        <v>586</v>
      </c>
      <c r="Z1610" t="s">
        <v>11</v>
      </c>
      <c r="AA1610">
        <v>62371</v>
      </c>
      <c r="AB1610">
        <v>21142544</v>
      </c>
      <c r="AC1610">
        <v>0</v>
      </c>
      <c r="AD1610" s="8"/>
    </row>
    <row r="1611" spans="1:30" x14ac:dyDescent="0.3">
      <c r="A1611" t="s">
        <v>1627</v>
      </c>
      <c r="B1611">
        <v>1421898</v>
      </c>
      <c r="D1611" t="s">
        <v>7</v>
      </c>
      <c r="E1611">
        <v>946694</v>
      </c>
      <c r="F1611">
        <v>9015884123</v>
      </c>
      <c r="G1611">
        <v>466</v>
      </c>
      <c r="H1611" t="s">
        <v>1500</v>
      </c>
      <c r="I1611">
        <v>0</v>
      </c>
      <c r="J1611" t="s">
        <v>1501</v>
      </c>
      <c r="K1611" t="s">
        <v>8</v>
      </c>
      <c r="L1611" t="s">
        <v>19</v>
      </c>
      <c r="M1611" t="s">
        <v>9</v>
      </c>
      <c r="N1611" t="s">
        <v>14</v>
      </c>
      <c r="O1611" s="2">
        <v>4428.82</v>
      </c>
      <c r="P1611" s="3">
        <v>22.414000000000001</v>
      </c>
      <c r="Q1611" s="1">
        <v>46033</v>
      </c>
      <c r="R1611" s="1">
        <v>45992</v>
      </c>
      <c r="S1611" s="1">
        <v>46022</v>
      </c>
      <c r="V1611" s="8">
        <v>1</v>
      </c>
      <c r="W1611" t="s">
        <v>24</v>
      </c>
      <c r="X1611" t="s">
        <v>1502</v>
      </c>
      <c r="Y1611" t="s">
        <v>54</v>
      </c>
      <c r="Z1611" t="s">
        <v>11</v>
      </c>
      <c r="AA1611">
        <v>62371</v>
      </c>
      <c r="AB1611">
        <v>21334651</v>
      </c>
      <c r="AC1611">
        <v>0</v>
      </c>
      <c r="AD1611" s="8"/>
    </row>
    <row r="1612" spans="1:30" x14ac:dyDescent="0.3">
      <c r="A1612" t="s">
        <v>1627</v>
      </c>
      <c r="B1612">
        <v>1411987</v>
      </c>
      <c r="D1612" t="s">
        <v>7</v>
      </c>
      <c r="E1612">
        <v>946386</v>
      </c>
      <c r="F1612">
        <v>9015884123</v>
      </c>
      <c r="G1612">
        <v>367</v>
      </c>
      <c r="H1612" t="s">
        <v>608</v>
      </c>
      <c r="I1612">
        <v>0</v>
      </c>
      <c r="J1612" t="s">
        <v>609</v>
      </c>
      <c r="K1612" t="s">
        <v>8</v>
      </c>
      <c r="L1612" t="s">
        <v>18</v>
      </c>
      <c r="M1612" t="s">
        <v>9</v>
      </c>
      <c r="N1612" t="s">
        <v>14</v>
      </c>
      <c r="O1612" s="2">
        <v>-3.25</v>
      </c>
      <c r="P1612" s="3">
        <v>0</v>
      </c>
      <c r="Q1612" s="1">
        <v>46033</v>
      </c>
      <c r="R1612" s="1">
        <v>45992</v>
      </c>
      <c r="S1612" s="1">
        <v>46022</v>
      </c>
      <c r="V1612" s="8">
        <v>1</v>
      </c>
      <c r="W1612" t="s">
        <v>24</v>
      </c>
      <c r="X1612" t="s">
        <v>610</v>
      </c>
      <c r="Y1612" t="s">
        <v>590</v>
      </c>
      <c r="Z1612" t="s">
        <v>11</v>
      </c>
      <c r="AA1612">
        <v>62371</v>
      </c>
      <c r="AB1612">
        <v>17560581</v>
      </c>
      <c r="AC1612">
        <v>0</v>
      </c>
      <c r="AD1612" s="8"/>
    </row>
    <row r="1613" spans="1:30" x14ac:dyDescent="0.3">
      <c r="A1613" t="s">
        <v>1627</v>
      </c>
      <c r="B1613">
        <v>1411974</v>
      </c>
      <c r="D1613" t="s">
        <v>7</v>
      </c>
      <c r="E1613">
        <v>946394</v>
      </c>
      <c r="F1613">
        <v>9015884123</v>
      </c>
      <c r="G1613">
        <v>371</v>
      </c>
      <c r="H1613" t="s">
        <v>1039</v>
      </c>
      <c r="I1613">
        <v>0</v>
      </c>
      <c r="J1613" t="s">
        <v>1040</v>
      </c>
      <c r="K1613" t="s">
        <v>8</v>
      </c>
      <c r="L1613" t="s">
        <v>15</v>
      </c>
      <c r="M1613" t="s">
        <v>9</v>
      </c>
      <c r="N1613" t="s">
        <v>14</v>
      </c>
      <c r="O1613" s="2">
        <v>0</v>
      </c>
      <c r="P1613" s="3">
        <v>2321.5949999999998</v>
      </c>
      <c r="Q1613" s="1">
        <v>46033</v>
      </c>
      <c r="R1613" s="1">
        <v>45992</v>
      </c>
      <c r="S1613" s="1">
        <v>46022</v>
      </c>
      <c r="V1613" s="8">
        <v>1</v>
      </c>
      <c r="W1613" t="s">
        <v>24</v>
      </c>
      <c r="X1613" t="s">
        <v>1041</v>
      </c>
      <c r="Y1613" t="s">
        <v>595</v>
      </c>
      <c r="Z1613" t="s">
        <v>11</v>
      </c>
      <c r="AA1613">
        <v>62371</v>
      </c>
      <c r="AB1613">
        <v>18437261</v>
      </c>
      <c r="AC1613">
        <v>1</v>
      </c>
      <c r="AD1613" s="8"/>
    </row>
    <row r="1614" spans="1:30" x14ac:dyDescent="0.3">
      <c r="A1614" t="s">
        <v>1627</v>
      </c>
      <c r="B1614">
        <v>1303764</v>
      </c>
      <c r="D1614" t="s">
        <v>7</v>
      </c>
      <c r="E1614">
        <v>945158</v>
      </c>
      <c r="F1614">
        <v>9015884123</v>
      </c>
      <c r="G1614">
        <v>31</v>
      </c>
      <c r="H1614" t="s">
        <v>1585</v>
      </c>
      <c r="I1614">
        <v>0</v>
      </c>
      <c r="J1614" t="s">
        <v>1586</v>
      </c>
      <c r="K1614" t="s">
        <v>8</v>
      </c>
      <c r="L1614" t="s">
        <v>18</v>
      </c>
      <c r="M1614" t="s">
        <v>9</v>
      </c>
      <c r="N1614" t="s">
        <v>14</v>
      </c>
      <c r="O1614" s="2">
        <v>-0.88</v>
      </c>
      <c r="P1614" s="3">
        <v>0</v>
      </c>
      <c r="Q1614" s="1">
        <v>46033</v>
      </c>
      <c r="R1614" s="1">
        <v>45992</v>
      </c>
      <c r="S1614" s="1">
        <v>46022</v>
      </c>
      <c r="V1614" s="8">
        <v>1</v>
      </c>
      <c r="W1614" t="s">
        <v>24</v>
      </c>
      <c r="X1614" t="s">
        <v>1587</v>
      </c>
      <c r="Y1614" t="s">
        <v>36</v>
      </c>
      <c r="Z1614" t="s">
        <v>11</v>
      </c>
      <c r="AA1614">
        <v>62371</v>
      </c>
      <c r="AB1614">
        <v>18090123</v>
      </c>
      <c r="AC1614">
        <v>1</v>
      </c>
      <c r="AD1614" s="8"/>
    </row>
    <row r="1615" spans="1:30" x14ac:dyDescent="0.3">
      <c r="A1615" t="s">
        <v>1627</v>
      </c>
      <c r="B1615">
        <v>1303764</v>
      </c>
      <c r="D1615" t="s">
        <v>7</v>
      </c>
      <c r="E1615">
        <v>945158</v>
      </c>
      <c r="F1615">
        <v>9015884123</v>
      </c>
      <c r="G1615">
        <v>31</v>
      </c>
      <c r="H1615" t="s">
        <v>1585</v>
      </c>
      <c r="I1615">
        <v>0</v>
      </c>
      <c r="J1615" t="s">
        <v>1586</v>
      </c>
      <c r="K1615" t="s">
        <v>8</v>
      </c>
      <c r="L1615" t="s">
        <v>19</v>
      </c>
      <c r="M1615" t="s">
        <v>9</v>
      </c>
      <c r="N1615" t="s">
        <v>14</v>
      </c>
      <c r="O1615" s="2">
        <v>7162.71</v>
      </c>
      <c r="P1615" s="3">
        <v>43.901000000000003</v>
      </c>
      <c r="Q1615" s="1">
        <v>46033</v>
      </c>
      <c r="R1615" s="1">
        <v>45992</v>
      </c>
      <c r="S1615" s="1">
        <v>46022</v>
      </c>
      <c r="V1615" s="8">
        <v>1</v>
      </c>
      <c r="W1615" t="s">
        <v>24</v>
      </c>
      <c r="X1615" t="s">
        <v>1587</v>
      </c>
      <c r="Y1615" t="s">
        <v>36</v>
      </c>
      <c r="Z1615" t="s">
        <v>11</v>
      </c>
      <c r="AA1615">
        <v>62371</v>
      </c>
      <c r="AB1615">
        <v>18090123</v>
      </c>
      <c r="AC1615">
        <v>1</v>
      </c>
      <c r="AD1615" s="8"/>
    </row>
    <row r="1616" spans="1:30" x14ac:dyDescent="0.3">
      <c r="A1616" t="s">
        <v>1627</v>
      </c>
      <c r="B1616">
        <v>1303764</v>
      </c>
      <c r="D1616" t="s">
        <v>7</v>
      </c>
      <c r="E1616">
        <v>945158</v>
      </c>
      <c r="F1616">
        <v>9015884123</v>
      </c>
      <c r="G1616">
        <v>31</v>
      </c>
      <c r="H1616" t="s">
        <v>1585</v>
      </c>
      <c r="I1616">
        <v>0</v>
      </c>
      <c r="J1616" t="s">
        <v>1586</v>
      </c>
      <c r="K1616" t="s">
        <v>8</v>
      </c>
      <c r="L1616" t="s">
        <v>67</v>
      </c>
      <c r="M1616" t="s">
        <v>9</v>
      </c>
      <c r="N1616" t="s">
        <v>14</v>
      </c>
      <c r="O1616" s="2">
        <v>410808.17</v>
      </c>
      <c r="P1616" s="3">
        <v>3803.9290000000001</v>
      </c>
      <c r="Q1616" s="1">
        <v>46033</v>
      </c>
      <c r="R1616" s="1">
        <v>45992</v>
      </c>
      <c r="S1616" s="1">
        <v>46022</v>
      </c>
      <c r="V1616" s="8">
        <v>1</v>
      </c>
      <c r="W1616" t="s">
        <v>24</v>
      </c>
      <c r="X1616" t="s">
        <v>1587</v>
      </c>
      <c r="Y1616" t="s">
        <v>36</v>
      </c>
      <c r="Z1616" t="s">
        <v>11</v>
      </c>
      <c r="AA1616">
        <v>62371</v>
      </c>
      <c r="AB1616">
        <v>18090123</v>
      </c>
      <c r="AC1616">
        <v>1</v>
      </c>
      <c r="AD1616" s="8"/>
    </row>
    <row r="1617" spans="1:30" x14ac:dyDescent="0.3">
      <c r="A1617" t="s">
        <v>1627</v>
      </c>
      <c r="B1617">
        <v>1353834</v>
      </c>
      <c r="D1617" t="s">
        <v>7</v>
      </c>
      <c r="E1617">
        <v>945359</v>
      </c>
      <c r="F1617">
        <v>9015884123</v>
      </c>
      <c r="G1617">
        <v>99</v>
      </c>
      <c r="H1617" t="s">
        <v>1491</v>
      </c>
      <c r="I1617">
        <v>0</v>
      </c>
      <c r="J1617" t="s">
        <v>1492</v>
      </c>
      <c r="K1617" t="s">
        <v>8</v>
      </c>
      <c r="L1617" t="s">
        <v>15</v>
      </c>
      <c r="M1617" t="s">
        <v>9</v>
      </c>
      <c r="N1617" t="s">
        <v>14</v>
      </c>
      <c r="O1617" s="2">
        <v>0</v>
      </c>
      <c r="P1617" s="3">
        <v>3694.0149999999999</v>
      </c>
      <c r="Q1617" s="1">
        <v>46033</v>
      </c>
      <c r="R1617" s="1">
        <v>45992</v>
      </c>
      <c r="S1617" s="1">
        <v>46022</v>
      </c>
      <c r="V1617" s="8">
        <v>1</v>
      </c>
      <c r="W1617" t="s">
        <v>24</v>
      </c>
      <c r="X1617" t="s">
        <v>1493</v>
      </c>
      <c r="Y1617" t="s">
        <v>38</v>
      </c>
      <c r="Z1617" t="s">
        <v>11</v>
      </c>
      <c r="AA1617">
        <v>62371</v>
      </c>
      <c r="AB1617">
        <v>18345359</v>
      </c>
      <c r="AC1617">
        <v>0</v>
      </c>
      <c r="AD1617" s="8"/>
    </row>
    <row r="1618" spans="1:30" x14ac:dyDescent="0.3">
      <c r="A1618" t="s">
        <v>1627</v>
      </c>
      <c r="B1618">
        <v>1356330</v>
      </c>
      <c r="D1618" t="s">
        <v>7</v>
      </c>
      <c r="E1618">
        <v>945453</v>
      </c>
      <c r="F1618">
        <v>9015884123</v>
      </c>
      <c r="G1618">
        <v>130</v>
      </c>
      <c r="H1618" t="s">
        <v>602</v>
      </c>
      <c r="I1618">
        <v>0</v>
      </c>
      <c r="J1618" t="s">
        <v>603</v>
      </c>
      <c r="K1618" t="s">
        <v>8</v>
      </c>
      <c r="L1618" t="s">
        <v>18</v>
      </c>
      <c r="M1618" t="s">
        <v>9</v>
      </c>
      <c r="N1618" t="s">
        <v>14</v>
      </c>
      <c r="O1618" s="2">
        <v>0.04</v>
      </c>
      <c r="P1618" s="3">
        <v>0</v>
      </c>
      <c r="Q1618" s="1">
        <v>46033</v>
      </c>
      <c r="R1618" s="1">
        <v>45992</v>
      </c>
      <c r="S1618" s="1">
        <v>46022</v>
      </c>
      <c r="V1618" s="8">
        <v>1</v>
      </c>
      <c r="W1618" t="s">
        <v>24</v>
      </c>
      <c r="X1618" t="s">
        <v>604</v>
      </c>
      <c r="Y1618" t="s">
        <v>40</v>
      </c>
      <c r="Z1618" t="s">
        <v>11</v>
      </c>
      <c r="AA1618">
        <v>62371</v>
      </c>
      <c r="AB1618">
        <v>19711416</v>
      </c>
      <c r="AC1618">
        <v>1</v>
      </c>
      <c r="AD1618" s="8"/>
    </row>
    <row r="1619" spans="1:30" x14ac:dyDescent="0.3">
      <c r="A1619" t="s">
        <v>1627</v>
      </c>
      <c r="B1619">
        <v>1356333</v>
      </c>
      <c r="D1619" t="s">
        <v>7</v>
      </c>
      <c r="E1619">
        <v>945465</v>
      </c>
      <c r="F1619">
        <v>9015884123</v>
      </c>
      <c r="G1619">
        <v>134</v>
      </c>
      <c r="H1619" t="s">
        <v>1615</v>
      </c>
      <c r="I1619">
        <v>0</v>
      </c>
      <c r="J1619" t="s">
        <v>1616</v>
      </c>
      <c r="K1619" t="s">
        <v>8</v>
      </c>
      <c r="L1619" t="s">
        <v>67</v>
      </c>
      <c r="M1619" t="s">
        <v>9</v>
      </c>
      <c r="N1619" t="s">
        <v>14</v>
      </c>
      <c r="O1619" s="2">
        <v>226871.96</v>
      </c>
      <c r="P1619" s="3">
        <v>2100.7489999999998</v>
      </c>
      <c r="Q1619" s="1">
        <v>46033</v>
      </c>
      <c r="R1619" s="1">
        <v>45992</v>
      </c>
      <c r="S1619" s="1">
        <v>46022</v>
      </c>
      <c r="V1619" s="8">
        <v>1</v>
      </c>
      <c r="W1619" t="s">
        <v>24</v>
      </c>
      <c r="X1619" t="s">
        <v>1617</v>
      </c>
      <c r="Y1619" t="s">
        <v>40</v>
      </c>
      <c r="Z1619" t="s">
        <v>11</v>
      </c>
      <c r="AA1619">
        <v>62371</v>
      </c>
      <c r="AB1619">
        <v>19752666</v>
      </c>
      <c r="AC1619">
        <v>1</v>
      </c>
      <c r="AD1619" s="8"/>
    </row>
    <row r="1620" spans="1:30" x14ac:dyDescent="0.3">
      <c r="A1620" t="s">
        <v>1627</v>
      </c>
      <c r="B1620">
        <v>1362945</v>
      </c>
      <c r="D1620" t="s">
        <v>7</v>
      </c>
      <c r="E1620">
        <v>945905</v>
      </c>
      <c r="F1620">
        <v>9015884123</v>
      </c>
      <c r="G1620">
        <v>154</v>
      </c>
      <c r="H1620" t="s">
        <v>646</v>
      </c>
      <c r="I1620">
        <v>0</v>
      </c>
      <c r="J1620" t="s">
        <v>647</v>
      </c>
      <c r="K1620" t="s">
        <v>8</v>
      </c>
      <c r="L1620" t="s">
        <v>15</v>
      </c>
      <c r="M1620" t="s">
        <v>9</v>
      </c>
      <c r="N1620" t="s">
        <v>14</v>
      </c>
      <c r="O1620" s="2">
        <v>0</v>
      </c>
      <c r="P1620" s="3">
        <v>2499.9459999999999</v>
      </c>
      <c r="Q1620" s="1">
        <v>46033</v>
      </c>
      <c r="R1620" s="1">
        <v>45992</v>
      </c>
      <c r="S1620" s="1">
        <v>46022</v>
      </c>
      <c r="V1620" s="8">
        <v>1</v>
      </c>
      <c r="W1620" t="s">
        <v>24</v>
      </c>
      <c r="X1620" t="s">
        <v>648</v>
      </c>
      <c r="Y1620" t="s">
        <v>40</v>
      </c>
      <c r="Z1620" t="s">
        <v>11</v>
      </c>
      <c r="AA1620">
        <v>62371</v>
      </c>
      <c r="AB1620">
        <v>19752818</v>
      </c>
      <c r="AC1620">
        <v>1</v>
      </c>
      <c r="AD1620" s="8"/>
    </row>
    <row r="1621" spans="1:30" x14ac:dyDescent="0.3">
      <c r="A1621" t="s">
        <v>1627</v>
      </c>
      <c r="B1621">
        <v>1374489</v>
      </c>
      <c r="D1621" t="s">
        <v>7</v>
      </c>
      <c r="E1621">
        <v>945936</v>
      </c>
      <c r="F1621">
        <v>9015884123</v>
      </c>
      <c r="G1621">
        <v>186</v>
      </c>
      <c r="H1621" t="s">
        <v>1063</v>
      </c>
      <c r="I1621">
        <v>0</v>
      </c>
      <c r="J1621" t="s">
        <v>1064</v>
      </c>
      <c r="K1621" t="s">
        <v>8</v>
      </c>
      <c r="L1621" t="s">
        <v>67</v>
      </c>
      <c r="M1621" t="s">
        <v>9</v>
      </c>
      <c r="N1621" t="s">
        <v>14</v>
      </c>
      <c r="O1621" s="2">
        <v>124664.25</v>
      </c>
      <c r="P1621" s="3">
        <v>1154.3440000000001</v>
      </c>
      <c r="Q1621" s="1">
        <v>46033</v>
      </c>
      <c r="R1621" s="1">
        <v>45992</v>
      </c>
      <c r="S1621" s="1">
        <v>46022</v>
      </c>
      <c r="V1621" s="8">
        <v>1</v>
      </c>
      <c r="W1621" t="s">
        <v>24</v>
      </c>
      <c r="X1621" t="s">
        <v>1065</v>
      </c>
      <c r="Y1621" t="s">
        <v>40</v>
      </c>
      <c r="Z1621" t="s">
        <v>11</v>
      </c>
      <c r="AA1621">
        <v>62371</v>
      </c>
      <c r="AB1621">
        <v>19861539</v>
      </c>
      <c r="AC1621">
        <v>1</v>
      </c>
      <c r="AD1621" s="8"/>
    </row>
    <row r="1622" spans="1:30" x14ac:dyDescent="0.3">
      <c r="A1622" t="s">
        <v>1627</v>
      </c>
      <c r="B1622">
        <v>1403688</v>
      </c>
      <c r="D1622" t="s">
        <v>7</v>
      </c>
      <c r="E1622">
        <v>946211</v>
      </c>
      <c r="F1622">
        <v>9015884123</v>
      </c>
      <c r="G1622">
        <v>289</v>
      </c>
      <c r="H1622" t="s">
        <v>1361</v>
      </c>
      <c r="I1622">
        <v>0</v>
      </c>
      <c r="J1622" t="s">
        <v>1362</v>
      </c>
      <c r="K1622" t="s">
        <v>8</v>
      </c>
      <c r="L1622" t="s">
        <v>15</v>
      </c>
      <c r="M1622" t="s">
        <v>9</v>
      </c>
      <c r="N1622" t="s">
        <v>14</v>
      </c>
      <c r="O1622" s="2">
        <v>0</v>
      </c>
      <c r="P1622" s="3">
        <v>618.04499999999996</v>
      </c>
      <c r="Q1622" s="1">
        <v>46033</v>
      </c>
      <c r="R1622" s="1">
        <v>45992</v>
      </c>
      <c r="S1622" s="1">
        <v>46022</v>
      </c>
      <c r="V1622" s="8">
        <v>1</v>
      </c>
      <c r="W1622" t="s">
        <v>24</v>
      </c>
      <c r="X1622" t="s">
        <v>1363</v>
      </c>
      <c r="Y1622" t="s">
        <v>40</v>
      </c>
      <c r="Z1622" t="s">
        <v>11</v>
      </c>
      <c r="AA1622">
        <v>62371</v>
      </c>
      <c r="AB1622">
        <v>18554428</v>
      </c>
      <c r="AC1622">
        <v>0</v>
      </c>
      <c r="AD1622" s="8"/>
    </row>
    <row r="1623" spans="1:30" x14ac:dyDescent="0.3">
      <c r="A1623" t="s">
        <v>1627</v>
      </c>
      <c r="B1623">
        <v>1415389</v>
      </c>
      <c r="D1623" t="s">
        <v>7</v>
      </c>
      <c r="E1623">
        <v>946460</v>
      </c>
      <c r="F1623">
        <v>9015884123</v>
      </c>
      <c r="G1623">
        <v>393</v>
      </c>
      <c r="H1623" t="s">
        <v>636</v>
      </c>
      <c r="I1623">
        <v>0</v>
      </c>
      <c r="J1623" t="s">
        <v>637</v>
      </c>
      <c r="K1623" t="s">
        <v>8</v>
      </c>
      <c r="L1623" t="s">
        <v>19</v>
      </c>
      <c r="M1623" t="s">
        <v>9</v>
      </c>
      <c r="N1623" t="s">
        <v>14</v>
      </c>
      <c r="O1623" s="2">
        <v>7671.1</v>
      </c>
      <c r="P1623" s="3">
        <v>38.823</v>
      </c>
      <c r="Q1623" s="1">
        <v>46033</v>
      </c>
      <c r="R1623" s="1">
        <v>45992</v>
      </c>
      <c r="S1623" s="1">
        <v>46022</v>
      </c>
      <c r="V1623" s="8">
        <v>1</v>
      </c>
      <c r="W1623" t="s">
        <v>24</v>
      </c>
      <c r="X1623" t="s">
        <v>638</v>
      </c>
      <c r="Y1623" t="s">
        <v>639</v>
      </c>
      <c r="Z1623" t="s">
        <v>11</v>
      </c>
      <c r="AA1623">
        <v>62371</v>
      </c>
      <c r="AB1623">
        <v>17597638</v>
      </c>
      <c r="AC1623">
        <v>0</v>
      </c>
      <c r="AD1623" s="8"/>
    </row>
    <row r="1624" spans="1:30" x14ac:dyDescent="0.3">
      <c r="A1624" t="s">
        <v>1627</v>
      </c>
      <c r="B1624">
        <v>1444836</v>
      </c>
      <c r="D1624" t="s">
        <v>7</v>
      </c>
      <c r="E1624">
        <v>946867</v>
      </c>
      <c r="F1624">
        <v>9015884123</v>
      </c>
      <c r="G1624">
        <v>522</v>
      </c>
      <c r="H1624" t="s">
        <v>532</v>
      </c>
      <c r="I1624">
        <v>0</v>
      </c>
      <c r="J1624" t="s">
        <v>533</v>
      </c>
      <c r="K1624" t="s">
        <v>8</v>
      </c>
      <c r="L1624" t="s">
        <v>18</v>
      </c>
      <c r="M1624" t="s">
        <v>9</v>
      </c>
      <c r="N1624" t="s">
        <v>14</v>
      </c>
      <c r="O1624" s="2">
        <v>-1.43</v>
      </c>
      <c r="P1624" s="3">
        <v>0</v>
      </c>
      <c r="Q1624" s="1">
        <v>46033</v>
      </c>
      <c r="R1624" s="1">
        <v>45992</v>
      </c>
      <c r="S1624" s="1">
        <v>46022</v>
      </c>
      <c r="V1624" s="8">
        <v>1</v>
      </c>
      <c r="W1624" t="s">
        <v>24</v>
      </c>
      <c r="X1624" t="s">
        <v>534</v>
      </c>
      <c r="Y1624" t="s">
        <v>10</v>
      </c>
      <c r="Z1624" t="s">
        <v>11</v>
      </c>
      <c r="AA1624">
        <v>62371</v>
      </c>
      <c r="AB1624">
        <v>18615897</v>
      </c>
      <c r="AC1624">
        <v>0</v>
      </c>
      <c r="AD1624" s="8"/>
    </row>
    <row r="1625" spans="1:30" x14ac:dyDescent="0.3">
      <c r="A1625" t="s">
        <v>1627</v>
      </c>
      <c r="B1625">
        <v>1446203</v>
      </c>
      <c r="D1625" t="s">
        <v>7</v>
      </c>
      <c r="E1625">
        <v>946891</v>
      </c>
      <c r="F1625">
        <v>9015884123</v>
      </c>
      <c r="G1625">
        <v>528</v>
      </c>
      <c r="H1625" t="s">
        <v>1579</v>
      </c>
      <c r="I1625">
        <v>0</v>
      </c>
      <c r="J1625" t="s">
        <v>1580</v>
      </c>
      <c r="K1625" t="s">
        <v>8</v>
      </c>
      <c r="L1625" t="s">
        <v>15</v>
      </c>
      <c r="M1625" t="s">
        <v>9</v>
      </c>
      <c r="N1625" t="s">
        <v>14</v>
      </c>
      <c r="O1625" s="2">
        <v>0</v>
      </c>
      <c r="P1625" s="3">
        <v>3839.3380000000002</v>
      </c>
      <c r="Q1625" s="1">
        <v>46033</v>
      </c>
      <c r="R1625" s="1">
        <v>45992</v>
      </c>
      <c r="S1625" s="1">
        <v>46022</v>
      </c>
      <c r="V1625" s="8">
        <v>1</v>
      </c>
      <c r="W1625" t="s">
        <v>24</v>
      </c>
      <c r="X1625" t="s">
        <v>1581</v>
      </c>
      <c r="Y1625" t="s">
        <v>10</v>
      </c>
      <c r="Z1625" t="s">
        <v>11</v>
      </c>
      <c r="AA1625">
        <v>62371</v>
      </c>
      <c r="AB1625">
        <v>18556949</v>
      </c>
      <c r="AC1625">
        <v>1</v>
      </c>
      <c r="AD1625" s="8"/>
    </row>
    <row r="1626" spans="1:30" x14ac:dyDescent="0.3">
      <c r="A1626" t="s">
        <v>1627</v>
      </c>
      <c r="B1626">
        <v>1446203</v>
      </c>
      <c r="D1626" t="s">
        <v>7</v>
      </c>
      <c r="E1626">
        <v>946891</v>
      </c>
      <c r="F1626">
        <v>9015884123</v>
      </c>
      <c r="G1626">
        <v>528</v>
      </c>
      <c r="H1626" t="s">
        <v>1579</v>
      </c>
      <c r="I1626">
        <v>0</v>
      </c>
      <c r="J1626" t="s">
        <v>1580</v>
      </c>
      <c r="K1626" t="s">
        <v>8</v>
      </c>
      <c r="L1626" t="s">
        <v>19</v>
      </c>
      <c r="M1626" t="s">
        <v>9</v>
      </c>
      <c r="N1626" t="s">
        <v>14</v>
      </c>
      <c r="O1626" s="2">
        <v>4770.68</v>
      </c>
      <c r="P1626" s="3">
        <v>29.24</v>
      </c>
      <c r="Q1626" s="1">
        <v>46033</v>
      </c>
      <c r="R1626" s="1">
        <v>45992</v>
      </c>
      <c r="S1626" s="1">
        <v>46022</v>
      </c>
      <c r="V1626" s="8">
        <v>1</v>
      </c>
      <c r="W1626" t="s">
        <v>24</v>
      </c>
      <c r="X1626" t="s">
        <v>1581</v>
      </c>
      <c r="Y1626" t="s">
        <v>10</v>
      </c>
      <c r="Z1626" t="s">
        <v>11</v>
      </c>
      <c r="AA1626">
        <v>62371</v>
      </c>
      <c r="AB1626">
        <v>18556949</v>
      </c>
      <c r="AC1626">
        <v>1</v>
      </c>
      <c r="AD1626" s="8"/>
    </row>
    <row r="1627" spans="1:30" x14ac:dyDescent="0.3">
      <c r="A1627" t="s">
        <v>1627</v>
      </c>
      <c r="B1627">
        <v>1303767</v>
      </c>
      <c r="D1627" t="s">
        <v>7</v>
      </c>
      <c r="E1627">
        <v>945163</v>
      </c>
      <c r="F1627">
        <v>9015884123</v>
      </c>
      <c r="G1627">
        <v>33</v>
      </c>
      <c r="H1627" t="s">
        <v>662</v>
      </c>
      <c r="I1627">
        <v>0</v>
      </c>
      <c r="J1627" t="s">
        <v>663</v>
      </c>
      <c r="K1627" t="s">
        <v>8</v>
      </c>
      <c r="L1627" t="s">
        <v>15</v>
      </c>
      <c r="M1627" t="s">
        <v>9</v>
      </c>
      <c r="N1627" t="s">
        <v>14</v>
      </c>
      <c r="O1627" s="2">
        <v>0</v>
      </c>
      <c r="P1627" s="3">
        <v>10148.798000000001</v>
      </c>
      <c r="Q1627" s="1">
        <v>46033</v>
      </c>
      <c r="R1627" s="1">
        <v>45992</v>
      </c>
      <c r="S1627" s="1">
        <v>46022</v>
      </c>
      <c r="V1627" s="8">
        <v>1</v>
      </c>
      <c r="W1627" t="s">
        <v>24</v>
      </c>
      <c r="X1627" t="s">
        <v>664</v>
      </c>
      <c r="Y1627" t="s">
        <v>40</v>
      </c>
      <c r="Z1627" t="s">
        <v>11</v>
      </c>
      <c r="AA1627">
        <v>62371</v>
      </c>
      <c r="AB1627">
        <v>18975211</v>
      </c>
      <c r="AC1627">
        <v>1</v>
      </c>
      <c r="AD1627" s="8"/>
    </row>
    <row r="1628" spans="1:30" x14ac:dyDescent="0.3">
      <c r="A1628" t="s">
        <v>1627</v>
      </c>
      <c r="B1628">
        <v>1288986</v>
      </c>
      <c r="D1628" t="s">
        <v>7</v>
      </c>
      <c r="E1628">
        <v>945292</v>
      </c>
      <c r="F1628">
        <v>9015884123</v>
      </c>
      <c r="G1628">
        <v>8</v>
      </c>
      <c r="H1628" t="s">
        <v>982</v>
      </c>
      <c r="I1628">
        <v>0</v>
      </c>
      <c r="J1628" t="s">
        <v>983</v>
      </c>
      <c r="K1628" t="s">
        <v>8</v>
      </c>
      <c r="L1628" t="s">
        <v>15</v>
      </c>
      <c r="M1628" t="s">
        <v>9</v>
      </c>
      <c r="N1628" t="s">
        <v>14</v>
      </c>
      <c r="O1628" s="2">
        <v>0</v>
      </c>
      <c r="P1628" s="3">
        <v>4836.7560000000003</v>
      </c>
      <c r="Q1628" s="1">
        <v>46033</v>
      </c>
      <c r="R1628" s="1">
        <v>45992</v>
      </c>
      <c r="S1628" s="1">
        <v>46022</v>
      </c>
      <c r="V1628" s="8">
        <v>1</v>
      </c>
      <c r="W1628" t="s">
        <v>24</v>
      </c>
      <c r="X1628" t="s">
        <v>984</v>
      </c>
      <c r="Y1628" t="s">
        <v>10</v>
      </c>
      <c r="Z1628" t="s">
        <v>11</v>
      </c>
      <c r="AA1628">
        <v>62371</v>
      </c>
      <c r="AB1628">
        <v>17037609</v>
      </c>
      <c r="AC1628">
        <v>1</v>
      </c>
      <c r="AD1628" s="8"/>
    </row>
    <row r="1629" spans="1:30" x14ac:dyDescent="0.3">
      <c r="A1629" t="s">
        <v>1627</v>
      </c>
      <c r="B1629">
        <v>1320950</v>
      </c>
      <c r="D1629" t="s">
        <v>7</v>
      </c>
      <c r="E1629">
        <v>945183</v>
      </c>
      <c r="F1629">
        <v>9015884123</v>
      </c>
      <c r="G1629">
        <v>44</v>
      </c>
      <c r="H1629" t="s">
        <v>1515</v>
      </c>
      <c r="I1629">
        <v>0</v>
      </c>
      <c r="J1629" t="s">
        <v>1516</v>
      </c>
      <c r="K1629" t="s">
        <v>8</v>
      </c>
      <c r="L1629" t="s">
        <v>15</v>
      </c>
      <c r="M1629" t="s">
        <v>9</v>
      </c>
      <c r="N1629" t="s">
        <v>14</v>
      </c>
      <c r="O1629" s="2">
        <v>0</v>
      </c>
      <c r="P1629" s="3">
        <v>4079.0430000000001</v>
      </c>
      <c r="Q1629" s="1">
        <v>46033</v>
      </c>
      <c r="R1629" s="1">
        <v>45992</v>
      </c>
      <c r="S1629" s="1">
        <v>46022</v>
      </c>
      <c r="V1629" s="8">
        <v>1</v>
      </c>
      <c r="W1629" t="s">
        <v>24</v>
      </c>
      <c r="X1629" t="s">
        <v>1517</v>
      </c>
      <c r="Y1629" t="s">
        <v>40</v>
      </c>
      <c r="Z1629" t="s">
        <v>11</v>
      </c>
      <c r="AA1629">
        <v>62371</v>
      </c>
      <c r="AB1629">
        <v>17937017</v>
      </c>
      <c r="AC1629">
        <v>0</v>
      </c>
      <c r="AD1629" s="8"/>
    </row>
    <row r="1630" spans="1:30" x14ac:dyDescent="0.3">
      <c r="A1630" t="s">
        <v>1627</v>
      </c>
      <c r="B1630">
        <v>1320950</v>
      </c>
      <c r="D1630" t="s">
        <v>7</v>
      </c>
      <c r="E1630">
        <v>945183</v>
      </c>
      <c r="F1630">
        <v>9015884123</v>
      </c>
      <c r="G1630">
        <v>44</v>
      </c>
      <c r="H1630" t="s">
        <v>1515</v>
      </c>
      <c r="I1630">
        <v>0</v>
      </c>
      <c r="J1630" t="s">
        <v>1516</v>
      </c>
      <c r="K1630" t="s">
        <v>8</v>
      </c>
      <c r="L1630" t="s">
        <v>67</v>
      </c>
      <c r="M1630" t="s">
        <v>9</v>
      </c>
      <c r="N1630" t="s">
        <v>14</v>
      </c>
      <c r="O1630" s="2">
        <v>580984.05000000005</v>
      </c>
      <c r="P1630" s="3">
        <v>4079.0430000000001</v>
      </c>
      <c r="Q1630" s="1">
        <v>46033</v>
      </c>
      <c r="R1630" s="1">
        <v>45992</v>
      </c>
      <c r="S1630" s="1">
        <v>46022</v>
      </c>
      <c r="V1630" s="8">
        <v>1</v>
      </c>
      <c r="W1630" t="s">
        <v>24</v>
      </c>
      <c r="X1630" t="s">
        <v>1517</v>
      </c>
      <c r="Y1630" t="s">
        <v>40</v>
      </c>
      <c r="Z1630" t="s">
        <v>11</v>
      </c>
      <c r="AA1630">
        <v>62371</v>
      </c>
      <c r="AB1630">
        <v>17937017</v>
      </c>
      <c r="AC1630">
        <v>0</v>
      </c>
      <c r="AD1630" s="8"/>
    </row>
    <row r="1631" spans="1:30" x14ac:dyDescent="0.3">
      <c r="A1631" t="s">
        <v>1627</v>
      </c>
      <c r="B1631">
        <v>1419801</v>
      </c>
      <c r="D1631" t="s">
        <v>7</v>
      </c>
      <c r="E1631">
        <v>946674</v>
      </c>
      <c r="F1631">
        <v>9015884123</v>
      </c>
      <c r="G1631">
        <v>460</v>
      </c>
      <c r="H1631" t="s">
        <v>1075</v>
      </c>
      <c r="I1631">
        <v>0</v>
      </c>
      <c r="J1631" t="s">
        <v>1076</v>
      </c>
      <c r="K1631" t="s">
        <v>8</v>
      </c>
      <c r="L1631" t="s">
        <v>19</v>
      </c>
      <c r="M1631" t="s">
        <v>9</v>
      </c>
      <c r="N1631" t="s">
        <v>14</v>
      </c>
      <c r="O1631" s="2">
        <v>1298.77</v>
      </c>
      <c r="P1631" s="3">
        <v>6.5730000000000004</v>
      </c>
      <c r="Q1631" s="1">
        <v>46033</v>
      </c>
      <c r="R1631" s="1">
        <v>45992</v>
      </c>
      <c r="S1631" s="1">
        <v>46022</v>
      </c>
      <c r="V1631" s="8">
        <v>1</v>
      </c>
      <c r="W1631" t="s">
        <v>24</v>
      </c>
      <c r="X1631" t="s">
        <v>1077</v>
      </c>
      <c r="Y1631" t="s">
        <v>678</v>
      </c>
      <c r="Z1631" t="s">
        <v>11</v>
      </c>
      <c r="AA1631">
        <v>62371</v>
      </c>
      <c r="AB1631">
        <v>21411268</v>
      </c>
      <c r="AC1631">
        <v>0</v>
      </c>
      <c r="AD1631" s="8"/>
    </row>
    <row r="1632" spans="1:30" x14ac:dyDescent="0.3">
      <c r="A1632" t="s">
        <v>1627</v>
      </c>
      <c r="B1632">
        <v>1414342</v>
      </c>
      <c r="D1632" t="s">
        <v>7</v>
      </c>
      <c r="E1632">
        <v>946436</v>
      </c>
      <c r="F1632">
        <v>9015884123</v>
      </c>
      <c r="G1632">
        <v>385</v>
      </c>
      <c r="H1632" t="s">
        <v>79</v>
      </c>
      <c r="I1632">
        <v>0</v>
      </c>
      <c r="J1632" t="s">
        <v>80</v>
      </c>
      <c r="K1632" t="s">
        <v>8</v>
      </c>
      <c r="L1632" t="s">
        <v>19</v>
      </c>
      <c r="M1632" t="s">
        <v>9</v>
      </c>
      <c r="N1632" t="s">
        <v>14</v>
      </c>
      <c r="O1632" s="2">
        <v>48025.27</v>
      </c>
      <c r="P1632" s="3">
        <v>243.053</v>
      </c>
      <c r="Q1632" s="1">
        <v>46033</v>
      </c>
      <c r="R1632" s="1">
        <v>45992</v>
      </c>
      <c r="S1632" s="1">
        <v>46022</v>
      </c>
      <c r="V1632" s="8">
        <v>1</v>
      </c>
      <c r="W1632" t="s">
        <v>24</v>
      </c>
      <c r="X1632" t="s">
        <v>81</v>
      </c>
      <c r="Y1632" t="s">
        <v>68</v>
      </c>
      <c r="Z1632" t="s">
        <v>11</v>
      </c>
      <c r="AA1632">
        <v>62371</v>
      </c>
      <c r="AB1632">
        <v>21342685</v>
      </c>
      <c r="AC1632">
        <v>0</v>
      </c>
      <c r="AD1632" s="8"/>
    </row>
    <row r="1633" spans="1:30" x14ac:dyDescent="0.3">
      <c r="A1633" t="s">
        <v>1627</v>
      </c>
      <c r="B1633">
        <v>1297678</v>
      </c>
      <c r="D1633" t="s">
        <v>7</v>
      </c>
      <c r="E1633">
        <v>945127</v>
      </c>
      <c r="F1633">
        <v>9015884123</v>
      </c>
      <c r="G1633">
        <v>16</v>
      </c>
      <c r="H1633" t="s">
        <v>1003</v>
      </c>
      <c r="I1633">
        <v>0</v>
      </c>
      <c r="J1633" t="s">
        <v>1004</v>
      </c>
      <c r="K1633" t="s">
        <v>8</v>
      </c>
      <c r="L1633" t="s">
        <v>19</v>
      </c>
      <c r="M1633" t="s">
        <v>9</v>
      </c>
      <c r="N1633" t="s">
        <v>14</v>
      </c>
      <c r="O1633" s="2">
        <v>355.84</v>
      </c>
      <c r="P1633" s="3">
        <v>2.181</v>
      </c>
      <c r="Q1633" s="1">
        <v>46033</v>
      </c>
      <c r="R1633" s="1">
        <v>45992</v>
      </c>
      <c r="S1633" s="1">
        <v>46022</v>
      </c>
      <c r="V1633" s="8">
        <v>1</v>
      </c>
      <c r="W1633" t="s">
        <v>24</v>
      </c>
      <c r="X1633" t="s">
        <v>1005</v>
      </c>
      <c r="Y1633" t="s">
        <v>10</v>
      </c>
      <c r="Z1633" t="s">
        <v>11</v>
      </c>
      <c r="AA1633">
        <v>62371</v>
      </c>
      <c r="AB1633">
        <v>21394687</v>
      </c>
      <c r="AC1633">
        <v>1</v>
      </c>
      <c r="AD1633" s="8"/>
    </row>
    <row r="1634" spans="1:30" x14ac:dyDescent="0.3">
      <c r="A1634" t="s">
        <v>1627</v>
      </c>
      <c r="B1634">
        <v>1296986</v>
      </c>
      <c r="D1634" t="s">
        <v>7</v>
      </c>
      <c r="E1634">
        <v>945125</v>
      </c>
      <c r="F1634">
        <v>9015884123</v>
      </c>
      <c r="G1634">
        <v>15</v>
      </c>
      <c r="H1634" t="s">
        <v>1328</v>
      </c>
      <c r="I1634">
        <v>0</v>
      </c>
      <c r="J1634" t="s">
        <v>1329</v>
      </c>
      <c r="K1634" t="s">
        <v>8</v>
      </c>
      <c r="L1634" t="s">
        <v>18</v>
      </c>
      <c r="M1634" t="s">
        <v>9</v>
      </c>
      <c r="N1634" t="s">
        <v>14</v>
      </c>
      <c r="O1634" s="2">
        <v>-0.89</v>
      </c>
      <c r="P1634" s="3">
        <v>0</v>
      </c>
      <c r="Q1634" s="1">
        <v>46033</v>
      </c>
      <c r="R1634" s="1">
        <v>45992</v>
      </c>
      <c r="S1634" s="1">
        <v>46022</v>
      </c>
      <c r="V1634" s="8">
        <v>1</v>
      </c>
      <c r="W1634" t="s">
        <v>24</v>
      </c>
      <c r="X1634" t="s">
        <v>1330</v>
      </c>
      <c r="Y1634" t="s">
        <v>10</v>
      </c>
      <c r="Z1634" t="s">
        <v>11</v>
      </c>
      <c r="AA1634">
        <v>62371</v>
      </c>
      <c r="AB1634">
        <v>21394688</v>
      </c>
      <c r="AC1634">
        <v>1</v>
      </c>
      <c r="AD1634" s="8"/>
    </row>
    <row r="1635" spans="1:30" x14ac:dyDescent="0.3">
      <c r="A1635" t="s">
        <v>1627</v>
      </c>
      <c r="B1635">
        <v>1297930</v>
      </c>
      <c r="D1635" t="s">
        <v>7</v>
      </c>
      <c r="E1635">
        <v>945138</v>
      </c>
      <c r="F1635">
        <v>9015884123</v>
      </c>
      <c r="G1635">
        <v>20</v>
      </c>
      <c r="H1635" t="s">
        <v>1006</v>
      </c>
      <c r="I1635">
        <v>0</v>
      </c>
      <c r="J1635" t="s">
        <v>1007</v>
      </c>
      <c r="K1635" t="s">
        <v>8</v>
      </c>
      <c r="L1635" t="s">
        <v>18</v>
      </c>
      <c r="M1635" t="s">
        <v>9</v>
      </c>
      <c r="N1635" t="s">
        <v>14</v>
      </c>
      <c r="O1635" s="2">
        <v>2.39</v>
      </c>
      <c r="P1635" s="3">
        <v>0</v>
      </c>
      <c r="Q1635" s="1">
        <v>46033</v>
      </c>
      <c r="R1635" s="1">
        <v>45992</v>
      </c>
      <c r="S1635" s="1">
        <v>46022</v>
      </c>
      <c r="V1635" s="8">
        <v>1</v>
      </c>
      <c r="W1635" t="s">
        <v>24</v>
      </c>
      <c r="X1635" t="s">
        <v>1008</v>
      </c>
      <c r="Y1635" t="s">
        <v>10</v>
      </c>
      <c r="Z1635" t="s">
        <v>11</v>
      </c>
      <c r="AA1635">
        <v>62371</v>
      </c>
      <c r="AB1635">
        <v>21394684</v>
      </c>
      <c r="AC1635">
        <v>1</v>
      </c>
      <c r="AD1635" s="8"/>
    </row>
    <row r="1636" spans="1:30" x14ac:dyDescent="0.3">
      <c r="A1636" t="s">
        <v>1627</v>
      </c>
      <c r="B1636">
        <v>1303717</v>
      </c>
      <c r="D1636" t="s">
        <v>7</v>
      </c>
      <c r="E1636">
        <v>945154</v>
      </c>
      <c r="F1636">
        <v>9015884123</v>
      </c>
      <c r="G1636">
        <v>29</v>
      </c>
      <c r="H1636" t="s">
        <v>1331</v>
      </c>
      <c r="I1636">
        <v>0</v>
      </c>
      <c r="J1636" t="s">
        <v>1332</v>
      </c>
      <c r="K1636" t="s">
        <v>8</v>
      </c>
      <c r="L1636" t="s">
        <v>67</v>
      </c>
      <c r="M1636" t="s">
        <v>9</v>
      </c>
      <c r="N1636" t="s">
        <v>14</v>
      </c>
      <c r="O1636" s="2">
        <v>605000.18000000005</v>
      </c>
      <c r="P1636" s="3">
        <v>5602.0739999999996</v>
      </c>
      <c r="Q1636" s="1">
        <v>46033</v>
      </c>
      <c r="R1636" s="1">
        <v>45992</v>
      </c>
      <c r="S1636" s="1">
        <v>46022</v>
      </c>
      <c r="V1636" s="8">
        <v>1</v>
      </c>
      <c r="W1636" t="s">
        <v>24</v>
      </c>
      <c r="X1636" t="s">
        <v>1333</v>
      </c>
      <c r="Y1636" t="s">
        <v>10</v>
      </c>
      <c r="Z1636" t="s">
        <v>11</v>
      </c>
      <c r="AA1636">
        <v>62371</v>
      </c>
      <c r="AB1636">
        <v>17198482</v>
      </c>
      <c r="AC1636">
        <v>1</v>
      </c>
      <c r="AD1636" s="8"/>
    </row>
    <row r="1637" spans="1:30" x14ac:dyDescent="0.3">
      <c r="A1637" t="s">
        <v>1627</v>
      </c>
      <c r="B1637">
        <v>1420782</v>
      </c>
      <c r="D1637" t="s">
        <v>7</v>
      </c>
      <c r="E1637">
        <v>946683</v>
      </c>
      <c r="F1637">
        <v>9015884123</v>
      </c>
      <c r="G1637">
        <v>463</v>
      </c>
      <c r="H1637" t="s">
        <v>90</v>
      </c>
      <c r="I1637">
        <v>0</v>
      </c>
      <c r="J1637" t="s">
        <v>91</v>
      </c>
      <c r="K1637" t="s">
        <v>8</v>
      </c>
      <c r="L1637" t="s">
        <v>19</v>
      </c>
      <c r="M1637" t="s">
        <v>9</v>
      </c>
      <c r="N1637" t="s">
        <v>14</v>
      </c>
      <c r="O1637" s="2">
        <v>196235.91</v>
      </c>
      <c r="P1637" s="3">
        <v>1541.789</v>
      </c>
      <c r="Q1637" s="1">
        <v>46033</v>
      </c>
      <c r="R1637" s="1">
        <v>45992</v>
      </c>
      <c r="S1637" s="1">
        <v>46022</v>
      </c>
      <c r="V1637" s="8">
        <v>2</v>
      </c>
      <c r="W1637" t="s">
        <v>24</v>
      </c>
      <c r="X1637" t="s">
        <v>92</v>
      </c>
      <c r="Y1637" t="s">
        <v>29</v>
      </c>
      <c r="Z1637" t="s">
        <v>11</v>
      </c>
      <c r="AA1637">
        <v>62371</v>
      </c>
      <c r="AB1637">
        <v>18413239</v>
      </c>
      <c r="AC1637">
        <v>1</v>
      </c>
      <c r="AD1637" s="8"/>
    </row>
    <row r="1638" spans="1:30" x14ac:dyDescent="0.3">
      <c r="A1638" t="s">
        <v>1627</v>
      </c>
      <c r="B1638">
        <v>1403705</v>
      </c>
      <c r="D1638" t="s">
        <v>7</v>
      </c>
      <c r="E1638">
        <v>946231</v>
      </c>
      <c r="F1638">
        <v>9015884123</v>
      </c>
      <c r="G1638">
        <v>295</v>
      </c>
      <c r="H1638" t="s">
        <v>1521</v>
      </c>
      <c r="I1638">
        <v>0</v>
      </c>
      <c r="J1638" t="s">
        <v>1522</v>
      </c>
      <c r="K1638" t="s">
        <v>8</v>
      </c>
      <c r="L1638" t="s">
        <v>67</v>
      </c>
      <c r="M1638" t="s">
        <v>9</v>
      </c>
      <c r="N1638" t="s">
        <v>14</v>
      </c>
      <c r="O1638" s="2">
        <v>155717.04</v>
      </c>
      <c r="P1638" s="3">
        <v>1093.277</v>
      </c>
      <c r="Q1638" s="1">
        <v>46033</v>
      </c>
      <c r="R1638" s="1">
        <v>45992</v>
      </c>
      <c r="S1638" s="1">
        <v>46022</v>
      </c>
      <c r="V1638" s="8">
        <v>1</v>
      </c>
      <c r="W1638" t="s">
        <v>24</v>
      </c>
      <c r="X1638" t="s">
        <v>1523</v>
      </c>
      <c r="Y1638" t="s">
        <v>61</v>
      </c>
      <c r="Z1638" t="s">
        <v>11</v>
      </c>
      <c r="AA1638">
        <v>62371</v>
      </c>
      <c r="AB1638">
        <v>18102167</v>
      </c>
      <c r="AC1638">
        <v>0</v>
      </c>
      <c r="AD1638" s="8"/>
    </row>
    <row r="1639" spans="1:30" x14ac:dyDescent="0.3">
      <c r="A1639" t="s">
        <v>1627</v>
      </c>
      <c r="B1639">
        <v>1317345</v>
      </c>
      <c r="D1639" t="s">
        <v>7</v>
      </c>
      <c r="E1639">
        <v>945182</v>
      </c>
      <c r="F1639">
        <v>9015884123</v>
      </c>
      <c r="G1639">
        <v>43</v>
      </c>
      <c r="H1639" t="s">
        <v>1316</v>
      </c>
      <c r="I1639">
        <v>0</v>
      </c>
      <c r="J1639" t="s">
        <v>1317</v>
      </c>
      <c r="K1639" t="s">
        <v>8</v>
      </c>
      <c r="L1639" t="s">
        <v>67</v>
      </c>
      <c r="M1639" t="s">
        <v>9</v>
      </c>
      <c r="N1639" t="s">
        <v>14</v>
      </c>
      <c r="O1639" s="2">
        <v>1908810.3</v>
      </c>
      <c r="P1639" s="3">
        <v>17674.865000000002</v>
      </c>
      <c r="Q1639" s="1">
        <v>46033</v>
      </c>
      <c r="R1639" s="1">
        <v>45992</v>
      </c>
      <c r="S1639" s="1">
        <v>46022</v>
      </c>
      <c r="V1639" s="8">
        <v>1</v>
      </c>
      <c r="W1639" t="s">
        <v>24</v>
      </c>
      <c r="X1639" t="s">
        <v>1318</v>
      </c>
      <c r="Y1639" t="s">
        <v>10</v>
      </c>
      <c r="Z1639" t="s">
        <v>11</v>
      </c>
      <c r="AA1639">
        <v>62371</v>
      </c>
      <c r="AB1639">
        <v>19553692</v>
      </c>
      <c r="AC1639">
        <v>1</v>
      </c>
      <c r="AD1639" s="8"/>
    </row>
    <row r="1640" spans="1:30" x14ac:dyDescent="0.3">
      <c r="A1640" t="s">
        <v>1627</v>
      </c>
      <c r="B1640">
        <v>1335625</v>
      </c>
      <c r="D1640" t="s">
        <v>7</v>
      </c>
      <c r="E1640">
        <v>945194</v>
      </c>
      <c r="F1640">
        <v>9015884123</v>
      </c>
      <c r="G1640">
        <v>50</v>
      </c>
      <c r="H1640" t="s">
        <v>1482</v>
      </c>
      <c r="I1640">
        <v>0</v>
      </c>
      <c r="J1640" t="s">
        <v>1483</v>
      </c>
      <c r="K1640" t="s">
        <v>8</v>
      </c>
      <c r="L1640" t="s">
        <v>18</v>
      </c>
      <c r="M1640" t="s">
        <v>9</v>
      </c>
      <c r="N1640" t="s">
        <v>14</v>
      </c>
      <c r="O1640" s="2">
        <v>0.05</v>
      </c>
      <c r="P1640" s="3">
        <v>0</v>
      </c>
      <c r="Q1640" s="1">
        <v>46033</v>
      </c>
      <c r="R1640" s="1">
        <v>45992</v>
      </c>
      <c r="S1640" s="1">
        <v>46022</v>
      </c>
      <c r="V1640" s="8">
        <v>1</v>
      </c>
      <c r="W1640" t="s">
        <v>24</v>
      </c>
      <c r="X1640" t="s">
        <v>1484</v>
      </c>
      <c r="Y1640" t="s">
        <v>10</v>
      </c>
      <c r="Z1640" t="s">
        <v>11</v>
      </c>
      <c r="AA1640">
        <v>62371</v>
      </c>
      <c r="AB1640">
        <v>17513208</v>
      </c>
      <c r="AC1640">
        <v>1</v>
      </c>
      <c r="AD1640" s="8"/>
    </row>
    <row r="1641" spans="1:30" x14ac:dyDescent="0.3">
      <c r="A1641" t="s">
        <v>1627</v>
      </c>
      <c r="B1641">
        <v>1340629</v>
      </c>
      <c r="D1641" t="s">
        <v>7</v>
      </c>
      <c r="E1641">
        <v>945229</v>
      </c>
      <c r="F1641">
        <v>9015884123</v>
      </c>
      <c r="G1641">
        <v>60</v>
      </c>
      <c r="H1641" t="s">
        <v>1624</v>
      </c>
      <c r="I1641">
        <v>0</v>
      </c>
      <c r="J1641" t="s">
        <v>1625</v>
      </c>
      <c r="K1641" t="s">
        <v>8</v>
      </c>
      <c r="L1641" t="s">
        <v>18</v>
      </c>
      <c r="M1641" t="s">
        <v>9</v>
      </c>
      <c r="N1641" t="s">
        <v>14</v>
      </c>
      <c r="O1641" s="2">
        <v>3.15</v>
      </c>
      <c r="P1641" s="3">
        <v>0</v>
      </c>
      <c r="Q1641" s="1">
        <v>46033</v>
      </c>
      <c r="R1641" s="1">
        <v>45992</v>
      </c>
      <c r="S1641" s="1">
        <v>46022</v>
      </c>
      <c r="V1641" s="8">
        <v>1</v>
      </c>
      <c r="W1641" t="s">
        <v>24</v>
      </c>
      <c r="X1641" t="s">
        <v>1626</v>
      </c>
      <c r="Y1641" t="s">
        <v>10</v>
      </c>
      <c r="Z1641" t="s">
        <v>11</v>
      </c>
      <c r="AA1641">
        <v>62371</v>
      </c>
      <c r="AB1641">
        <v>19384964</v>
      </c>
      <c r="AC1641">
        <v>0</v>
      </c>
      <c r="AD1641" s="8"/>
    </row>
    <row r="1642" spans="1:30" x14ac:dyDescent="0.3">
      <c r="A1642" t="s">
        <v>1627</v>
      </c>
      <c r="B1642">
        <v>1406227</v>
      </c>
      <c r="D1642" t="s">
        <v>7</v>
      </c>
      <c r="E1642">
        <v>946295</v>
      </c>
      <c r="F1642">
        <v>9015884123</v>
      </c>
      <c r="G1642">
        <v>320</v>
      </c>
      <c r="H1642" t="s">
        <v>148</v>
      </c>
      <c r="I1642">
        <v>0</v>
      </c>
      <c r="J1642" t="s">
        <v>149</v>
      </c>
      <c r="K1642" t="s">
        <v>8</v>
      </c>
      <c r="L1642" t="s">
        <v>67</v>
      </c>
      <c r="M1642" t="s">
        <v>9</v>
      </c>
      <c r="N1642" t="s">
        <v>14</v>
      </c>
      <c r="O1642" s="2">
        <v>52352.13</v>
      </c>
      <c r="P1642" s="3">
        <v>484.76100000000002</v>
      </c>
      <c r="Q1642" s="1">
        <v>46033</v>
      </c>
      <c r="R1642" s="1">
        <v>45992</v>
      </c>
      <c r="S1642" s="1">
        <v>46022</v>
      </c>
      <c r="V1642" s="8">
        <v>1</v>
      </c>
      <c r="W1642" t="s">
        <v>24</v>
      </c>
      <c r="X1642" t="s">
        <v>150</v>
      </c>
      <c r="Y1642" t="s">
        <v>34</v>
      </c>
      <c r="Z1642" t="s">
        <v>11</v>
      </c>
      <c r="AA1642">
        <v>62371</v>
      </c>
      <c r="AB1642">
        <v>21249992</v>
      </c>
      <c r="AC1642">
        <v>1</v>
      </c>
      <c r="AD1642" s="8"/>
    </row>
    <row r="1643" spans="1:30" x14ac:dyDescent="0.3">
      <c r="A1643" t="s">
        <v>1627</v>
      </c>
      <c r="B1643">
        <v>1354511</v>
      </c>
      <c r="D1643" t="s">
        <v>7</v>
      </c>
      <c r="E1643">
        <v>945353</v>
      </c>
      <c r="F1643">
        <v>9015884123</v>
      </c>
      <c r="G1643">
        <v>97</v>
      </c>
      <c r="H1643" t="s">
        <v>1349</v>
      </c>
      <c r="I1643">
        <v>0</v>
      </c>
      <c r="J1643" t="s">
        <v>1350</v>
      </c>
      <c r="K1643" t="s">
        <v>8</v>
      </c>
      <c r="L1643" t="s">
        <v>19</v>
      </c>
      <c r="M1643" t="s">
        <v>9</v>
      </c>
      <c r="N1643" t="s">
        <v>14</v>
      </c>
      <c r="O1643" s="2">
        <v>2026.11</v>
      </c>
      <c r="P1643" s="3">
        <v>10.254</v>
      </c>
      <c r="Q1643" s="1">
        <v>46033</v>
      </c>
      <c r="R1643" s="1">
        <v>45992</v>
      </c>
      <c r="S1643" s="1">
        <v>46022</v>
      </c>
      <c r="V1643" s="8">
        <v>1</v>
      </c>
      <c r="W1643" t="s">
        <v>24</v>
      </c>
      <c r="X1643" t="s">
        <v>1351</v>
      </c>
      <c r="Y1643" t="s">
        <v>32</v>
      </c>
      <c r="Z1643" t="s">
        <v>11</v>
      </c>
      <c r="AA1643">
        <v>62371</v>
      </c>
      <c r="AB1643">
        <v>17704685</v>
      </c>
      <c r="AC1643">
        <v>0</v>
      </c>
      <c r="AD1643" s="8"/>
    </row>
    <row r="1644" spans="1:30" x14ac:dyDescent="0.3">
      <c r="A1644" t="s">
        <v>1627</v>
      </c>
      <c r="B1644">
        <v>1405495</v>
      </c>
      <c r="D1644" t="s">
        <v>7</v>
      </c>
      <c r="E1644">
        <v>946264</v>
      </c>
      <c r="F1644">
        <v>9015884123</v>
      </c>
      <c r="G1644">
        <v>307</v>
      </c>
      <c r="H1644" t="s">
        <v>130</v>
      </c>
      <c r="I1644">
        <v>0</v>
      </c>
      <c r="J1644" t="s">
        <v>131</v>
      </c>
      <c r="K1644" t="s">
        <v>8</v>
      </c>
      <c r="L1644" t="s">
        <v>67</v>
      </c>
      <c r="M1644" t="s">
        <v>9</v>
      </c>
      <c r="N1644" t="s">
        <v>14</v>
      </c>
      <c r="O1644" s="2">
        <v>839009.69</v>
      </c>
      <c r="P1644" s="3">
        <v>7768.9139999999998</v>
      </c>
      <c r="Q1644" s="1">
        <v>46033</v>
      </c>
      <c r="R1644" s="1">
        <v>45992</v>
      </c>
      <c r="S1644" s="1">
        <v>46022</v>
      </c>
      <c r="V1644" s="8">
        <v>1</v>
      </c>
      <c r="W1644" t="s">
        <v>24</v>
      </c>
      <c r="X1644" t="s">
        <v>132</v>
      </c>
      <c r="Y1644" t="s">
        <v>31</v>
      </c>
      <c r="Z1644" t="s">
        <v>11</v>
      </c>
      <c r="AA1644">
        <v>62371</v>
      </c>
      <c r="AB1644">
        <v>21396617</v>
      </c>
      <c r="AC1644">
        <v>1</v>
      </c>
      <c r="AD1644" s="8"/>
    </row>
    <row r="1645" spans="1:30" x14ac:dyDescent="0.3">
      <c r="A1645" t="s">
        <v>1627</v>
      </c>
      <c r="B1645">
        <v>1403693</v>
      </c>
      <c r="D1645" t="s">
        <v>7</v>
      </c>
      <c r="E1645">
        <v>946166</v>
      </c>
      <c r="F1645">
        <v>9015884123</v>
      </c>
      <c r="G1645">
        <v>273</v>
      </c>
      <c r="H1645" t="s">
        <v>133</v>
      </c>
      <c r="I1645">
        <v>0</v>
      </c>
      <c r="J1645" t="s">
        <v>134</v>
      </c>
      <c r="K1645" t="s">
        <v>8</v>
      </c>
      <c r="L1645" t="s">
        <v>18</v>
      </c>
      <c r="M1645" t="s">
        <v>9</v>
      </c>
      <c r="N1645" t="s">
        <v>14</v>
      </c>
      <c r="O1645" s="2">
        <v>2.4700000000000002</v>
      </c>
      <c r="P1645" s="3">
        <v>0</v>
      </c>
      <c r="Q1645" s="1">
        <v>46033</v>
      </c>
      <c r="R1645" s="1">
        <v>45992</v>
      </c>
      <c r="S1645" s="1">
        <v>46022</v>
      </c>
      <c r="V1645" s="8">
        <v>1</v>
      </c>
      <c r="W1645" t="s">
        <v>24</v>
      </c>
      <c r="X1645" t="s">
        <v>135</v>
      </c>
      <c r="Y1645" t="s">
        <v>31</v>
      </c>
      <c r="Z1645" t="s">
        <v>11</v>
      </c>
      <c r="AA1645">
        <v>62371</v>
      </c>
      <c r="AB1645">
        <v>18461620</v>
      </c>
      <c r="AC1645">
        <v>1</v>
      </c>
      <c r="AD1645" s="8"/>
    </row>
    <row r="1646" spans="1:30" x14ac:dyDescent="0.3">
      <c r="A1646" t="s">
        <v>1627</v>
      </c>
      <c r="B1646">
        <v>1383090</v>
      </c>
      <c r="D1646" t="s">
        <v>7</v>
      </c>
      <c r="E1646">
        <v>946015</v>
      </c>
      <c r="F1646">
        <v>9015884123</v>
      </c>
      <c r="G1646">
        <v>225</v>
      </c>
      <c r="H1646" t="s">
        <v>163</v>
      </c>
      <c r="I1646">
        <v>0</v>
      </c>
      <c r="J1646" t="s">
        <v>164</v>
      </c>
      <c r="K1646" t="s">
        <v>8</v>
      </c>
      <c r="L1646" t="s">
        <v>15</v>
      </c>
      <c r="M1646" t="s">
        <v>9</v>
      </c>
      <c r="N1646" t="s">
        <v>14</v>
      </c>
      <c r="O1646" s="2">
        <v>0</v>
      </c>
      <c r="P1646" s="3">
        <v>33.801000000000002</v>
      </c>
      <c r="Q1646" s="1">
        <v>46033</v>
      </c>
      <c r="R1646" s="1">
        <v>45992</v>
      </c>
      <c r="S1646" s="1">
        <v>46022</v>
      </c>
      <c r="V1646" s="8">
        <v>1</v>
      </c>
      <c r="W1646" t="s">
        <v>24</v>
      </c>
      <c r="X1646" t="s">
        <v>165</v>
      </c>
      <c r="Y1646" t="s">
        <v>31</v>
      </c>
      <c r="Z1646" t="s">
        <v>11</v>
      </c>
      <c r="AA1646">
        <v>62371</v>
      </c>
      <c r="AB1646">
        <v>21392094</v>
      </c>
      <c r="AC1646">
        <v>1</v>
      </c>
      <c r="AD1646" s="8"/>
    </row>
    <row r="1647" spans="1:30" x14ac:dyDescent="0.3">
      <c r="A1647" t="s">
        <v>1627</v>
      </c>
      <c r="B1647">
        <v>1408944</v>
      </c>
      <c r="D1647" t="s">
        <v>7</v>
      </c>
      <c r="E1647">
        <v>946347</v>
      </c>
      <c r="F1647">
        <v>9015884123</v>
      </c>
      <c r="G1647">
        <v>347</v>
      </c>
      <c r="H1647" t="s">
        <v>1033</v>
      </c>
      <c r="I1647">
        <v>0</v>
      </c>
      <c r="J1647" t="s">
        <v>1034</v>
      </c>
      <c r="K1647" t="s">
        <v>8</v>
      </c>
      <c r="L1647" t="s">
        <v>19</v>
      </c>
      <c r="M1647" t="s">
        <v>9</v>
      </c>
      <c r="N1647" t="s">
        <v>14</v>
      </c>
      <c r="O1647" s="2">
        <v>163289.23000000001</v>
      </c>
      <c r="P1647" s="3">
        <v>826.39700000000005</v>
      </c>
      <c r="Q1647" s="1">
        <v>46033</v>
      </c>
      <c r="R1647" s="1">
        <v>45992</v>
      </c>
      <c r="S1647" s="1">
        <v>46022</v>
      </c>
      <c r="V1647" s="8">
        <v>1</v>
      </c>
      <c r="W1647" t="s">
        <v>24</v>
      </c>
      <c r="X1647" t="s">
        <v>1035</v>
      </c>
      <c r="Y1647" t="s">
        <v>62</v>
      </c>
      <c r="Z1647" t="s">
        <v>11</v>
      </c>
      <c r="AA1647">
        <v>62371</v>
      </c>
      <c r="AB1647">
        <v>17746989</v>
      </c>
      <c r="AC1647">
        <v>0</v>
      </c>
      <c r="AD1647" s="8"/>
    </row>
    <row r="1648" spans="1:30" x14ac:dyDescent="0.3">
      <c r="A1648" t="s">
        <v>1627</v>
      </c>
      <c r="B1648">
        <v>1411987</v>
      </c>
      <c r="D1648" t="s">
        <v>7</v>
      </c>
      <c r="E1648">
        <v>946386</v>
      </c>
      <c r="F1648">
        <v>9015884123</v>
      </c>
      <c r="G1648">
        <v>367</v>
      </c>
      <c r="H1648" t="s">
        <v>608</v>
      </c>
      <c r="I1648">
        <v>0</v>
      </c>
      <c r="J1648" t="s">
        <v>609</v>
      </c>
      <c r="K1648" t="s">
        <v>8</v>
      </c>
      <c r="L1648" t="s">
        <v>15</v>
      </c>
      <c r="M1648" t="s">
        <v>9</v>
      </c>
      <c r="N1648" t="s">
        <v>14</v>
      </c>
      <c r="O1648" s="2">
        <v>0</v>
      </c>
      <c r="P1648" s="3">
        <v>2701.078</v>
      </c>
      <c r="Q1648" s="1">
        <v>46033</v>
      </c>
      <c r="R1648" s="1">
        <v>45992</v>
      </c>
      <c r="S1648" s="1">
        <v>46022</v>
      </c>
      <c r="V1648" s="8">
        <v>1</v>
      </c>
      <c r="W1648" t="s">
        <v>24</v>
      </c>
      <c r="X1648" t="s">
        <v>610</v>
      </c>
      <c r="Y1648" t="s">
        <v>590</v>
      </c>
      <c r="Z1648" t="s">
        <v>11</v>
      </c>
      <c r="AA1648">
        <v>62371</v>
      </c>
      <c r="AB1648">
        <v>17560581</v>
      </c>
      <c r="AC1648">
        <v>0</v>
      </c>
      <c r="AD1648" s="8"/>
    </row>
    <row r="1649" spans="1:30" x14ac:dyDescent="0.3">
      <c r="A1649" t="s">
        <v>1627</v>
      </c>
      <c r="B1649">
        <v>1356203</v>
      </c>
      <c r="D1649" t="s">
        <v>7</v>
      </c>
      <c r="E1649">
        <v>945404</v>
      </c>
      <c r="F1649">
        <v>9015884123</v>
      </c>
      <c r="G1649">
        <v>113</v>
      </c>
      <c r="H1649" t="s">
        <v>169</v>
      </c>
      <c r="I1649">
        <v>0</v>
      </c>
      <c r="J1649" t="s">
        <v>170</v>
      </c>
      <c r="K1649" t="s">
        <v>8</v>
      </c>
      <c r="L1649" t="s">
        <v>19</v>
      </c>
      <c r="M1649" t="s">
        <v>9</v>
      </c>
      <c r="N1649" t="s">
        <v>14</v>
      </c>
      <c r="O1649" s="2">
        <v>32875.120000000003</v>
      </c>
      <c r="P1649" s="3">
        <v>166.37899999999999</v>
      </c>
      <c r="Q1649" s="1">
        <v>46033</v>
      </c>
      <c r="R1649" s="1">
        <v>45992</v>
      </c>
      <c r="S1649" s="1">
        <v>46022</v>
      </c>
      <c r="V1649" s="8">
        <v>1</v>
      </c>
      <c r="W1649" t="s">
        <v>24</v>
      </c>
      <c r="X1649" t="s">
        <v>171</v>
      </c>
      <c r="Y1649" t="s">
        <v>31</v>
      </c>
      <c r="Z1649" t="s">
        <v>11</v>
      </c>
      <c r="AA1649">
        <v>62371</v>
      </c>
      <c r="AB1649">
        <v>17426447</v>
      </c>
      <c r="AC1649">
        <v>0</v>
      </c>
      <c r="AD1649" s="8"/>
    </row>
    <row r="1650" spans="1:30" x14ac:dyDescent="0.3">
      <c r="A1650" t="s">
        <v>1627</v>
      </c>
      <c r="B1650">
        <v>1384359</v>
      </c>
      <c r="D1650" t="s">
        <v>7</v>
      </c>
      <c r="E1650">
        <v>946031</v>
      </c>
      <c r="F1650">
        <v>9015884123</v>
      </c>
      <c r="G1650">
        <v>231</v>
      </c>
      <c r="H1650" t="s">
        <v>721</v>
      </c>
      <c r="I1650">
        <v>0</v>
      </c>
      <c r="J1650" t="s">
        <v>722</v>
      </c>
      <c r="K1650" t="s">
        <v>8</v>
      </c>
      <c r="L1650" t="s">
        <v>18</v>
      </c>
      <c r="M1650" t="s">
        <v>9</v>
      </c>
      <c r="N1650" t="s">
        <v>14</v>
      </c>
      <c r="O1650" s="2">
        <v>-1.78</v>
      </c>
      <c r="P1650" s="3">
        <v>0</v>
      </c>
      <c r="Q1650" s="1">
        <v>46033</v>
      </c>
      <c r="R1650" s="1">
        <v>45992</v>
      </c>
      <c r="S1650" s="1">
        <v>46022</v>
      </c>
      <c r="V1650" s="8">
        <v>2</v>
      </c>
      <c r="W1650" t="s">
        <v>24</v>
      </c>
      <c r="X1650" t="s">
        <v>723</v>
      </c>
      <c r="Y1650" t="s">
        <v>34</v>
      </c>
      <c r="Z1650" t="s">
        <v>11</v>
      </c>
      <c r="AA1650">
        <v>62371</v>
      </c>
      <c r="AB1650">
        <v>18741899</v>
      </c>
      <c r="AC1650">
        <v>1</v>
      </c>
      <c r="AD1650" s="8"/>
    </row>
    <row r="1651" spans="1:30" x14ac:dyDescent="0.3">
      <c r="A1651" t="s">
        <v>1627</v>
      </c>
      <c r="B1651">
        <v>1411974</v>
      </c>
      <c r="D1651" t="s">
        <v>7</v>
      </c>
      <c r="E1651">
        <v>946394</v>
      </c>
      <c r="F1651">
        <v>9015884123</v>
      </c>
      <c r="G1651">
        <v>371</v>
      </c>
      <c r="H1651" t="s">
        <v>1039</v>
      </c>
      <c r="I1651">
        <v>0</v>
      </c>
      <c r="J1651" t="s">
        <v>1040</v>
      </c>
      <c r="K1651" t="s">
        <v>8</v>
      </c>
      <c r="L1651" t="s">
        <v>18</v>
      </c>
      <c r="M1651" t="s">
        <v>9</v>
      </c>
      <c r="N1651" t="s">
        <v>14</v>
      </c>
      <c r="O1651" s="2">
        <v>0.78</v>
      </c>
      <c r="P1651" s="3">
        <v>0</v>
      </c>
      <c r="Q1651" s="1">
        <v>46033</v>
      </c>
      <c r="R1651" s="1">
        <v>45992</v>
      </c>
      <c r="S1651" s="1">
        <v>46022</v>
      </c>
      <c r="V1651" s="8">
        <v>1</v>
      </c>
      <c r="W1651" t="s">
        <v>24</v>
      </c>
      <c r="X1651" t="s">
        <v>1041</v>
      </c>
      <c r="Y1651" t="s">
        <v>595</v>
      </c>
      <c r="Z1651" t="s">
        <v>11</v>
      </c>
      <c r="AA1651">
        <v>62371</v>
      </c>
      <c r="AB1651">
        <v>18437261</v>
      </c>
      <c r="AC1651">
        <v>1</v>
      </c>
      <c r="AD1651" s="8"/>
    </row>
    <row r="1652" spans="1:30" x14ac:dyDescent="0.3">
      <c r="A1652" t="s">
        <v>1627</v>
      </c>
      <c r="B1652">
        <v>1353834</v>
      </c>
      <c r="D1652" t="s">
        <v>7</v>
      </c>
      <c r="E1652">
        <v>945359</v>
      </c>
      <c r="F1652">
        <v>9015884123</v>
      </c>
      <c r="G1652">
        <v>99</v>
      </c>
      <c r="H1652" t="s">
        <v>1491</v>
      </c>
      <c r="I1652">
        <v>0</v>
      </c>
      <c r="J1652" t="s">
        <v>1492</v>
      </c>
      <c r="K1652" t="s">
        <v>8</v>
      </c>
      <c r="L1652" t="s">
        <v>67</v>
      </c>
      <c r="M1652" t="s">
        <v>9</v>
      </c>
      <c r="N1652" t="s">
        <v>14</v>
      </c>
      <c r="O1652" s="2">
        <v>526143.94999999995</v>
      </c>
      <c r="P1652" s="3">
        <v>3694.0149999999999</v>
      </c>
      <c r="Q1652" s="1">
        <v>46033</v>
      </c>
      <c r="R1652" s="1">
        <v>45992</v>
      </c>
      <c r="S1652" s="1">
        <v>46022</v>
      </c>
      <c r="V1652" s="8">
        <v>1</v>
      </c>
      <c r="W1652" t="s">
        <v>24</v>
      </c>
      <c r="X1652" t="s">
        <v>1493</v>
      </c>
      <c r="Y1652" t="s">
        <v>38</v>
      </c>
      <c r="Z1652" t="s">
        <v>11</v>
      </c>
      <c r="AA1652">
        <v>62371</v>
      </c>
      <c r="AB1652">
        <v>18345359</v>
      </c>
      <c r="AC1652">
        <v>0</v>
      </c>
      <c r="AD1652" s="8"/>
    </row>
    <row r="1653" spans="1:30" x14ac:dyDescent="0.3">
      <c r="A1653" t="s">
        <v>1627</v>
      </c>
      <c r="B1653">
        <v>1340971</v>
      </c>
      <c r="D1653" t="s">
        <v>7</v>
      </c>
      <c r="E1653">
        <v>945250</v>
      </c>
      <c r="F1653">
        <v>9015884123</v>
      </c>
      <c r="G1653">
        <v>67</v>
      </c>
      <c r="H1653" t="s">
        <v>1494</v>
      </c>
      <c r="I1653">
        <v>0</v>
      </c>
      <c r="J1653" t="s">
        <v>1495</v>
      </c>
      <c r="K1653" t="s">
        <v>8</v>
      </c>
      <c r="L1653" t="s">
        <v>67</v>
      </c>
      <c r="M1653" t="s">
        <v>9</v>
      </c>
      <c r="N1653" t="s">
        <v>14</v>
      </c>
      <c r="O1653" s="2">
        <v>411685.03</v>
      </c>
      <c r="P1653" s="3">
        <v>2890.4079999999999</v>
      </c>
      <c r="Q1653" s="1">
        <v>46033</v>
      </c>
      <c r="R1653" s="1">
        <v>45992</v>
      </c>
      <c r="S1653" s="1">
        <v>46022</v>
      </c>
      <c r="V1653" s="8">
        <v>1</v>
      </c>
      <c r="W1653" t="s">
        <v>24</v>
      </c>
      <c r="X1653" t="s">
        <v>1496</v>
      </c>
      <c r="Y1653" t="s">
        <v>40</v>
      </c>
      <c r="Z1653" t="s">
        <v>11</v>
      </c>
      <c r="AA1653">
        <v>62371</v>
      </c>
      <c r="AB1653">
        <v>18009688</v>
      </c>
      <c r="AC1653">
        <v>0</v>
      </c>
      <c r="AD1653" s="8"/>
    </row>
    <row r="1654" spans="1:30" x14ac:dyDescent="0.3">
      <c r="A1654" t="s">
        <v>1627</v>
      </c>
      <c r="B1654">
        <v>1379271</v>
      </c>
      <c r="D1654" t="s">
        <v>7</v>
      </c>
      <c r="E1654">
        <v>945987</v>
      </c>
      <c r="F1654">
        <v>9015884123</v>
      </c>
      <c r="G1654">
        <v>212</v>
      </c>
      <c r="H1654" t="s">
        <v>1126</v>
      </c>
      <c r="I1654">
        <v>0</v>
      </c>
      <c r="J1654" t="s">
        <v>1127</v>
      </c>
      <c r="K1654" t="s">
        <v>8</v>
      </c>
      <c r="L1654" t="s">
        <v>18</v>
      </c>
      <c r="M1654" t="s">
        <v>9</v>
      </c>
      <c r="N1654" t="s">
        <v>14</v>
      </c>
      <c r="O1654" s="2">
        <v>3.08</v>
      </c>
      <c r="P1654" s="3">
        <v>0</v>
      </c>
      <c r="Q1654" s="1">
        <v>46033</v>
      </c>
      <c r="R1654" s="1">
        <v>45992</v>
      </c>
      <c r="S1654" s="1">
        <v>46022</v>
      </c>
      <c r="V1654" s="8">
        <v>1</v>
      </c>
      <c r="W1654" t="s">
        <v>24</v>
      </c>
      <c r="X1654" t="s">
        <v>1128</v>
      </c>
      <c r="Y1654" t="s">
        <v>34</v>
      </c>
      <c r="Z1654" t="s">
        <v>11</v>
      </c>
      <c r="AA1654">
        <v>62371</v>
      </c>
      <c r="AB1654">
        <v>21249954</v>
      </c>
      <c r="AC1654">
        <v>1</v>
      </c>
      <c r="AD1654" s="8"/>
    </row>
    <row r="1655" spans="1:30" x14ac:dyDescent="0.3">
      <c r="A1655" t="s">
        <v>1627</v>
      </c>
      <c r="B1655">
        <v>1363121</v>
      </c>
      <c r="D1655" t="s">
        <v>7</v>
      </c>
      <c r="E1655">
        <v>945906</v>
      </c>
      <c r="F1655">
        <v>9015884123</v>
      </c>
      <c r="G1655">
        <v>155</v>
      </c>
      <c r="H1655" t="s">
        <v>1159</v>
      </c>
      <c r="I1655">
        <v>0</v>
      </c>
      <c r="J1655" t="s">
        <v>1160</v>
      </c>
      <c r="K1655" t="s">
        <v>8</v>
      </c>
      <c r="L1655" t="s">
        <v>18</v>
      </c>
      <c r="M1655" t="s">
        <v>9</v>
      </c>
      <c r="N1655" t="s">
        <v>14</v>
      </c>
      <c r="O1655" s="2">
        <v>3.66</v>
      </c>
      <c r="P1655" s="3">
        <v>0</v>
      </c>
      <c r="Q1655" s="1">
        <v>46033</v>
      </c>
      <c r="R1655" s="1">
        <v>45992</v>
      </c>
      <c r="S1655" s="1">
        <v>46022</v>
      </c>
      <c r="V1655" s="8">
        <v>1</v>
      </c>
      <c r="W1655" t="s">
        <v>24</v>
      </c>
      <c r="X1655" t="s">
        <v>1161</v>
      </c>
      <c r="Y1655" t="s">
        <v>34</v>
      </c>
      <c r="Z1655" t="s">
        <v>11</v>
      </c>
      <c r="AA1655">
        <v>62371</v>
      </c>
      <c r="AB1655">
        <v>21249920</v>
      </c>
      <c r="AC1655">
        <v>1</v>
      </c>
      <c r="AD1655" s="8"/>
    </row>
    <row r="1656" spans="1:30" x14ac:dyDescent="0.3">
      <c r="A1656" t="s">
        <v>1627</v>
      </c>
      <c r="B1656">
        <v>1363121</v>
      </c>
      <c r="D1656" t="s">
        <v>7</v>
      </c>
      <c r="E1656">
        <v>945906</v>
      </c>
      <c r="F1656">
        <v>9015884123</v>
      </c>
      <c r="G1656">
        <v>155</v>
      </c>
      <c r="H1656" t="s">
        <v>1159</v>
      </c>
      <c r="I1656">
        <v>0</v>
      </c>
      <c r="J1656" t="s">
        <v>1160</v>
      </c>
      <c r="K1656" t="s">
        <v>8</v>
      </c>
      <c r="L1656" t="s">
        <v>15</v>
      </c>
      <c r="M1656" t="s">
        <v>9</v>
      </c>
      <c r="N1656" t="s">
        <v>14</v>
      </c>
      <c r="O1656" s="2">
        <v>0</v>
      </c>
      <c r="P1656" s="3">
        <v>7132.9669999999996</v>
      </c>
      <c r="Q1656" s="1">
        <v>46033</v>
      </c>
      <c r="R1656" s="1">
        <v>45992</v>
      </c>
      <c r="S1656" s="1">
        <v>46022</v>
      </c>
      <c r="V1656" s="8">
        <v>1</v>
      </c>
      <c r="W1656" t="s">
        <v>24</v>
      </c>
      <c r="X1656" t="s">
        <v>1161</v>
      </c>
      <c r="Y1656" t="s">
        <v>34</v>
      </c>
      <c r="Z1656" t="s">
        <v>11</v>
      </c>
      <c r="AA1656">
        <v>62371</v>
      </c>
      <c r="AB1656">
        <v>21249920</v>
      </c>
      <c r="AC1656">
        <v>1</v>
      </c>
      <c r="AD1656" s="8"/>
    </row>
    <row r="1657" spans="1:30" x14ac:dyDescent="0.3">
      <c r="A1657" t="s">
        <v>1627</v>
      </c>
      <c r="B1657">
        <v>1356065</v>
      </c>
      <c r="D1657" t="s">
        <v>7</v>
      </c>
      <c r="E1657">
        <v>945438</v>
      </c>
      <c r="F1657">
        <v>9015884123</v>
      </c>
      <c r="G1657">
        <v>124</v>
      </c>
      <c r="H1657" t="s">
        <v>1379</v>
      </c>
      <c r="I1657">
        <v>0</v>
      </c>
      <c r="J1657" t="s">
        <v>1380</v>
      </c>
      <c r="K1657" t="s">
        <v>8</v>
      </c>
      <c r="L1657" t="s">
        <v>15</v>
      </c>
      <c r="M1657" t="s">
        <v>9</v>
      </c>
      <c r="N1657" t="s">
        <v>14</v>
      </c>
      <c r="O1657" s="2">
        <v>0</v>
      </c>
      <c r="P1657" s="3">
        <v>5150.7979999999998</v>
      </c>
      <c r="Q1657" s="1">
        <v>46033</v>
      </c>
      <c r="R1657" s="1">
        <v>45992</v>
      </c>
      <c r="S1657" s="1">
        <v>46022</v>
      </c>
      <c r="V1657" s="8">
        <v>1</v>
      </c>
      <c r="W1657" t="s">
        <v>24</v>
      </c>
      <c r="X1657" t="s">
        <v>1381</v>
      </c>
      <c r="Y1657" t="s">
        <v>34</v>
      </c>
      <c r="Z1657" t="s">
        <v>11</v>
      </c>
      <c r="AA1657">
        <v>62371</v>
      </c>
      <c r="AB1657">
        <v>17918099</v>
      </c>
      <c r="AC1657">
        <v>0</v>
      </c>
      <c r="AD1657" s="8"/>
    </row>
    <row r="1658" spans="1:30" x14ac:dyDescent="0.3">
      <c r="A1658" t="s">
        <v>1627</v>
      </c>
      <c r="B1658">
        <v>1340971</v>
      </c>
      <c r="D1658" t="s">
        <v>7</v>
      </c>
      <c r="E1658">
        <v>945250</v>
      </c>
      <c r="F1658">
        <v>9015884123</v>
      </c>
      <c r="G1658">
        <v>67</v>
      </c>
      <c r="H1658" t="s">
        <v>1494</v>
      </c>
      <c r="I1658">
        <v>0</v>
      </c>
      <c r="J1658" t="s">
        <v>1495</v>
      </c>
      <c r="K1658" t="s">
        <v>8</v>
      </c>
      <c r="L1658" t="s">
        <v>18</v>
      </c>
      <c r="M1658" t="s">
        <v>9</v>
      </c>
      <c r="N1658" t="s">
        <v>14</v>
      </c>
      <c r="O1658" s="2">
        <v>3.2</v>
      </c>
      <c r="P1658" s="3">
        <v>0</v>
      </c>
      <c r="Q1658" s="1">
        <v>46033</v>
      </c>
      <c r="R1658" s="1">
        <v>45992</v>
      </c>
      <c r="S1658" s="1">
        <v>46022</v>
      </c>
      <c r="V1658" s="8">
        <v>1</v>
      </c>
      <c r="W1658" t="s">
        <v>24</v>
      </c>
      <c r="X1658" t="s">
        <v>1496</v>
      </c>
      <c r="Y1658" t="s">
        <v>40</v>
      </c>
      <c r="Z1658" t="s">
        <v>11</v>
      </c>
      <c r="AA1658">
        <v>62371</v>
      </c>
      <c r="AB1658">
        <v>18009688</v>
      </c>
      <c r="AC1658">
        <v>0</v>
      </c>
      <c r="AD1658" s="8"/>
    </row>
    <row r="1659" spans="1:30" x14ac:dyDescent="0.3">
      <c r="A1659" t="s">
        <v>1627</v>
      </c>
      <c r="B1659">
        <v>1353830</v>
      </c>
      <c r="D1659" t="s">
        <v>7</v>
      </c>
      <c r="E1659">
        <v>945350</v>
      </c>
      <c r="F1659">
        <v>9015884123</v>
      </c>
      <c r="G1659">
        <v>96</v>
      </c>
      <c r="H1659" t="s">
        <v>633</v>
      </c>
      <c r="I1659">
        <v>0</v>
      </c>
      <c r="J1659" t="s">
        <v>634</v>
      </c>
      <c r="K1659" t="s">
        <v>8</v>
      </c>
      <c r="L1659" t="s">
        <v>19</v>
      </c>
      <c r="M1659" t="s">
        <v>9</v>
      </c>
      <c r="N1659" t="s">
        <v>14</v>
      </c>
      <c r="O1659" s="2">
        <v>17524.21</v>
      </c>
      <c r="P1659" s="3">
        <v>88.688999999999993</v>
      </c>
      <c r="Q1659" s="1">
        <v>46033</v>
      </c>
      <c r="R1659" s="1">
        <v>45992</v>
      </c>
      <c r="S1659" s="1">
        <v>46022</v>
      </c>
      <c r="V1659" s="8">
        <v>1</v>
      </c>
      <c r="W1659" t="s">
        <v>24</v>
      </c>
      <c r="X1659" t="s">
        <v>635</v>
      </c>
      <c r="Y1659" t="s">
        <v>40</v>
      </c>
      <c r="Z1659" t="s">
        <v>11</v>
      </c>
      <c r="AA1659">
        <v>62371</v>
      </c>
      <c r="AB1659">
        <v>19816310</v>
      </c>
      <c r="AC1659">
        <v>0</v>
      </c>
      <c r="AD1659" s="8"/>
    </row>
    <row r="1660" spans="1:30" x14ac:dyDescent="0.3">
      <c r="A1660" t="s">
        <v>1627</v>
      </c>
      <c r="B1660">
        <v>1356294</v>
      </c>
      <c r="D1660" t="s">
        <v>7</v>
      </c>
      <c r="E1660">
        <v>945372</v>
      </c>
      <c r="F1660">
        <v>9015884123</v>
      </c>
      <c r="G1660">
        <v>103</v>
      </c>
      <c r="H1660" t="s">
        <v>1051</v>
      </c>
      <c r="I1660">
        <v>0</v>
      </c>
      <c r="J1660" t="s">
        <v>1052</v>
      </c>
      <c r="K1660" t="s">
        <v>8</v>
      </c>
      <c r="L1660" t="s">
        <v>67</v>
      </c>
      <c r="M1660" t="s">
        <v>9</v>
      </c>
      <c r="N1660" t="s">
        <v>14</v>
      </c>
      <c r="O1660" s="2">
        <v>586851.37</v>
      </c>
      <c r="P1660" s="3">
        <v>4120.2370000000001</v>
      </c>
      <c r="Q1660" s="1">
        <v>46033</v>
      </c>
      <c r="R1660" s="1">
        <v>45992</v>
      </c>
      <c r="S1660" s="1">
        <v>46022</v>
      </c>
      <c r="V1660" s="8">
        <v>1</v>
      </c>
      <c r="W1660" t="s">
        <v>24</v>
      </c>
      <c r="X1660" t="s">
        <v>1053</v>
      </c>
      <c r="Y1660" t="s">
        <v>40</v>
      </c>
      <c r="Z1660" t="s">
        <v>11</v>
      </c>
      <c r="AA1660">
        <v>62371</v>
      </c>
      <c r="AB1660">
        <v>17964230</v>
      </c>
      <c r="AC1660">
        <v>0</v>
      </c>
      <c r="AD1660" s="8"/>
    </row>
    <row r="1661" spans="1:30" x14ac:dyDescent="0.3">
      <c r="A1661" t="s">
        <v>1627</v>
      </c>
      <c r="B1661">
        <v>1408938</v>
      </c>
      <c r="D1661" t="s">
        <v>7</v>
      </c>
      <c r="E1661">
        <v>946338</v>
      </c>
      <c r="F1661">
        <v>9015884123</v>
      </c>
      <c r="G1661">
        <v>343</v>
      </c>
      <c r="H1661" t="s">
        <v>179</v>
      </c>
      <c r="I1661">
        <v>0</v>
      </c>
      <c r="J1661" t="s">
        <v>180</v>
      </c>
      <c r="K1661" t="s">
        <v>8</v>
      </c>
      <c r="L1661" t="s">
        <v>18</v>
      </c>
      <c r="M1661" t="s">
        <v>9</v>
      </c>
      <c r="N1661" t="s">
        <v>14</v>
      </c>
      <c r="O1661" s="2">
        <v>-3.95</v>
      </c>
      <c r="P1661" s="3">
        <v>0</v>
      </c>
      <c r="Q1661" s="1">
        <v>46033</v>
      </c>
      <c r="R1661" s="1">
        <v>45992</v>
      </c>
      <c r="S1661" s="1">
        <v>46022</v>
      </c>
      <c r="V1661" s="8">
        <v>1</v>
      </c>
      <c r="W1661" t="s">
        <v>24</v>
      </c>
      <c r="X1661" t="s">
        <v>181</v>
      </c>
      <c r="Y1661" t="s">
        <v>172</v>
      </c>
      <c r="Z1661" t="s">
        <v>11</v>
      </c>
      <c r="AA1661">
        <v>62371</v>
      </c>
      <c r="AB1661">
        <v>18836292</v>
      </c>
      <c r="AC1661">
        <v>0</v>
      </c>
      <c r="AD1661" s="8"/>
    </row>
    <row r="1662" spans="1:30" x14ac:dyDescent="0.3">
      <c r="A1662" t="s">
        <v>1627</v>
      </c>
      <c r="B1662">
        <v>1358836</v>
      </c>
      <c r="D1662" t="s">
        <v>7</v>
      </c>
      <c r="E1662">
        <v>945902</v>
      </c>
      <c r="F1662">
        <v>9015884123</v>
      </c>
      <c r="G1662">
        <v>151</v>
      </c>
      <c r="H1662" t="s">
        <v>605</v>
      </c>
      <c r="I1662">
        <v>0</v>
      </c>
      <c r="J1662" t="s">
        <v>606</v>
      </c>
      <c r="K1662" t="s">
        <v>8</v>
      </c>
      <c r="L1662" t="s">
        <v>67</v>
      </c>
      <c r="M1662" t="s">
        <v>9</v>
      </c>
      <c r="N1662" t="s">
        <v>14</v>
      </c>
      <c r="O1662" s="2">
        <v>462577.12</v>
      </c>
      <c r="P1662" s="3">
        <v>4283.29</v>
      </c>
      <c r="Q1662" s="1">
        <v>46033</v>
      </c>
      <c r="R1662" s="1">
        <v>45992</v>
      </c>
      <c r="S1662" s="1">
        <v>46022</v>
      </c>
      <c r="V1662" s="8">
        <v>1</v>
      </c>
      <c r="W1662" t="s">
        <v>24</v>
      </c>
      <c r="X1662" t="s">
        <v>607</v>
      </c>
      <c r="Y1662" t="s">
        <v>40</v>
      </c>
      <c r="Z1662" t="s">
        <v>11</v>
      </c>
      <c r="AA1662">
        <v>62371</v>
      </c>
      <c r="AB1662">
        <v>21106483</v>
      </c>
      <c r="AC1662">
        <v>1</v>
      </c>
      <c r="AD1662" s="8"/>
    </row>
    <row r="1663" spans="1:30" x14ac:dyDescent="0.3">
      <c r="A1663" t="s">
        <v>1627</v>
      </c>
      <c r="B1663">
        <v>1377760</v>
      </c>
      <c r="D1663" t="s">
        <v>7</v>
      </c>
      <c r="E1663">
        <v>945967</v>
      </c>
      <c r="F1663">
        <v>9015884123</v>
      </c>
      <c r="G1663">
        <v>201</v>
      </c>
      <c r="H1663" t="s">
        <v>1027</v>
      </c>
      <c r="I1663">
        <v>0</v>
      </c>
      <c r="J1663" t="s">
        <v>1028</v>
      </c>
      <c r="K1663" t="s">
        <v>8</v>
      </c>
      <c r="L1663" t="s">
        <v>67</v>
      </c>
      <c r="M1663" t="s">
        <v>9</v>
      </c>
      <c r="N1663" t="s">
        <v>14</v>
      </c>
      <c r="O1663" s="2">
        <v>1360764.36</v>
      </c>
      <c r="P1663" s="3">
        <v>16561.544000000002</v>
      </c>
      <c r="Q1663" s="1">
        <v>46033</v>
      </c>
      <c r="R1663" s="1">
        <v>45992</v>
      </c>
      <c r="S1663" s="1">
        <v>46022</v>
      </c>
      <c r="V1663" s="8">
        <v>2</v>
      </c>
      <c r="W1663" t="s">
        <v>24</v>
      </c>
      <c r="X1663" t="s">
        <v>1029</v>
      </c>
      <c r="Y1663" t="s">
        <v>40</v>
      </c>
      <c r="Z1663" t="s">
        <v>11</v>
      </c>
      <c r="AA1663">
        <v>62371</v>
      </c>
      <c r="AB1663">
        <v>18022004</v>
      </c>
      <c r="AC1663">
        <v>1</v>
      </c>
      <c r="AD1663" s="8"/>
    </row>
    <row r="1664" spans="1:30" x14ac:dyDescent="0.3">
      <c r="A1664" t="s">
        <v>1627</v>
      </c>
      <c r="B1664">
        <v>1379575</v>
      </c>
      <c r="D1664" t="s">
        <v>7</v>
      </c>
      <c r="E1664">
        <v>945974</v>
      </c>
      <c r="F1664">
        <v>9015884123</v>
      </c>
      <c r="G1664">
        <v>205</v>
      </c>
      <c r="H1664" t="s">
        <v>656</v>
      </c>
      <c r="I1664">
        <v>0</v>
      </c>
      <c r="J1664" t="s">
        <v>657</v>
      </c>
      <c r="K1664" t="s">
        <v>8</v>
      </c>
      <c r="L1664" t="s">
        <v>18</v>
      </c>
      <c r="M1664" t="s">
        <v>9</v>
      </c>
      <c r="N1664" t="s">
        <v>14</v>
      </c>
      <c r="O1664" s="2">
        <v>-2.5</v>
      </c>
      <c r="P1664" s="3">
        <v>0</v>
      </c>
      <c r="Q1664" s="1">
        <v>46033</v>
      </c>
      <c r="R1664" s="1">
        <v>45992</v>
      </c>
      <c r="S1664" s="1">
        <v>46022</v>
      </c>
      <c r="V1664" s="8">
        <v>1</v>
      </c>
      <c r="W1664" t="s">
        <v>24</v>
      </c>
      <c r="X1664" t="s">
        <v>658</v>
      </c>
      <c r="Y1664" t="s">
        <v>40</v>
      </c>
      <c r="Z1664" t="s">
        <v>11</v>
      </c>
      <c r="AA1664">
        <v>62371</v>
      </c>
      <c r="AB1664">
        <v>19752769</v>
      </c>
      <c r="AC1664">
        <v>1</v>
      </c>
      <c r="AD1664" s="8"/>
    </row>
    <row r="1665" spans="1:30" x14ac:dyDescent="0.3">
      <c r="A1665" t="s">
        <v>1627</v>
      </c>
      <c r="B1665">
        <v>1345486</v>
      </c>
      <c r="D1665" t="s">
        <v>7</v>
      </c>
      <c r="E1665">
        <v>945282</v>
      </c>
      <c r="F1665">
        <v>9015884123</v>
      </c>
      <c r="G1665">
        <v>76</v>
      </c>
      <c r="H1665" t="s">
        <v>760</v>
      </c>
      <c r="I1665">
        <v>0</v>
      </c>
      <c r="J1665" t="s">
        <v>761</v>
      </c>
      <c r="K1665" t="s">
        <v>8</v>
      </c>
      <c r="L1665" t="s">
        <v>15</v>
      </c>
      <c r="M1665" t="s">
        <v>9</v>
      </c>
      <c r="N1665" t="s">
        <v>14</v>
      </c>
      <c r="O1665" s="2">
        <v>0</v>
      </c>
      <c r="P1665" s="3">
        <v>7012.6379999999999</v>
      </c>
      <c r="Q1665" s="1">
        <v>46033</v>
      </c>
      <c r="R1665" s="1">
        <v>45992</v>
      </c>
      <c r="S1665" s="1">
        <v>46022</v>
      </c>
      <c r="V1665" s="8">
        <v>1</v>
      </c>
      <c r="W1665" t="s">
        <v>24</v>
      </c>
      <c r="X1665" t="s">
        <v>762</v>
      </c>
      <c r="Y1665" t="s">
        <v>10</v>
      </c>
      <c r="Z1665" t="s">
        <v>11</v>
      </c>
      <c r="AA1665">
        <v>62371</v>
      </c>
      <c r="AB1665">
        <v>18508479</v>
      </c>
      <c r="AC1665">
        <v>1</v>
      </c>
      <c r="AD1665" s="8" t="s">
        <v>1650</v>
      </c>
    </row>
    <row r="1666" spans="1:30" x14ac:dyDescent="0.3">
      <c r="A1666" t="s">
        <v>1627</v>
      </c>
      <c r="B1666">
        <v>1342245</v>
      </c>
      <c r="D1666" t="s">
        <v>7</v>
      </c>
      <c r="E1666">
        <v>945269</v>
      </c>
      <c r="F1666">
        <v>9015884123</v>
      </c>
      <c r="G1666">
        <v>72</v>
      </c>
      <c r="H1666" t="s">
        <v>751</v>
      </c>
      <c r="I1666">
        <v>0</v>
      </c>
      <c r="J1666" t="s">
        <v>752</v>
      </c>
      <c r="K1666" t="s">
        <v>8</v>
      </c>
      <c r="L1666" t="s">
        <v>67</v>
      </c>
      <c r="M1666" t="s">
        <v>9</v>
      </c>
      <c r="N1666" t="s">
        <v>14</v>
      </c>
      <c r="O1666" s="2">
        <v>466955.99</v>
      </c>
      <c r="P1666" s="3">
        <v>3278.4609999999998</v>
      </c>
      <c r="Q1666" s="1">
        <v>46033</v>
      </c>
      <c r="R1666" s="1">
        <v>45992</v>
      </c>
      <c r="S1666" s="1">
        <v>46022</v>
      </c>
      <c r="V1666" s="8">
        <v>1</v>
      </c>
      <c r="W1666" t="s">
        <v>24</v>
      </c>
      <c r="X1666" t="s">
        <v>753</v>
      </c>
      <c r="Y1666" t="s">
        <v>10</v>
      </c>
      <c r="Z1666" t="s">
        <v>11</v>
      </c>
      <c r="AA1666">
        <v>62371</v>
      </c>
      <c r="AB1666">
        <v>19392444</v>
      </c>
      <c r="AC1666">
        <v>0</v>
      </c>
      <c r="AD1666" s="8"/>
    </row>
    <row r="1667" spans="1:30" x14ac:dyDescent="0.3">
      <c r="A1667" t="s">
        <v>1627</v>
      </c>
      <c r="B1667">
        <v>1354508</v>
      </c>
      <c r="D1667" t="s">
        <v>7</v>
      </c>
      <c r="E1667">
        <v>945340</v>
      </c>
      <c r="F1667">
        <v>9015884123</v>
      </c>
      <c r="G1667">
        <v>93</v>
      </c>
      <c r="H1667" t="s">
        <v>1147</v>
      </c>
      <c r="I1667">
        <v>0</v>
      </c>
      <c r="J1667" t="s">
        <v>1148</v>
      </c>
      <c r="K1667" t="s">
        <v>8</v>
      </c>
      <c r="L1667" t="s">
        <v>19</v>
      </c>
      <c r="M1667" t="s">
        <v>9</v>
      </c>
      <c r="N1667" t="s">
        <v>14</v>
      </c>
      <c r="O1667" s="2">
        <v>2375.4499999999998</v>
      </c>
      <c r="P1667" s="3">
        <v>12.022</v>
      </c>
      <c r="Q1667" s="1">
        <v>46033</v>
      </c>
      <c r="R1667" s="1">
        <v>45992</v>
      </c>
      <c r="S1667" s="1">
        <v>46022</v>
      </c>
      <c r="V1667" s="8">
        <v>1</v>
      </c>
      <c r="W1667" t="s">
        <v>24</v>
      </c>
      <c r="X1667" t="s">
        <v>1149</v>
      </c>
      <c r="Y1667" t="s">
        <v>17</v>
      </c>
      <c r="Z1667" t="s">
        <v>11</v>
      </c>
      <c r="AA1667">
        <v>62371</v>
      </c>
      <c r="AB1667">
        <v>17779525</v>
      </c>
      <c r="AC1667">
        <v>0</v>
      </c>
      <c r="AD1667" s="8"/>
    </row>
    <row r="1668" spans="1:30" x14ac:dyDescent="0.3">
      <c r="A1668" t="s">
        <v>1627</v>
      </c>
      <c r="B1668">
        <v>1354508</v>
      </c>
      <c r="D1668" t="s">
        <v>7</v>
      </c>
      <c r="E1668">
        <v>945340</v>
      </c>
      <c r="F1668">
        <v>9015884123</v>
      </c>
      <c r="G1668">
        <v>93</v>
      </c>
      <c r="H1668" t="s">
        <v>1147</v>
      </c>
      <c r="I1668">
        <v>0</v>
      </c>
      <c r="J1668" t="s">
        <v>1148</v>
      </c>
      <c r="K1668" t="s">
        <v>8</v>
      </c>
      <c r="L1668" t="s">
        <v>18</v>
      </c>
      <c r="M1668" t="s">
        <v>9</v>
      </c>
      <c r="N1668" t="s">
        <v>14</v>
      </c>
      <c r="O1668" s="2">
        <v>-0.13</v>
      </c>
      <c r="P1668" s="3">
        <v>0</v>
      </c>
      <c r="Q1668" s="1">
        <v>46033</v>
      </c>
      <c r="R1668" s="1">
        <v>45992</v>
      </c>
      <c r="S1668" s="1">
        <v>46022</v>
      </c>
      <c r="V1668" s="8">
        <v>1</v>
      </c>
      <c r="W1668" t="s">
        <v>24</v>
      </c>
      <c r="X1668" t="s">
        <v>1149</v>
      </c>
      <c r="Y1668" t="s">
        <v>17</v>
      </c>
      <c r="Z1668" t="s">
        <v>11</v>
      </c>
      <c r="AA1668">
        <v>62371</v>
      </c>
      <c r="AB1668">
        <v>17779525</v>
      </c>
      <c r="AC1668">
        <v>0</v>
      </c>
      <c r="AD1668" s="8"/>
    </row>
    <row r="1669" spans="1:30" x14ac:dyDescent="0.3">
      <c r="A1669" t="s">
        <v>1627</v>
      </c>
      <c r="B1669">
        <v>1399955</v>
      </c>
      <c r="D1669" t="s">
        <v>7</v>
      </c>
      <c r="E1669">
        <v>946096</v>
      </c>
      <c r="F1669">
        <v>9015884123</v>
      </c>
      <c r="G1669">
        <v>252</v>
      </c>
      <c r="H1669" t="s">
        <v>665</v>
      </c>
      <c r="I1669">
        <v>0</v>
      </c>
      <c r="J1669" t="s">
        <v>666</v>
      </c>
      <c r="K1669" t="s">
        <v>8</v>
      </c>
      <c r="L1669" t="s">
        <v>67</v>
      </c>
      <c r="M1669" t="s">
        <v>9</v>
      </c>
      <c r="N1669" t="s">
        <v>14</v>
      </c>
      <c r="O1669" s="2">
        <v>217216.5</v>
      </c>
      <c r="P1669" s="3">
        <v>2011.3430000000001</v>
      </c>
      <c r="Q1669" s="1">
        <v>46033</v>
      </c>
      <c r="R1669" s="1">
        <v>45992</v>
      </c>
      <c r="S1669" s="1">
        <v>46022</v>
      </c>
      <c r="V1669" s="8">
        <v>1</v>
      </c>
      <c r="W1669" t="s">
        <v>24</v>
      </c>
      <c r="X1669" t="s">
        <v>667</v>
      </c>
      <c r="Y1669" t="s">
        <v>40</v>
      </c>
      <c r="Z1669" t="s">
        <v>11</v>
      </c>
      <c r="AA1669">
        <v>62371</v>
      </c>
      <c r="AB1669">
        <v>18848009</v>
      </c>
      <c r="AC1669">
        <v>1</v>
      </c>
      <c r="AD1669" s="8"/>
    </row>
    <row r="1670" spans="1:30" x14ac:dyDescent="0.3">
      <c r="A1670" t="s">
        <v>1627</v>
      </c>
      <c r="B1670">
        <v>1402283</v>
      </c>
      <c r="D1670" t="s">
        <v>7</v>
      </c>
      <c r="E1670">
        <v>946104</v>
      </c>
      <c r="F1670">
        <v>9015884123</v>
      </c>
      <c r="G1670">
        <v>255</v>
      </c>
      <c r="H1670" t="s">
        <v>1346</v>
      </c>
      <c r="I1670">
        <v>0</v>
      </c>
      <c r="J1670" t="s">
        <v>1347</v>
      </c>
      <c r="K1670" t="s">
        <v>8</v>
      </c>
      <c r="L1670" t="s">
        <v>67</v>
      </c>
      <c r="M1670" t="s">
        <v>9</v>
      </c>
      <c r="N1670" t="s">
        <v>14</v>
      </c>
      <c r="O1670" s="2">
        <v>128264.28</v>
      </c>
      <c r="P1670" s="3">
        <v>1187.6790000000001</v>
      </c>
      <c r="Q1670" s="1">
        <v>46033</v>
      </c>
      <c r="R1670" s="1">
        <v>45992</v>
      </c>
      <c r="S1670" s="1">
        <v>46022</v>
      </c>
      <c r="V1670" s="8">
        <v>1</v>
      </c>
      <c r="W1670" t="s">
        <v>24</v>
      </c>
      <c r="X1670" t="s">
        <v>1348</v>
      </c>
      <c r="Y1670" t="s">
        <v>655</v>
      </c>
      <c r="Z1670" t="s">
        <v>11</v>
      </c>
      <c r="AA1670">
        <v>62371</v>
      </c>
      <c r="AB1670">
        <v>18889309</v>
      </c>
      <c r="AC1670">
        <v>1</v>
      </c>
      <c r="AD1670" s="8"/>
    </row>
    <row r="1671" spans="1:30" x14ac:dyDescent="0.3">
      <c r="A1671" t="s">
        <v>1627</v>
      </c>
      <c r="B1671">
        <v>1403679</v>
      </c>
      <c r="D1671" t="s">
        <v>7</v>
      </c>
      <c r="E1671">
        <v>946192</v>
      </c>
      <c r="F1671">
        <v>9015884123</v>
      </c>
      <c r="G1671">
        <v>281</v>
      </c>
      <c r="H1671" t="s">
        <v>627</v>
      </c>
      <c r="I1671">
        <v>0</v>
      </c>
      <c r="J1671" t="s">
        <v>628</v>
      </c>
      <c r="K1671" t="s">
        <v>8</v>
      </c>
      <c r="L1671" t="s">
        <v>15</v>
      </c>
      <c r="M1671" t="s">
        <v>9</v>
      </c>
      <c r="N1671" t="s">
        <v>14</v>
      </c>
      <c r="O1671" s="2">
        <v>0</v>
      </c>
      <c r="P1671" s="3">
        <v>0</v>
      </c>
      <c r="Q1671" s="1">
        <v>46033</v>
      </c>
      <c r="R1671" s="1">
        <v>45992</v>
      </c>
      <c r="S1671" s="1">
        <v>46022</v>
      </c>
      <c r="V1671" s="8">
        <v>1</v>
      </c>
      <c r="W1671" t="s">
        <v>24</v>
      </c>
      <c r="X1671" t="s">
        <v>629</v>
      </c>
      <c r="Y1671" t="s">
        <v>40</v>
      </c>
      <c r="Z1671" t="s">
        <v>11</v>
      </c>
      <c r="AA1671">
        <v>62371</v>
      </c>
      <c r="AB1671">
        <v>21442460</v>
      </c>
      <c r="AC1671">
        <v>1</v>
      </c>
      <c r="AD1671" s="8"/>
    </row>
    <row r="1672" spans="1:30" x14ac:dyDescent="0.3">
      <c r="A1672" t="s">
        <v>1627</v>
      </c>
      <c r="B1672">
        <v>1354727</v>
      </c>
      <c r="D1672" t="s">
        <v>7</v>
      </c>
      <c r="E1672">
        <v>945304</v>
      </c>
      <c r="F1672">
        <v>9015884123</v>
      </c>
      <c r="G1672">
        <v>83</v>
      </c>
      <c r="H1672" t="s">
        <v>1588</v>
      </c>
      <c r="I1672">
        <v>0</v>
      </c>
      <c r="J1672" t="s">
        <v>1589</v>
      </c>
      <c r="K1672" t="s">
        <v>8</v>
      </c>
      <c r="L1672" t="s">
        <v>19</v>
      </c>
      <c r="M1672" t="s">
        <v>9</v>
      </c>
      <c r="N1672" t="s">
        <v>14</v>
      </c>
      <c r="O1672" s="2">
        <v>494.69</v>
      </c>
      <c r="P1672" s="3">
        <v>3.032</v>
      </c>
      <c r="Q1672" s="1">
        <v>46033</v>
      </c>
      <c r="R1672" s="1">
        <v>45992</v>
      </c>
      <c r="S1672" s="1">
        <v>46022</v>
      </c>
      <c r="V1672" s="8">
        <v>1</v>
      </c>
      <c r="W1672" t="s">
        <v>24</v>
      </c>
      <c r="X1672" t="s">
        <v>1590</v>
      </c>
      <c r="Y1672" t="s">
        <v>10</v>
      </c>
      <c r="Z1672" t="s">
        <v>11</v>
      </c>
      <c r="AA1672">
        <v>62371</v>
      </c>
      <c r="AB1672">
        <v>18236206</v>
      </c>
      <c r="AC1672">
        <v>1</v>
      </c>
      <c r="AD1672" s="8"/>
    </row>
    <row r="1673" spans="1:30" x14ac:dyDescent="0.3">
      <c r="A1673" t="s">
        <v>1627</v>
      </c>
      <c r="B1673">
        <v>1354728</v>
      </c>
      <c r="D1673" t="s">
        <v>7</v>
      </c>
      <c r="E1673">
        <v>945307</v>
      </c>
      <c r="F1673">
        <v>9015884123</v>
      </c>
      <c r="G1673">
        <v>84</v>
      </c>
      <c r="H1673" t="s">
        <v>1385</v>
      </c>
      <c r="I1673">
        <v>0</v>
      </c>
      <c r="J1673" t="s">
        <v>1386</v>
      </c>
      <c r="K1673" t="s">
        <v>8</v>
      </c>
      <c r="L1673" t="s">
        <v>18</v>
      </c>
      <c r="M1673" t="s">
        <v>9</v>
      </c>
      <c r="N1673" t="s">
        <v>14</v>
      </c>
      <c r="O1673" s="2">
        <v>4.1500000000000004</v>
      </c>
      <c r="P1673" s="3">
        <v>0</v>
      </c>
      <c r="Q1673" s="1">
        <v>46033</v>
      </c>
      <c r="R1673" s="1">
        <v>45992</v>
      </c>
      <c r="S1673" s="1">
        <v>46022</v>
      </c>
      <c r="V1673" s="8">
        <v>1</v>
      </c>
      <c r="W1673" t="s">
        <v>24</v>
      </c>
      <c r="X1673" t="s">
        <v>1387</v>
      </c>
      <c r="Y1673" t="s">
        <v>10</v>
      </c>
      <c r="Z1673" t="s">
        <v>11</v>
      </c>
      <c r="AA1673">
        <v>62371</v>
      </c>
      <c r="AB1673">
        <v>18181534</v>
      </c>
      <c r="AC1673">
        <v>0</v>
      </c>
      <c r="AD1673" s="8"/>
    </row>
    <row r="1674" spans="1:30" x14ac:dyDescent="0.3">
      <c r="A1674" t="s">
        <v>1627</v>
      </c>
      <c r="B1674">
        <v>1354734</v>
      </c>
      <c r="D1674" t="s">
        <v>7</v>
      </c>
      <c r="E1674">
        <v>945343</v>
      </c>
      <c r="F1674">
        <v>9015884123</v>
      </c>
      <c r="G1674">
        <v>94</v>
      </c>
      <c r="H1674" t="s">
        <v>1162</v>
      </c>
      <c r="I1674">
        <v>0</v>
      </c>
      <c r="J1674" t="s">
        <v>1163</v>
      </c>
      <c r="K1674" t="s">
        <v>8</v>
      </c>
      <c r="L1674" t="s">
        <v>18</v>
      </c>
      <c r="M1674" t="s">
        <v>9</v>
      </c>
      <c r="N1674" t="s">
        <v>14</v>
      </c>
      <c r="O1674" s="2">
        <v>-1.39</v>
      </c>
      <c r="P1674" s="3">
        <v>0</v>
      </c>
      <c r="Q1674" s="1">
        <v>46033</v>
      </c>
      <c r="R1674" s="1">
        <v>45992</v>
      </c>
      <c r="S1674" s="1">
        <v>46022</v>
      </c>
      <c r="V1674" s="8">
        <v>1</v>
      </c>
      <c r="W1674" t="s">
        <v>24</v>
      </c>
      <c r="X1674" t="s">
        <v>1164</v>
      </c>
      <c r="Y1674" t="s">
        <v>10</v>
      </c>
      <c r="Z1674" t="s">
        <v>11</v>
      </c>
      <c r="AA1674">
        <v>62371</v>
      </c>
      <c r="AB1674">
        <v>21137523</v>
      </c>
      <c r="AC1674">
        <v>0</v>
      </c>
      <c r="AD1674" s="8"/>
    </row>
    <row r="1675" spans="1:30" x14ac:dyDescent="0.3">
      <c r="A1675" t="s">
        <v>1627</v>
      </c>
      <c r="B1675">
        <v>1405410</v>
      </c>
      <c r="D1675" t="s">
        <v>7</v>
      </c>
      <c r="E1675">
        <v>946254</v>
      </c>
      <c r="F1675">
        <v>9015884123</v>
      </c>
      <c r="G1675">
        <v>303</v>
      </c>
      <c r="H1675" t="s">
        <v>671</v>
      </c>
      <c r="I1675">
        <v>0</v>
      </c>
      <c r="J1675" t="s">
        <v>672</v>
      </c>
      <c r="K1675" t="s">
        <v>8</v>
      </c>
      <c r="L1675" t="s">
        <v>67</v>
      </c>
      <c r="M1675" t="s">
        <v>9</v>
      </c>
      <c r="N1675" t="s">
        <v>14</v>
      </c>
      <c r="O1675" s="2">
        <v>234079.82</v>
      </c>
      <c r="P1675" s="3">
        <v>2167.491</v>
      </c>
      <c r="Q1675" s="1">
        <v>46033</v>
      </c>
      <c r="R1675" s="1">
        <v>45992</v>
      </c>
      <c r="S1675" s="1">
        <v>46022</v>
      </c>
      <c r="V1675" s="8">
        <v>1</v>
      </c>
      <c r="W1675" t="s">
        <v>24</v>
      </c>
      <c r="X1675" t="s">
        <v>673</v>
      </c>
      <c r="Y1675" t="s">
        <v>40</v>
      </c>
      <c r="Z1675" t="s">
        <v>11</v>
      </c>
      <c r="AA1675">
        <v>62371</v>
      </c>
      <c r="AB1675">
        <v>19752870</v>
      </c>
      <c r="AC1675">
        <v>1</v>
      </c>
      <c r="AD1675" s="8"/>
    </row>
    <row r="1676" spans="1:30" x14ac:dyDescent="0.3">
      <c r="A1676" t="s">
        <v>1627</v>
      </c>
      <c r="B1676">
        <v>1403700</v>
      </c>
      <c r="D1676" t="s">
        <v>7</v>
      </c>
      <c r="E1676">
        <v>946224</v>
      </c>
      <c r="F1676">
        <v>9015884123</v>
      </c>
      <c r="G1676">
        <v>293</v>
      </c>
      <c r="H1676" t="s">
        <v>630</v>
      </c>
      <c r="I1676">
        <v>0</v>
      </c>
      <c r="J1676" t="s">
        <v>631</v>
      </c>
      <c r="K1676" t="s">
        <v>8</v>
      </c>
      <c r="L1676" t="s">
        <v>67</v>
      </c>
      <c r="M1676" t="s">
        <v>9</v>
      </c>
      <c r="N1676" t="s">
        <v>14</v>
      </c>
      <c r="O1676" s="2">
        <v>0</v>
      </c>
      <c r="P1676" s="3">
        <v>0</v>
      </c>
      <c r="Q1676" s="1">
        <v>46033</v>
      </c>
      <c r="R1676" s="1">
        <v>45992</v>
      </c>
      <c r="S1676" s="1">
        <v>46022</v>
      </c>
      <c r="V1676" s="8">
        <v>1</v>
      </c>
      <c r="W1676" t="s">
        <v>24</v>
      </c>
      <c r="X1676" t="s">
        <v>632</v>
      </c>
      <c r="Y1676" t="s">
        <v>40</v>
      </c>
      <c r="Z1676" t="s">
        <v>11</v>
      </c>
      <c r="AA1676">
        <v>62371</v>
      </c>
      <c r="AB1676">
        <v>18795436</v>
      </c>
      <c r="AC1676">
        <v>1</v>
      </c>
      <c r="AD1676" s="8"/>
    </row>
    <row r="1677" spans="1:30" x14ac:dyDescent="0.3">
      <c r="A1677" t="s">
        <v>1627</v>
      </c>
      <c r="B1677">
        <v>1354729</v>
      </c>
      <c r="D1677" t="s">
        <v>7</v>
      </c>
      <c r="E1677">
        <v>945311</v>
      </c>
      <c r="F1677">
        <v>9015884123</v>
      </c>
      <c r="G1677">
        <v>85</v>
      </c>
      <c r="H1677" t="s">
        <v>199</v>
      </c>
      <c r="I1677">
        <v>0</v>
      </c>
      <c r="J1677" t="s">
        <v>200</v>
      </c>
      <c r="K1677" t="s">
        <v>8</v>
      </c>
      <c r="L1677" t="s">
        <v>15</v>
      </c>
      <c r="M1677" t="s">
        <v>9</v>
      </c>
      <c r="N1677" t="s">
        <v>14</v>
      </c>
      <c r="O1677" s="2">
        <v>0</v>
      </c>
      <c r="P1677" s="3">
        <v>4332.4570000000003</v>
      </c>
      <c r="Q1677" s="1">
        <v>46033</v>
      </c>
      <c r="R1677" s="1">
        <v>45992</v>
      </c>
      <c r="S1677" s="1">
        <v>46022</v>
      </c>
      <c r="V1677" s="8">
        <v>1</v>
      </c>
      <c r="W1677" t="s">
        <v>24</v>
      </c>
      <c r="X1677" t="s">
        <v>201</v>
      </c>
      <c r="Y1677" t="s">
        <v>10</v>
      </c>
      <c r="Z1677" t="s">
        <v>11</v>
      </c>
      <c r="AA1677">
        <v>62371</v>
      </c>
      <c r="AB1677">
        <v>17169186</v>
      </c>
      <c r="AC1677">
        <v>0</v>
      </c>
      <c r="AD1677" s="8"/>
    </row>
    <row r="1678" spans="1:30" x14ac:dyDescent="0.3">
      <c r="A1678" t="s">
        <v>1627</v>
      </c>
      <c r="B1678">
        <v>1320950</v>
      </c>
      <c r="D1678" t="s">
        <v>7</v>
      </c>
      <c r="E1678">
        <v>945183</v>
      </c>
      <c r="F1678">
        <v>9015884123</v>
      </c>
      <c r="G1678">
        <v>44</v>
      </c>
      <c r="H1678" t="s">
        <v>1515</v>
      </c>
      <c r="I1678">
        <v>0</v>
      </c>
      <c r="J1678" t="s">
        <v>1516</v>
      </c>
      <c r="K1678" t="s">
        <v>8</v>
      </c>
      <c r="L1678" t="s">
        <v>18</v>
      </c>
      <c r="M1678" t="s">
        <v>9</v>
      </c>
      <c r="N1678" t="s">
        <v>14</v>
      </c>
      <c r="O1678" s="2">
        <v>0.8</v>
      </c>
      <c r="P1678" s="3">
        <v>0</v>
      </c>
      <c r="Q1678" s="1">
        <v>46033</v>
      </c>
      <c r="R1678" s="1">
        <v>45992</v>
      </c>
      <c r="S1678" s="1">
        <v>46022</v>
      </c>
      <c r="V1678" s="8">
        <v>1</v>
      </c>
      <c r="W1678" t="s">
        <v>24</v>
      </c>
      <c r="X1678" t="s">
        <v>1517</v>
      </c>
      <c r="Y1678" t="s">
        <v>40</v>
      </c>
      <c r="Z1678" t="s">
        <v>11</v>
      </c>
      <c r="AA1678">
        <v>62371</v>
      </c>
      <c r="AB1678">
        <v>17937017</v>
      </c>
      <c r="AC1678">
        <v>0</v>
      </c>
      <c r="AD1678" s="8"/>
    </row>
    <row r="1679" spans="1:30" x14ac:dyDescent="0.3">
      <c r="A1679" t="s">
        <v>1627</v>
      </c>
      <c r="B1679">
        <v>1420739</v>
      </c>
      <c r="D1679" t="s">
        <v>7</v>
      </c>
      <c r="E1679">
        <v>946691</v>
      </c>
      <c r="F1679">
        <v>9015884123</v>
      </c>
      <c r="G1679">
        <v>465</v>
      </c>
      <c r="H1679" t="s">
        <v>682</v>
      </c>
      <c r="I1679">
        <v>0</v>
      </c>
      <c r="J1679" t="s">
        <v>683</v>
      </c>
      <c r="K1679" t="s">
        <v>8</v>
      </c>
      <c r="L1679" t="s">
        <v>15</v>
      </c>
      <c r="M1679" t="s">
        <v>9</v>
      </c>
      <c r="N1679" t="s">
        <v>14</v>
      </c>
      <c r="O1679" s="2">
        <v>0</v>
      </c>
      <c r="P1679" s="3">
        <v>2725.3679999999999</v>
      </c>
      <c r="Q1679" s="1">
        <v>46033</v>
      </c>
      <c r="R1679" s="1">
        <v>45992</v>
      </c>
      <c r="S1679" s="1">
        <v>46022</v>
      </c>
      <c r="V1679" s="8">
        <v>1</v>
      </c>
      <c r="W1679" t="s">
        <v>24</v>
      </c>
      <c r="X1679" t="s">
        <v>684</v>
      </c>
      <c r="Y1679" t="s">
        <v>42</v>
      </c>
      <c r="Z1679" t="s">
        <v>11</v>
      </c>
      <c r="AA1679">
        <v>62371</v>
      </c>
      <c r="AB1679">
        <v>20074096</v>
      </c>
      <c r="AC1679">
        <v>1</v>
      </c>
      <c r="AD1679" s="8"/>
    </row>
    <row r="1680" spans="1:30" x14ac:dyDescent="0.3">
      <c r="A1680" t="s">
        <v>1627</v>
      </c>
      <c r="B1680">
        <v>1419037</v>
      </c>
      <c r="D1680" t="s">
        <v>7</v>
      </c>
      <c r="E1680">
        <v>946635</v>
      </c>
      <c r="F1680">
        <v>9015884123</v>
      </c>
      <c r="G1680">
        <v>446</v>
      </c>
      <c r="H1680" t="s">
        <v>688</v>
      </c>
      <c r="I1680">
        <v>0</v>
      </c>
      <c r="J1680" t="s">
        <v>689</v>
      </c>
      <c r="K1680" t="s">
        <v>8</v>
      </c>
      <c r="L1680" t="s">
        <v>19</v>
      </c>
      <c r="M1680" t="s">
        <v>9</v>
      </c>
      <c r="N1680" t="s">
        <v>14</v>
      </c>
      <c r="O1680" s="2">
        <v>16899.63</v>
      </c>
      <c r="P1680" s="3">
        <v>85.528000000000006</v>
      </c>
      <c r="Q1680" s="1">
        <v>46033</v>
      </c>
      <c r="R1680" s="1">
        <v>45992</v>
      </c>
      <c r="S1680" s="1">
        <v>46022</v>
      </c>
      <c r="V1680" s="8">
        <v>1</v>
      </c>
      <c r="W1680" t="s">
        <v>24</v>
      </c>
      <c r="X1680" t="s">
        <v>690</v>
      </c>
      <c r="Y1680" t="s">
        <v>42</v>
      </c>
      <c r="Z1680" t="s">
        <v>11</v>
      </c>
      <c r="AA1680">
        <v>62371</v>
      </c>
      <c r="AB1680">
        <v>21365716</v>
      </c>
      <c r="AC1680">
        <v>0</v>
      </c>
      <c r="AD1680" s="8"/>
    </row>
    <row r="1681" spans="1:30" x14ac:dyDescent="0.3">
      <c r="A1681" t="s">
        <v>1627</v>
      </c>
      <c r="B1681">
        <v>1363519</v>
      </c>
      <c r="D1681" t="s">
        <v>7</v>
      </c>
      <c r="E1681">
        <v>946809</v>
      </c>
      <c r="F1681">
        <v>9015884123</v>
      </c>
      <c r="G1681">
        <v>504</v>
      </c>
      <c r="H1681" t="s">
        <v>69</v>
      </c>
      <c r="I1681">
        <v>0</v>
      </c>
      <c r="J1681" t="s">
        <v>70</v>
      </c>
      <c r="K1681" t="s">
        <v>8</v>
      </c>
      <c r="L1681" t="s">
        <v>18</v>
      </c>
      <c r="M1681" t="s">
        <v>9</v>
      </c>
      <c r="N1681" t="s">
        <v>14</v>
      </c>
      <c r="O1681" s="2">
        <v>-3.07</v>
      </c>
      <c r="P1681" s="3">
        <v>0</v>
      </c>
      <c r="Q1681" s="1">
        <v>46033</v>
      </c>
      <c r="R1681" s="1">
        <v>45992</v>
      </c>
      <c r="S1681" s="1">
        <v>46022</v>
      </c>
      <c r="V1681" s="8">
        <v>1</v>
      </c>
      <c r="W1681" t="s">
        <v>24</v>
      </c>
      <c r="X1681" t="s">
        <v>71</v>
      </c>
      <c r="Y1681" t="s">
        <v>68</v>
      </c>
      <c r="Z1681" t="s">
        <v>11</v>
      </c>
      <c r="AA1681">
        <v>62371</v>
      </c>
      <c r="AB1681">
        <v>19792503</v>
      </c>
      <c r="AC1681">
        <v>1</v>
      </c>
      <c r="AD1681" s="8"/>
    </row>
    <row r="1682" spans="1:30" x14ac:dyDescent="0.3">
      <c r="A1682" t="s">
        <v>1627</v>
      </c>
      <c r="B1682">
        <v>1415100</v>
      </c>
      <c r="D1682" t="s">
        <v>7</v>
      </c>
      <c r="E1682">
        <v>946438</v>
      </c>
      <c r="F1682">
        <v>9015884123</v>
      </c>
      <c r="G1682">
        <v>386</v>
      </c>
      <c r="H1682" t="s">
        <v>1096</v>
      </c>
      <c r="I1682">
        <v>0</v>
      </c>
      <c r="J1682" t="s">
        <v>1097</v>
      </c>
      <c r="K1682" t="s">
        <v>8</v>
      </c>
      <c r="L1682" t="s">
        <v>18</v>
      </c>
      <c r="M1682" t="s">
        <v>9</v>
      </c>
      <c r="N1682" t="s">
        <v>14</v>
      </c>
      <c r="O1682" s="2">
        <v>2.35</v>
      </c>
      <c r="P1682" s="3">
        <v>0</v>
      </c>
      <c r="Q1682" s="1">
        <v>46033</v>
      </c>
      <c r="R1682" s="1">
        <v>45992</v>
      </c>
      <c r="S1682" s="1">
        <v>46022</v>
      </c>
      <c r="V1682" s="8">
        <v>1</v>
      </c>
      <c r="W1682" t="s">
        <v>24</v>
      </c>
      <c r="X1682" t="s">
        <v>1098</v>
      </c>
      <c r="Y1682" t="s">
        <v>43</v>
      </c>
      <c r="Z1682" t="s">
        <v>11</v>
      </c>
      <c r="AA1682">
        <v>62371</v>
      </c>
      <c r="AB1682">
        <v>19999263</v>
      </c>
      <c r="AC1682">
        <v>0</v>
      </c>
      <c r="AD1682" s="8"/>
    </row>
    <row r="1683" spans="1:30" x14ac:dyDescent="0.3">
      <c r="A1683" t="s">
        <v>1627</v>
      </c>
      <c r="B1683">
        <v>1420782</v>
      </c>
      <c r="D1683" t="s">
        <v>7</v>
      </c>
      <c r="E1683">
        <v>946683</v>
      </c>
      <c r="F1683">
        <v>9015884123</v>
      </c>
      <c r="G1683">
        <v>463</v>
      </c>
      <c r="H1683" t="s">
        <v>90</v>
      </c>
      <c r="I1683">
        <v>0</v>
      </c>
      <c r="J1683" t="s">
        <v>91</v>
      </c>
      <c r="K1683" t="s">
        <v>8</v>
      </c>
      <c r="L1683" t="s">
        <v>15</v>
      </c>
      <c r="M1683" t="s">
        <v>9</v>
      </c>
      <c r="N1683" t="s">
        <v>14</v>
      </c>
      <c r="O1683" s="2">
        <v>0</v>
      </c>
      <c r="P1683" s="3">
        <v>19580.592000000001</v>
      </c>
      <c r="Q1683" s="1">
        <v>46033</v>
      </c>
      <c r="R1683" s="1">
        <v>45992</v>
      </c>
      <c r="S1683" s="1">
        <v>46022</v>
      </c>
      <c r="V1683" s="8">
        <v>2</v>
      </c>
      <c r="W1683" t="s">
        <v>24</v>
      </c>
      <c r="X1683" t="s">
        <v>92</v>
      </c>
      <c r="Y1683" t="s">
        <v>29</v>
      </c>
      <c r="Z1683" t="s">
        <v>11</v>
      </c>
      <c r="AA1683">
        <v>62371</v>
      </c>
      <c r="AB1683">
        <v>18413239</v>
      </c>
      <c r="AC1683">
        <v>1</v>
      </c>
      <c r="AD1683" s="8"/>
    </row>
    <row r="1684" spans="1:30" x14ac:dyDescent="0.3">
      <c r="A1684" t="s">
        <v>1627</v>
      </c>
      <c r="B1684">
        <v>1403716</v>
      </c>
      <c r="D1684" t="s">
        <v>7</v>
      </c>
      <c r="E1684">
        <v>946176</v>
      </c>
      <c r="F1684">
        <v>9015884123</v>
      </c>
      <c r="G1684">
        <v>276</v>
      </c>
      <c r="H1684" t="s">
        <v>1518</v>
      </c>
      <c r="I1684">
        <v>0</v>
      </c>
      <c r="J1684" t="s">
        <v>1519</v>
      </c>
      <c r="K1684" t="s">
        <v>8</v>
      </c>
      <c r="L1684" t="s">
        <v>67</v>
      </c>
      <c r="M1684" t="s">
        <v>9</v>
      </c>
      <c r="N1684" t="s">
        <v>14</v>
      </c>
      <c r="O1684" s="2">
        <v>1266855.5900000001</v>
      </c>
      <c r="P1684" s="3">
        <v>11730.606</v>
      </c>
      <c r="Q1684" s="1">
        <v>46033</v>
      </c>
      <c r="R1684" s="1">
        <v>45992</v>
      </c>
      <c r="S1684" s="1">
        <v>46022</v>
      </c>
      <c r="V1684" s="8">
        <v>1</v>
      </c>
      <c r="W1684" t="s">
        <v>24</v>
      </c>
      <c r="X1684" t="s">
        <v>1520</v>
      </c>
      <c r="Y1684" t="s">
        <v>29</v>
      </c>
      <c r="Z1684" t="s">
        <v>11</v>
      </c>
      <c r="AA1684">
        <v>62371</v>
      </c>
      <c r="AB1684">
        <v>21316105</v>
      </c>
      <c r="AC1684">
        <v>1</v>
      </c>
      <c r="AD1684" s="8"/>
    </row>
    <row r="1685" spans="1:30" x14ac:dyDescent="0.3">
      <c r="A1685" t="s">
        <v>1627</v>
      </c>
      <c r="B1685">
        <v>1384574</v>
      </c>
      <c r="D1685" t="s">
        <v>7</v>
      </c>
      <c r="E1685">
        <v>946038</v>
      </c>
      <c r="F1685">
        <v>9015884123</v>
      </c>
      <c r="G1685">
        <v>233</v>
      </c>
      <c r="H1685" t="s">
        <v>1376</v>
      </c>
      <c r="I1685">
        <v>0</v>
      </c>
      <c r="J1685" t="s">
        <v>1377</v>
      </c>
      <c r="K1685" t="s">
        <v>8</v>
      </c>
      <c r="L1685" t="s">
        <v>67</v>
      </c>
      <c r="M1685" t="s">
        <v>9</v>
      </c>
      <c r="N1685" t="s">
        <v>14</v>
      </c>
      <c r="O1685" s="2">
        <v>1947064.02</v>
      </c>
      <c r="P1685" s="3">
        <v>18029.080000000002</v>
      </c>
      <c r="Q1685" s="1">
        <v>46033</v>
      </c>
      <c r="R1685" s="1">
        <v>45992</v>
      </c>
      <c r="S1685" s="1">
        <v>46022</v>
      </c>
      <c r="V1685" s="8">
        <v>1</v>
      </c>
      <c r="W1685" t="s">
        <v>24</v>
      </c>
      <c r="X1685" t="s">
        <v>1378</v>
      </c>
      <c r="Y1685" t="s">
        <v>29</v>
      </c>
      <c r="Z1685" t="s">
        <v>11</v>
      </c>
      <c r="AA1685">
        <v>62371</v>
      </c>
      <c r="AB1685">
        <v>17628916</v>
      </c>
      <c r="AC1685">
        <v>1</v>
      </c>
      <c r="AD1685" s="8" t="s">
        <v>1650</v>
      </c>
    </row>
    <row r="1686" spans="1:30" x14ac:dyDescent="0.3">
      <c r="A1686" t="s">
        <v>1627</v>
      </c>
      <c r="B1686">
        <v>1403710</v>
      </c>
      <c r="D1686" t="s">
        <v>7</v>
      </c>
      <c r="E1686">
        <v>946235</v>
      </c>
      <c r="F1686">
        <v>9015884123</v>
      </c>
      <c r="G1686">
        <v>297</v>
      </c>
      <c r="H1686" t="s">
        <v>96</v>
      </c>
      <c r="I1686">
        <v>0</v>
      </c>
      <c r="J1686" t="s">
        <v>97</v>
      </c>
      <c r="K1686" t="s">
        <v>8</v>
      </c>
      <c r="L1686" t="s">
        <v>67</v>
      </c>
      <c r="M1686" t="s">
        <v>9</v>
      </c>
      <c r="N1686" t="s">
        <v>14</v>
      </c>
      <c r="O1686" s="2">
        <v>377047.12</v>
      </c>
      <c r="P1686" s="3">
        <v>2647.2179999999998</v>
      </c>
      <c r="Q1686" s="1">
        <v>46033</v>
      </c>
      <c r="R1686" s="1">
        <v>45992</v>
      </c>
      <c r="S1686" s="1">
        <v>46022</v>
      </c>
      <c r="V1686" s="8">
        <v>1</v>
      </c>
      <c r="W1686" t="s">
        <v>24</v>
      </c>
      <c r="X1686" t="s">
        <v>98</v>
      </c>
      <c r="Y1686" t="s">
        <v>53</v>
      </c>
      <c r="Z1686" t="s">
        <v>11</v>
      </c>
      <c r="AA1686">
        <v>62371</v>
      </c>
      <c r="AB1686">
        <v>21435247</v>
      </c>
      <c r="AC1686">
        <v>0</v>
      </c>
      <c r="AD1686" s="8"/>
    </row>
    <row r="1687" spans="1:30" x14ac:dyDescent="0.3">
      <c r="A1687" t="s">
        <v>1627</v>
      </c>
      <c r="B1687">
        <v>1408036</v>
      </c>
      <c r="D1687" t="s">
        <v>7</v>
      </c>
      <c r="E1687">
        <v>946307</v>
      </c>
      <c r="F1687">
        <v>9015884123</v>
      </c>
      <c r="G1687">
        <v>325</v>
      </c>
      <c r="H1687" t="s">
        <v>706</v>
      </c>
      <c r="I1687">
        <v>0</v>
      </c>
      <c r="J1687" t="s">
        <v>707</v>
      </c>
      <c r="K1687" t="s">
        <v>8</v>
      </c>
      <c r="L1687" t="s">
        <v>18</v>
      </c>
      <c r="M1687" t="s">
        <v>9</v>
      </c>
      <c r="N1687" t="s">
        <v>14</v>
      </c>
      <c r="O1687" s="2">
        <v>-4.3099999999999996</v>
      </c>
      <c r="P1687" s="3">
        <v>0</v>
      </c>
      <c r="Q1687" s="1">
        <v>46033</v>
      </c>
      <c r="R1687" s="1">
        <v>45992</v>
      </c>
      <c r="S1687" s="1">
        <v>46022</v>
      </c>
      <c r="V1687" s="8">
        <v>1</v>
      </c>
      <c r="W1687" t="s">
        <v>24</v>
      </c>
      <c r="X1687" t="s">
        <v>708</v>
      </c>
      <c r="Y1687" t="s">
        <v>44</v>
      </c>
      <c r="Z1687" t="s">
        <v>11</v>
      </c>
      <c r="AA1687">
        <v>62371</v>
      </c>
      <c r="AB1687">
        <v>19480420</v>
      </c>
      <c r="AC1687">
        <v>1</v>
      </c>
      <c r="AD1687" s="8"/>
    </row>
    <row r="1688" spans="1:30" x14ac:dyDescent="0.3">
      <c r="A1688" t="s">
        <v>1627</v>
      </c>
      <c r="B1688">
        <v>1444512</v>
      </c>
      <c r="D1688" t="s">
        <v>7</v>
      </c>
      <c r="E1688">
        <v>946875</v>
      </c>
      <c r="F1688">
        <v>9015884123</v>
      </c>
      <c r="G1688">
        <v>524</v>
      </c>
      <c r="H1688" t="s">
        <v>112</v>
      </c>
      <c r="I1688">
        <v>0</v>
      </c>
      <c r="J1688" t="s">
        <v>113</v>
      </c>
      <c r="K1688" t="s">
        <v>8</v>
      </c>
      <c r="L1688" t="s">
        <v>19</v>
      </c>
      <c r="M1688" t="s">
        <v>9</v>
      </c>
      <c r="N1688" t="s">
        <v>14</v>
      </c>
      <c r="O1688" s="2">
        <v>27085.53</v>
      </c>
      <c r="P1688" s="3">
        <v>166.01</v>
      </c>
      <c r="Q1688" s="1">
        <v>46033</v>
      </c>
      <c r="R1688" s="1">
        <v>45992</v>
      </c>
      <c r="S1688" s="1">
        <v>46022</v>
      </c>
      <c r="V1688" s="8">
        <v>1</v>
      </c>
      <c r="W1688" t="s">
        <v>24</v>
      </c>
      <c r="X1688" t="s">
        <v>114</v>
      </c>
      <c r="Y1688" t="s">
        <v>34</v>
      </c>
      <c r="Z1688" t="s">
        <v>11</v>
      </c>
      <c r="AA1688">
        <v>62371</v>
      </c>
      <c r="AB1688">
        <v>21249814</v>
      </c>
      <c r="AC1688">
        <v>1</v>
      </c>
      <c r="AD1688" s="8"/>
    </row>
    <row r="1689" spans="1:30" x14ac:dyDescent="0.3">
      <c r="A1689" t="s">
        <v>1627</v>
      </c>
      <c r="B1689">
        <v>1442620</v>
      </c>
      <c r="D1689" t="s">
        <v>7</v>
      </c>
      <c r="E1689">
        <v>946859</v>
      </c>
      <c r="F1689">
        <v>9015884123</v>
      </c>
      <c r="G1689">
        <v>520</v>
      </c>
      <c r="H1689" t="s">
        <v>1132</v>
      </c>
      <c r="I1689">
        <v>0</v>
      </c>
      <c r="J1689" t="s">
        <v>1133</v>
      </c>
      <c r="K1689" t="s">
        <v>8</v>
      </c>
      <c r="L1689" t="s">
        <v>67</v>
      </c>
      <c r="M1689" t="s">
        <v>9</v>
      </c>
      <c r="N1689" t="s">
        <v>14</v>
      </c>
      <c r="O1689" s="2">
        <v>730678.09</v>
      </c>
      <c r="P1689" s="3">
        <v>5130.0330000000004</v>
      </c>
      <c r="Q1689" s="1">
        <v>46033</v>
      </c>
      <c r="R1689" s="1">
        <v>45992</v>
      </c>
      <c r="S1689" s="1">
        <v>46022</v>
      </c>
      <c r="V1689" s="8">
        <v>1</v>
      </c>
      <c r="W1689" t="s">
        <v>24</v>
      </c>
      <c r="X1689" t="s">
        <v>1134</v>
      </c>
      <c r="Y1689" t="s">
        <v>34</v>
      </c>
      <c r="Z1689" t="s">
        <v>11</v>
      </c>
      <c r="AA1689">
        <v>62371</v>
      </c>
      <c r="AB1689">
        <v>19954712</v>
      </c>
      <c r="AC1689">
        <v>0</v>
      </c>
      <c r="AD1689" s="8"/>
    </row>
    <row r="1690" spans="1:30" x14ac:dyDescent="0.3">
      <c r="A1690" t="s">
        <v>1627</v>
      </c>
      <c r="B1690">
        <v>1442620</v>
      </c>
      <c r="D1690" t="s">
        <v>7</v>
      </c>
      <c r="E1690">
        <v>946859</v>
      </c>
      <c r="F1690">
        <v>9015884123</v>
      </c>
      <c r="G1690">
        <v>520</v>
      </c>
      <c r="H1690" t="s">
        <v>1132</v>
      </c>
      <c r="I1690">
        <v>0</v>
      </c>
      <c r="J1690" t="s">
        <v>1133</v>
      </c>
      <c r="K1690" t="s">
        <v>8</v>
      </c>
      <c r="L1690" t="s">
        <v>15</v>
      </c>
      <c r="M1690" t="s">
        <v>9</v>
      </c>
      <c r="N1690" t="s">
        <v>14</v>
      </c>
      <c r="O1690" s="2">
        <v>0</v>
      </c>
      <c r="P1690" s="3">
        <v>5130.0330000000004</v>
      </c>
      <c r="Q1690" s="1">
        <v>46033</v>
      </c>
      <c r="R1690" s="1">
        <v>45992</v>
      </c>
      <c r="S1690" s="1">
        <v>46022</v>
      </c>
      <c r="V1690" s="8">
        <v>1</v>
      </c>
      <c r="W1690" t="s">
        <v>24</v>
      </c>
      <c r="X1690" t="s">
        <v>1134</v>
      </c>
      <c r="Y1690" t="s">
        <v>34</v>
      </c>
      <c r="Z1690" t="s">
        <v>11</v>
      </c>
      <c r="AA1690">
        <v>62371</v>
      </c>
      <c r="AB1690">
        <v>19954712</v>
      </c>
      <c r="AC1690">
        <v>0</v>
      </c>
      <c r="AD1690" s="8"/>
    </row>
    <row r="1691" spans="1:30" x14ac:dyDescent="0.3">
      <c r="A1691" t="s">
        <v>1627</v>
      </c>
      <c r="B1691">
        <v>1428552</v>
      </c>
      <c r="D1691" t="s">
        <v>7</v>
      </c>
      <c r="E1691">
        <v>946728</v>
      </c>
      <c r="F1691">
        <v>9015884123</v>
      </c>
      <c r="G1691">
        <v>477</v>
      </c>
      <c r="H1691" t="s">
        <v>1099</v>
      </c>
      <c r="I1691">
        <v>0</v>
      </c>
      <c r="J1691" t="s">
        <v>1100</v>
      </c>
      <c r="K1691" t="s">
        <v>8</v>
      </c>
      <c r="L1691" t="s">
        <v>15</v>
      </c>
      <c r="M1691" t="s">
        <v>9</v>
      </c>
      <c r="N1691" t="s">
        <v>14</v>
      </c>
      <c r="O1691" s="2">
        <v>0</v>
      </c>
      <c r="P1691" s="3">
        <v>2831.6840000000002</v>
      </c>
      <c r="Q1691" s="1">
        <v>46033</v>
      </c>
      <c r="R1691" s="1">
        <v>45992</v>
      </c>
      <c r="S1691" s="1">
        <v>46022</v>
      </c>
      <c r="V1691" s="8">
        <v>1</v>
      </c>
      <c r="W1691" t="s">
        <v>24</v>
      </c>
      <c r="X1691" t="s">
        <v>1101</v>
      </c>
      <c r="Y1691" t="s">
        <v>34</v>
      </c>
      <c r="Z1691" t="s">
        <v>11</v>
      </c>
      <c r="AA1691">
        <v>62371</v>
      </c>
      <c r="AB1691">
        <v>21249975</v>
      </c>
      <c r="AC1691">
        <v>1</v>
      </c>
      <c r="AD1691" s="8"/>
    </row>
    <row r="1692" spans="1:30" x14ac:dyDescent="0.3">
      <c r="A1692" t="s">
        <v>1627</v>
      </c>
      <c r="B1692">
        <v>1418635</v>
      </c>
      <c r="D1692" t="s">
        <v>7</v>
      </c>
      <c r="E1692">
        <v>946638</v>
      </c>
      <c r="F1692">
        <v>9015884123</v>
      </c>
      <c r="G1692">
        <v>448</v>
      </c>
      <c r="H1692" t="s">
        <v>703</v>
      </c>
      <c r="I1692">
        <v>0</v>
      </c>
      <c r="J1692" t="s">
        <v>704</v>
      </c>
      <c r="K1692" t="s">
        <v>8</v>
      </c>
      <c r="L1692" t="s">
        <v>15</v>
      </c>
      <c r="M1692" t="s">
        <v>9</v>
      </c>
      <c r="N1692" t="s">
        <v>14</v>
      </c>
      <c r="O1692" s="2">
        <v>0</v>
      </c>
      <c r="P1692" s="3">
        <v>1998.595</v>
      </c>
      <c r="Q1692" s="1">
        <v>46033</v>
      </c>
      <c r="R1692" s="1">
        <v>45992</v>
      </c>
      <c r="S1692" s="1">
        <v>46022</v>
      </c>
      <c r="V1692" s="8">
        <v>1</v>
      </c>
      <c r="W1692" t="s">
        <v>24</v>
      </c>
      <c r="X1692" t="s">
        <v>705</v>
      </c>
      <c r="Y1692" t="s">
        <v>34</v>
      </c>
      <c r="Z1692" t="s">
        <v>11</v>
      </c>
      <c r="AA1692">
        <v>62371</v>
      </c>
      <c r="AB1692">
        <v>21444145</v>
      </c>
      <c r="AC1692">
        <v>0</v>
      </c>
      <c r="AD1692" s="8"/>
    </row>
    <row r="1693" spans="1:30" x14ac:dyDescent="0.3">
      <c r="A1693" t="s">
        <v>1627</v>
      </c>
      <c r="B1693">
        <v>1416445</v>
      </c>
      <c r="D1693" t="s">
        <v>7</v>
      </c>
      <c r="E1693">
        <v>946586</v>
      </c>
      <c r="F1693">
        <v>9015884123</v>
      </c>
      <c r="G1693">
        <v>431</v>
      </c>
      <c r="H1693" t="s">
        <v>1105</v>
      </c>
      <c r="I1693">
        <v>0</v>
      </c>
      <c r="J1693" t="s">
        <v>1106</v>
      </c>
      <c r="K1693" t="s">
        <v>8</v>
      </c>
      <c r="L1693" t="s">
        <v>18</v>
      </c>
      <c r="M1693" t="s">
        <v>9</v>
      </c>
      <c r="N1693" t="s">
        <v>14</v>
      </c>
      <c r="O1693" s="2">
        <v>-3.38</v>
      </c>
      <c r="P1693" s="3">
        <v>0</v>
      </c>
      <c r="Q1693" s="1">
        <v>46033</v>
      </c>
      <c r="R1693" s="1">
        <v>45992</v>
      </c>
      <c r="S1693" s="1">
        <v>46022</v>
      </c>
      <c r="V1693" s="8">
        <v>1</v>
      </c>
      <c r="W1693" t="s">
        <v>24</v>
      </c>
      <c r="X1693" t="s">
        <v>1107</v>
      </c>
      <c r="Y1693" t="s">
        <v>34</v>
      </c>
      <c r="Z1693" t="s">
        <v>11</v>
      </c>
      <c r="AA1693">
        <v>62371</v>
      </c>
      <c r="AB1693">
        <v>21249796</v>
      </c>
      <c r="AC1693">
        <v>1</v>
      </c>
      <c r="AD1693" s="8"/>
    </row>
    <row r="1694" spans="1:30" x14ac:dyDescent="0.3">
      <c r="A1694" t="s">
        <v>1627</v>
      </c>
      <c r="B1694">
        <v>1411978</v>
      </c>
      <c r="D1694" t="s">
        <v>7</v>
      </c>
      <c r="E1694">
        <v>946391</v>
      </c>
      <c r="F1694">
        <v>9015884123</v>
      </c>
      <c r="G1694">
        <v>369</v>
      </c>
      <c r="H1694" t="s">
        <v>121</v>
      </c>
      <c r="I1694">
        <v>0</v>
      </c>
      <c r="J1694" t="s">
        <v>122</v>
      </c>
      <c r="K1694" t="s">
        <v>8</v>
      </c>
      <c r="L1694" t="s">
        <v>15</v>
      </c>
      <c r="M1694" t="s">
        <v>9</v>
      </c>
      <c r="N1694" t="s">
        <v>14</v>
      </c>
      <c r="O1694" s="2">
        <v>0</v>
      </c>
      <c r="P1694" s="3">
        <v>1388.32</v>
      </c>
      <c r="Q1694" s="1">
        <v>46033</v>
      </c>
      <c r="R1694" s="1">
        <v>45992</v>
      </c>
      <c r="S1694" s="1">
        <v>46022</v>
      </c>
      <c r="V1694" s="8">
        <v>1</v>
      </c>
      <c r="W1694" t="s">
        <v>24</v>
      </c>
      <c r="X1694" t="s">
        <v>123</v>
      </c>
      <c r="Y1694" t="s">
        <v>34</v>
      </c>
      <c r="Z1694" t="s">
        <v>11</v>
      </c>
      <c r="AA1694">
        <v>62371</v>
      </c>
      <c r="AB1694">
        <v>21249994</v>
      </c>
      <c r="AC1694">
        <v>1</v>
      </c>
      <c r="AD1694" s="8"/>
    </row>
    <row r="1695" spans="1:30" x14ac:dyDescent="0.3">
      <c r="A1695" t="s">
        <v>1627</v>
      </c>
      <c r="B1695">
        <v>1415407</v>
      </c>
      <c r="D1695" t="s">
        <v>7</v>
      </c>
      <c r="E1695">
        <v>946471</v>
      </c>
      <c r="F1695">
        <v>9015884123</v>
      </c>
      <c r="G1695">
        <v>396</v>
      </c>
      <c r="H1695" t="s">
        <v>1108</v>
      </c>
      <c r="I1695">
        <v>0</v>
      </c>
      <c r="J1695" t="s">
        <v>1109</v>
      </c>
      <c r="K1695" t="s">
        <v>8</v>
      </c>
      <c r="L1695" t="s">
        <v>67</v>
      </c>
      <c r="M1695" t="s">
        <v>9</v>
      </c>
      <c r="N1695" t="s">
        <v>14</v>
      </c>
      <c r="O1695" s="2">
        <v>194246.74</v>
      </c>
      <c r="P1695" s="3">
        <v>1363.7909999999999</v>
      </c>
      <c r="Q1695" s="1">
        <v>46033</v>
      </c>
      <c r="R1695" s="1">
        <v>45992</v>
      </c>
      <c r="S1695" s="1">
        <v>46022</v>
      </c>
      <c r="V1695" s="8">
        <v>1</v>
      </c>
      <c r="W1695" t="s">
        <v>24</v>
      </c>
      <c r="X1695" t="s">
        <v>1110</v>
      </c>
      <c r="Y1695" t="s">
        <v>31</v>
      </c>
      <c r="Z1695" t="s">
        <v>11</v>
      </c>
      <c r="AA1695">
        <v>62371</v>
      </c>
      <c r="AB1695">
        <v>18267212</v>
      </c>
      <c r="AC1695">
        <v>0</v>
      </c>
      <c r="AD1695" s="8"/>
    </row>
    <row r="1696" spans="1:30" x14ac:dyDescent="0.3">
      <c r="A1696" t="s">
        <v>1627</v>
      </c>
      <c r="B1696">
        <v>1403708</v>
      </c>
      <c r="D1696" t="s">
        <v>7</v>
      </c>
      <c r="E1696">
        <v>946246</v>
      </c>
      <c r="F1696">
        <v>9015884123</v>
      </c>
      <c r="G1696">
        <v>300</v>
      </c>
      <c r="H1696" t="s">
        <v>154</v>
      </c>
      <c r="I1696">
        <v>0</v>
      </c>
      <c r="J1696" t="s">
        <v>155</v>
      </c>
      <c r="K1696" t="s">
        <v>8</v>
      </c>
      <c r="L1696" t="s">
        <v>19</v>
      </c>
      <c r="M1696" t="s">
        <v>9</v>
      </c>
      <c r="N1696" t="s">
        <v>14</v>
      </c>
      <c r="O1696" s="2">
        <v>3405.49</v>
      </c>
      <c r="P1696" s="3">
        <v>17.234999999999999</v>
      </c>
      <c r="Q1696" s="1">
        <v>46033</v>
      </c>
      <c r="R1696" s="1">
        <v>45992</v>
      </c>
      <c r="S1696" s="1">
        <v>46022</v>
      </c>
      <c r="V1696" s="8">
        <v>1</v>
      </c>
      <c r="W1696" t="s">
        <v>24</v>
      </c>
      <c r="X1696" t="s">
        <v>156</v>
      </c>
      <c r="Y1696" t="s">
        <v>31</v>
      </c>
      <c r="Z1696" t="s">
        <v>11</v>
      </c>
      <c r="AA1696">
        <v>62371</v>
      </c>
      <c r="AB1696">
        <v>18971739</v>
      </c>
      <c r="AC1696">
        <v>0</v>
      </c>
      <c r="AD1696" s="8"/>
    </row>
    <row r="1697" spans="1:30" x14ac:dyDescent="0.3">
      <c r="A1697" t="s">
        <v>1627</v>
      </c>
      <c r="B1697">
        <v>1403676</v>
      </c>
      <c r="D1697" t="s">
        <v>7</v>
      </c>
      <c r="E1697">
        <v>946139</v>
      </c>
      <c r="F1697">
        <v>9015884123</v>
      </c>
      <c r="G1697">
        <v>266</v>
      </c>
      <c r="H1697" t="s">
        <v>1114</v>
      </c>
      <c r="I1697">
        <v>0</v>
      </c>
      <c r="J1697" t="s">
        <v>1115</v>
      </c>
      <c r="K1697" t="s">
        <v>8</v>
      </c>
      <c r="L1697" t="s">
        <v>67</v>
      </c>
      <c r="M1697" t="s">
        <v>9</v>
      </c>
      <c r="N1697" t="s">
        <v>14</v>
      </c>
      <c r="O1697" s="2">
        <v>165057.46</v>
      </c>
      <c r="P1697" s="3">
        <v>1528.37</v>
      </c>
      <c r="Q1697" s="1">
        <v>46033</v>
      </c>
      <c r="R1697" s="1">
        <v>45992</v>
      </c>
      <c r="S1697" s="1">
        <v>46022</v>
      </c>
      <c r="V1697" s="8">
        <v>1</v>
      </c>
      <c r="W1697" t="s">
        <v>24</v>
      </c>
      <c r="X1697" t="s">
        <v>1116</v>
      </c>
      <c r="Y1697" t="s">
        <v>31</v>
      </c>
      <c r="Z1697" t="s">
        <v>11</v>
      </c>
      <c r="AA1697">
        <v>62371</v>
      </c>
      <c r="AB1697">
        <v>17197657</v>
      </c>
      <c r="AC1697">
        <v>1</v>
      </c>
      <c r="AD1697" s="8"/>
    </row>
    <row r="1698" spans="1:30" x14ac:dyDescent="0.3">
      <c r="A1698" t="s">
        <v>1627</v>
      </c>
      <c r="B1698">
        <v>1375762</v>
      </c>
      <c r="D1698" t="s">
        <v>7</v>
      </c>
      <c r="E1698">
        <v>945944</v>
      </c>
      <c r="F1698">
        <v>9015884123</v>
      </c>
      <c r="G1698">
        <v>190</v>
      </c>
      <c r="H1698" t="s">
        <v>712</v>
      </c>
      <c r="I1698">
        <v>0</v>
      </c>
      <c r="J1698" t="s">
        <v>713</v>
      </c>
      <c r="K1698" t="s">
        <v>8</v>
      </c>
      <c r="L1698" t="s">
        <v>19</v>
      </c>
      <c r="M1698" t="s">
        <v>9</v>
      </c>
      <c r="N1698" t="s">
        <v>14</v>
      </c>
      <c r="O1698" s="2">
        <v>9318.17</v>
      </c>
      <c r="P1698" s="3">
        <v>57.112000000000002</v>
      </c>
      <c r="Q1698" s="1">
        <v>46033</v>
      </c>
      <c r="R1698" s="1">
        <v>45992</v>
      </c>
      <c r="S1698" s="1">
        <v>46022</v>
      </c>
      <c r="V1698" s="8">
        <v>1</v>
      </c>
      <c r="W1698" t="s">
        <v>24</v>
      </c>
      <c r="X1698" t="s">
        <v>714</v>
      </c>
      <c r="Y1698" t="s">
        <v>31</v>
      </c>
      <c r="Z1698" t="s">
        <v>11</v>
      </c>
      <c r="AA1698">
        <v>62371</v>
      </c>
      <c r="AB1698">
        <v>21246806</v>
      </c>
      <c r="AC1698">
        <v>1</v>
      </c>
      <c r="AD1698" s="8"/>
    </row>
    <row r="1699" spans="1:30" x14ac:dyDescent="0.3">
      <c r="A1699" t="s">
        <v>1627</v>
      </c>
      <c r="B1699">
        <v>1384359</v>
      </c>
      <c r="D1699" t="s">
        <v>7</v>
      </c>
      <c r="E1699">
        <v>946031</v>
      </c>
      <c r="F1699">
        <v>9015884123</v>
      </c>
      <c r="G1699">
        <v>231</v>
      </c>
      <c r="H1699" t="s">
        <v>721</v>
      </c>
      <c r="I1699">
        <v>0</v>
      </c>
      <c r="J1699" t="s">
        <v>722</v>
      </c>
      <c r="K1699" t="s">
        <v>8</v>
      </c>
      <c r="L1699" t="s">
        <v>15</v>
      </c>
      <c r="M1699" t="s">
        <v>9</v>
      </c>
      <c r="N1699" t="s">
        <v>14</v>
      </c>
      <c r="O1699" s="2">
        <v>0</v>
      </c>
      <c r="P1699" s="3">
        <v>29956.061000000002</v>
      </c>
      <c r="Q1699" s="1">
        <v>46033</v>
      </c>
      <c r="R1699" s="1">
        <v>45992</v>
      </c>
      <c r="S1699" s="1">
        <v>46022</v>
      </c>
      <c r="V1699" s="8">
        <v>2</v>
      </c>
      <c r="W1699" t="s">
        <v>24</v>
      </c>
      <c r="X1699" t="s">
        <v>723</v>
      </c>
      <c r="Y1699" t="s">
        <v>34</v>
      </c>
      <c r="Z1699" t="s">
        <v>11</v>
      </c>
      <c r="AA1699">
        <v>62371</v>
      </c>
      <c r="AB1699">
        <v>18741899</v>
      </c>
      <c r="AC1699">
        <v>1</v>
      </c>
      <c r="AD1699" s="8"/>
    </row>
    <row r="1700" spans="1:30" x14ac:dyDescent="0.3">
      <c r="A1700" t="s">
        <v>1627</v>
      </c>
      <c r="B1700">
        <v>1342232</v>
      </c>
      <c r="D1700" t="s">
        <v>7</v>
      </c>
      <c r="E1700">
        <v>945253</v>
      </c>
      <c r="F1700">
        <v>9015884123</v>
      </c>
      <c r="G1700">
        <v>68</v>
      </c>
      <c r="H1700" t="s">
        <v>145</v>
      </c>
      <c r="I1700">
        <v>0</v>
      </c>
      <c r="J1700" t="s">
        <v>146</v>
      </c>
      <c r="K1700" t="s">
        <v>8</v>
      </c>
      <c r="L1700" t="s">
        <v>15</v>
      </c>
      <c r="M1700" t="s">
        <v>9</v>
      </c>
      <c r="N1700" t="s">
        <v>14</v>
      </c>
      <c r="O1700" s="2">
        <v>0</v>
      </c>
      <c r="P1700" s="3">
        <v>3914.8359999999998</v>
      </c>
      <c r="Q1700" s="1">
        <v>46033</v>
      </c>
      <c r="R1700" s="1">
        <v>45992</v>
      </c>
      <c r="S1700" s="1">
        <v>46022</v>
      </c>
      <c r="V1700" s="8">
        <v>1</v>
      </c>
      <c r="W1700" t="s">
        <v>24</v>
      </c>
      <c r="X1700" t="s">
        <v>147</v>
      </c>
      <c r="Y1700" t="s">
        <v>31</v>
      </c>
      <c r="Z1700" t="s">
        <v>11</v>
      </c>
      <c r="AA1700">
        <v>62371</v>
      </c>
      <c r="AB1700">
        <v>21366482</v>
      </c>
      <c r="AC1700">
        <v>1</v>
      </c>
      <c r="AD1700" s="8"/>
    </row>
    <row r="1701" spans="1:30" x14ac:dyDescent="0.3">
      <c r="A1701" t="s">
        <v>1627</v>
      </c>
      <c r="B1701">
        <v>1379271</v>
      </c>
      <c r="D1701" t="s">
        <v>7</v>
      </c>
      <c r="E1701">
        <v>945987</v>
      </c>
      <c r="F1701">
        <v>9015884123</v>
      </c>
      <c r="G1701">
        <v>212</v>
      </c>
      <c r="H1701" t="s">
        <v>1126</v>
      </c>
      <c r="I1701">
        <v>0</v>
      </c>
      <c r="J1701" t="s">
        <v>1127</v>
      </c>
      <c r="K1701" t="s">
        <v>8</v>
      </c>
      <c r="L1701" t="s">
        <v>15</v>
      </c>
      <c r="M1701" t="s">
        <v>9</v>
      </c>
      <c r="N1701" t="s">
        <v>14</v>
      </c>
      <c r="O1701" s="2">
        <v>0</v>
      </c>
      <c r="P1701" s="3">
        <v>1866.797</v>
      </c>
      <c r="Q1701" s="1">
        <v>46033</v>
      </c>
      <c r="R1701" s="1">
        <v>45992</v>
      </c>
      <c r="S1701" s="1">
        <v>46022</v>
      </c>
      <c r="V1701" s="8">
        <v>1</v>
      </c>
      <c r="W1701" t="s">
        <v>24</v>
      </c>
      <c r="X1701" t="s">
        <v>1128</v>
      </c>
      <c r="Y1701" t="s">
        <v>34</v>
      </c>
      <c r="Z1701" t="s">
        <v>11</v>
      </c>
      <c r="AA1701">
        <v>62371</v>
      </c>
      <c r="AB1701">
        <v>21249954</v>
      </c>
      <c r="AC1701">
        <v>1</v>
      </c>
      <c r="AD1701" s="8"/>
    </row>
    <row r="1702" spans="1:30" x14ac:dyDescent="0.3">
      <c r="A1702" t="s">
        <v>1627</v>
      </c>
      <c r="B1702">
        <v>1363365</v>
      </c>
      <c r="D1702" t="s">
        <v>7</v>
      </c>
      <c r="E1702">
        <v>945917</v>
      </c>
      <c r="F1702">
        <v>9015884123</v>
      </c>
      <c r="G1702">
        <v>168</v>
      </c>
      <c r="H1702" t="s">
        <v>739</v>
      </c>
      <c r="I1702">
        <v>0</v>
      </c>
      <c r="J1702" t="s">
        <v>740</v>
      </c>
      <c r="K1702" t="s">
        <v>8</v>
      </c>
      <c r="L1702" t="s">
        <v>67</v>
      </c>
      <c r="M1702" t="s">
        <v>9</v>
      </c>
      <c r="N1702" t="s">
        <v>14</v>
      </c>
      <c r="O1702" s="2">
        <v>126295.52</v>
      </c>
      <c r="P1702" s="3">
        <v>1169.4490000000001</v>
      </c>
      <c r="Q1702" s="1">
        <v>46033</v>
      </c>
      <c r="R1702" s="1">
        <v>45992</v>
      </c>
      <c r="S1702" s="1">
        <v>46022</v>
      </c>
      <c r="V1702" s="8">
        <v>1</v>
      </c>
      <c r="W1702" t="s">
        <v>24</v>
      </c>
      <c r="X1702" t="s">
        <v>741</v>
      </c>
      <c r="Y1702" t="s">
        <v>34</v>
      </c>
      <c r="Z1702" t="s">
        <v>11</v>
      </c>
      <c r="AA1702">
        <v>62371</v>
      </c>
      <c r="AB1702">
        <v>21249745</v>
      </c>
      <c r="AC1702">
        <v>1</v>
      </c>
      <c r="AD1702" s="8"/>
    </row>
    <row r="1703" spans="1:30" x14ac:dyDescent="0.3">
      <c r="A1703" t="s">
        <v>1627</v>
      </c>
      <c r="B1703">
        <v>1363365</v>
      </c>
      <c r="D1703" t="s">
        <v>7</v>
      </c>
      <c r="E1703">
        <v>945917</v>
      </c>
      <c r="F1703">
        <v>9015884123</v>
      </c>
      <c r="G1703">
        <v>168</v>
      </c>
      <c r="H1703" t="s">
        <v>739</v>
      </c>
      <c r="I1703">
        <v>0</v>
      </c>
      <c r="J1703" t="s">
        <v>740</v>
      </c>
      <c r="K1703" t="s">
        <v>8</v>
      </c>
      <c r="L1703" t="s">
        <v>15</v>
      </c>
      <c r="M1703" t="s">
        <v>9</v>
      </c>
      <c r="N1703" t="s">
        <v>14</v>
      </c>
      <c r="O1703" s="2">
        <v>0</v>
      </c>
      <c r="P1703" s="3">
        <v>1169.4490000000001</v>
      </c>
      <c r="Q1703" s="1">
        <v>46033</v>
      </c>
      <c r="R1703" s="1">
        <v>45992</v>
      </c>
      <c r="S1703" s="1">
        <v>46022</v>
      </c>
      <c r="V1703" s="8">
        <v>1</v>
      </c>
      <c r="W1703" t="s">
        <v>24</v>
      </c>
      <c r="X1703" t="s">
        <v>741</v>
      </c>
      <c r="Y1703" t="s">
        <v>34</v>
      </c>
      <c r="Z1703" t="s">
        <v>11</v>
      </c>
      <c r="AA1703">
        <v>62371</v>
      </c>
      <c r="AB1703">
        <v>21249745</v>
      </c>
      <c r="AC1703">
        <v>1</v>
      </c>
      <c r="AD1703" s="8"/>
    </row>
    <row r="1704" spans="1:30" x14ac:dyDescent="0.3">
      <c r="A1704" t="s">
        <v>1627</v>
      </c>
      <c r="B1704">
        <v>1403890</v>
      </c>
      <c r="D1704" t="s">
        <v>7</v>
      </c>
      <c r="E1704">
        <v>946194</v>
      </c>
      <c r="F1704">
        <v>9015884123</v>
      </c>
      <c r="G1704">
        <v>283</v>
      </c>
      <c r="H1704" t="s">
        <v>1129</v>
      </c>
      <c r="I1704">
        <v>0</v>
      </c>
      <c r="J1704" t="s">
        <v>1130</v>
      </c>
      <c r="K1704" t="s">
        <v>8</v>
      </c>
      <c r="L1704" t="s">
        <v>18</v>
      </c>
      <c r="M1704" t="s">
        <v>9</v>
      </c>
      <c r="N1704" t="s">
        <v>14</v>
      </c>
      <c r="O1704" s="2">
        <v>-4.3899999999999997</v>
      </c>
      <c r="P1704" s="3">
        <v>0</v>
      </c>
      <c r="Q1704" s="1">
        <v>46033</v>
      </c>
      <c r="R1704" s="1">
        <v>45992</v>
      </c>
      <c r="S1704" s="1">
        <v>46022</v>
      </c>
      <c r="V1704" s="8">
        <v>1</v>
      </c>
      <c r="W1704" t="s">
        <v>24</v>
      </c>
      <c r="X1704" t="s">
        <v>1131</v>
      </c>
      <c r="Y1704" t="s">
        <v>182</v>
      </c>
      <c r="Z1704" t="s">
        <v>11</v>
      </c>
      <c r="AA1704">
        <v>62371</v>
      </c>
      <c r="AB1704">
        <v>18408641</v>
      </c>
      <c r="AC1704">
        <v>0</v>
      </c>
      <c r="AD1704" s="8"/>
    </row>
    <row r="1705" spans="1:30" x14ac:dyDescent="0.3">
      <c r="A1705" t="s">
        <v>1627</v>
      </c>
      <c r="B1705">
        <v>1345468</v>
      </c>
      <c r="D1705" t="s">
        <v>7</v>
      </c>
      <c r="E1705">
        <v>945275</v>
      </c>
      <c r="F1705">
        <v>9015884123</v>
      </c>
      <c r="G1705">
        <v>74</v>
      </c>
      <c r="H1705" t="s">
        <v>1141</v>
      </c>
      <c r="I1705">
        <v>0</v>
      </c>
      <c r="J1705" t="s">
        <v>1142</v>
      </c>
      <c r="K1705" t="s">
        <v>8</v>
      </c>
      <c r="L1705" t="s">
        <v>18</v>
      </c>
      <c r="M1705" t="s">
        <v>9</v>
      </c>
      <c r="N1705" t="s">
        <v>14</v>
      </c>
      <c r="O1705" s="2">
        <v>-2.66</v>
      </c>
      <c r="P1705" s="3">
        <v>0</v>
      </c>
      <c r="Q1705" s="1">
        <v>46033</v>
      </c>
      <c r="R1705" s="1">
        <v>45992</v>
      </c>
      <c r="S1705" s="1">
        <v>46022</v>
      </c>
      <c r="V1705" s="8">
        <v>1</v>
      </c>
      <c r="W1705" t="s">
        <v>24</v>
      </c>
      <c r="X1705" t="s">
        <v>1143</v>
      </c>
      <c r="Y1705" t="s">
        <v>10</v>
      </c>
      <c r="Z1705" t="s">
        <v>11</v>
      </c>
      <c r="AA1705">
        <v>62371</v>
      </c>
      <c r="AB1705">
        <v>18385696</v>
      </c>
      <c r="AC1705">
        <v>1</v>
      </c>
      <c r="AD1705" s="8"/>
    </row>
    <row r="1706" spans="1:30" x14ac:dyDescent="0.3">
      <c r="A1706" t="s">
        <v>1627</v>
      </c>
      <c r="B1706">
        <v>1345488</v>
      </c>
      <c r="D1706" t="s">
        <v>7</v>
      </c>
      <c r="E1706">
        <v>945285</v>
      </c>
      <c r="F1706">
        <v>9015884123</v>
      </c>
      <c r="G1706">
        <v>77</v>
      </c>
      <c r="H1706" t="s">
        <v>742</v>
      </c>
      <c r="I1706">
        <v>0</v>
      </c>
      <c r="J1706" t="s">
        <v>743</v>
      </c>
      <c r="K1706" t="s">
        <v>8</v>
      </c>
      <c r="L1706" t="s">
        <v>19</v>
      </c>
      <c r="M1706" t="s">
        <v>9</v>
      </c>
      <c r="N1706" t="s">
        <v>14</v>
      </c>
      <c r="O1706" s="2">
        <v>18150.189999999999</v>
      </c>
      <c r="P1706" s="3">
        <v>91.856999999999999</v>
      </c>
      <c r="Q1706" s="1">
        <v>46033</v>
      </c>
      <c r="R1706" s="1">
        <v>45992</v>
      </c>
      <c r="S1706" s="1">
        <v>46022</v>
      </c>
      <c r="V1706" s="8">
        <v>1</v>
      </c>
      <c r="W1706" t="s">
        <v>24</v>
      </c>
      <c r="X1706" t="s">
        <v>744</v>
      </c>
      <c r="Y1706" t="s">
        <v>10</v>
      </c>
      <c r="Z1706" t="s">
        <v>11</v>
      </c>
      <c r="AA1706">
        <v>62371</v>
      </c>
      <c r="AB1706">
        <v>21116819</v>
      </c>
      <c r="AC1706">
        <v>0</v>
      </c>
      <c r="AD1706" s="8"/>
    </row>
    <row r="1707" spans="1:30" x14ac:dyDescent="0.3">
      <c r="A1707" t="s">
        <v>1627</v>
      </c>
      <c r="B1707">
        <v>1342238</v>
      </c>
      <c r="D1707" t="s">
        <v>7</v>
      </c>
      <c r="E1707">
        <v>945263</v>
      </c>
      <c r="F1707">
        <v>9015884123</v>
      </c>
      <c r="G1707">
        <v>70</v>
      </c>
      <c r="H1707" t="s">
        <v>748</v>
      </c>
      <c r="I1707">
        <v>0</v>
      </c>
      <c r="J1707" t="s">
        <v>749</v>
      </c>
      <c r="K1707" t="s">
        <v>8</v>
      </c>
      <c r="L1707" t="s">
        <v>67</v>
      </c>
      <c r="M1707" t="s">
        <v>9</v>
      </c>
      <c r="N1707" t="s">
        <v>14</v>
      </c>
      <c r="O1707" s="2">
        <v>801666.07</v>
      </c>
      <c r="P1707" s="3">
        <v>5628.4340000000002</v>
      </c>
      <c r="Q1707" s="1">
        <v>46033</v>
      </c>
      <c r="R1707" s="1">
        <v>45992</v>
      </c>
      <c r="S1707" s="1">
        <v>46022</v>
      </c>
      <c r="V1707" s="8">
        <v>1</v>
      </c>
      <c r="W1707" t="s">
        <v>24</v>
      </c>
      <c r="X1707" t="s">
        <v>750</v>
      </c>
      <c r="Y1707" t="s">
        <v>10</v>
      </c>
      <c r="Z1707" t="s">
        <v>11</v>
      </c>
      <c r="AA1707">
        <v>62371</v>
      </c>
      <c r="AB1707">
        <v>17037991</v>
      </c>
      <c r="AC1707">
        <v>0</v>
      </c>
      <c r="AD1707" s="8"/>
    </row>
    <row r="1708" spans="1:30" x14ac:dyDescent="0.3">
      <c r="A1708" t="s">
        <v>1627</v>
      </c>
      <c r="B1708">
        <v>1354506</v>
      </c>
      <c r="D1708" t="s">
        <v>7</v>
      </c>
      <c r="E1708">
        <v>945324</v>
      </c>
      <c r="F1708">
        <v>9015884123</v>
      </c>
      <c r="G1708">
        <v>89</v>
      </c>
      <c r="H1708" t="s">
        <v>1382</v>
      </c>
      <c r="I1708">
        <v>0</v>
      </c>
      <c r="J1708" t="s">
        <v>1383</v>
      </c>
      <c r="K1708" t="s">
        <v>8</v>
      </c>
      <c r="L1708" t="s">
        <v>19</v>
      </c>
      <c r="M1708" t="s">
        <v>9</v>
      </c>
      <c r="N1708" t="s">
        <v>14</v>
      </c>
      <c r="O1708" s="2">
        <v>265.95999999999998</v>
      </c>
      <c r="P1708" s="3">
        <v>1.3460000000000001</v>
      </c>
      <c r="Q1708" s="1">
        <v>46033</v>
      </c>
      <c r="R1708" s="1">
        <v>45992</v>
      </c>
      <c r="S1708" s="1">
        <v>46022</v>
      </c>
      <c r="V1708" s="8">
        <v>1</v>
      </c>
      <c r="W1708" t="s">
        <v>24</v>
      </c>
      <c r="X1708" t="s">
        <v>1384</v>
      </c>
      <c r="Y1708" t="s">
        <v>17</v>
      </c>
      <c r="Z1708" t="s">
        <v>11</v>
      </c>
      <c r="AA1708">
        <v>62371</v>
      </c>
      <c r="AB1708">
        <v>18321377</v>
      </c>
      <c r="AC1708">
        <v>0</v>
      </c>
      <c r="AD1708" s="8"/>
    </row>
    <row r="1709" spans="1:30" x14ac:dyDescent="0.3">
      <c r="A1709" t="s">
        <v>1627</v>
      </c>
      <c r="B1709">
        <v>1354732</v>
      </c>
      <c r="D1709" t="s">
        <v>7</v>
      </c>
      <c r="E1709">
        <v>945330</v>
      </c>
      <c r="F1709">
        <v>9015884123</v>
      </c>
      <c r="G1709">
        <v>90</v>
      </c>
      <c r="H1709" t="s">
        <v>196</v>
      </c>
      <c r="I1709">
        <v>0</v>
      </c>
      <c r="J1709" t="s">
        <v>197</v>
      </c>
      <c r="K1709" t="s">
        <v>8</v>
      </c>
      <c r="L1709" t="s">
        <v>18</v>
      </c>
      <c r="M1709" t="s">
        <v>9</v>
      </c>
      <c r="N1709" t="s">
        <v>14</v>
      </c>
      <c r="O1709" s="2">
        <v>-4.5</v>
      </c>
      <c r="P1709" s="3">
        <v>0</v>
      </c>
      <c r="Q1709" s="1">
        <v>46033</v>
      </c>
      <c r="R1709" s="1">
        <v>45992</v>
      </c>
      <c r="S1709" s="1">
        <v>46022</v>
      </c>
      <c r="V1709" s="8">
        <v>1</v>
      </c>
      <c r="W1709" t="s">
        <v>24</v>
      </c>
      <c r="X1709" t="s">
        <v>198</v>
      </c>
      <c r="Y1709" t="s">
        <v>10</v>
      </c>
      <c r="Z1709" t="s">
        <v>11</v>
      </c>
      <c r="AA1709">
        <v>62371</v>
      </c>
      <c r="AB1709">
        <v>18404523</v>
      </c>
      <c r="AC1709">
        <v>1</v>
      </c>
      <c r="AD1709" s="8"/>
    </row>
    <row r="1710" spans="1:30" x14ac:dyDescent="0.3">
      <c r="A1710" t="s">
        <v>1627</v>
      </c>
      <c r="B1710">
        <v>1356149</v>
      </c>
      <c r="D1710" t="s">
        <v>7</v>
      </c>
      <c r="E1710">
        <v>945383</v>
      </c>
      <c r="F1710">
        <v>9015884123</v>
      </c>
      <c r="G1710">
        <v>106</v>
      </c>
      <c r="H1710" t="s">
        <v>781</v>
      </c>
      <c r="I1710">
        <v>0</v>
      </c>
      <c r="J1710" t="s">
        <v>782</v>
      </c>
      <c r="K1710" t="s">
        <v>8</v>
      </c>
      <c r="L1710" t="s">
        <v>15</v>
      </c>
      <c r="M1710" t="s">
        <v>9</v>
      </c>
      <c r="N1710" t="s">
        <v>14</v>
      </c>
      <c r="O1710" s="2">
        <v>0</v>
      </c>
      <c r="P1710" s="3">
        <v>4283.7650000000003</v>
      </c>
      <c r="Q1710" s="1">
        <v>46033</v>
      </c>
      <c r="R1710" s="1">
        <v>45992</v>
      </c>
      <c r="S1710" s="1">
        <v>46022</v>
      </c>
      <c r="V1710" s="8">
        <v>1</v>
      </c>
      <c r="W1710" t="s">
        <v>24</v>
      </c>
      <c r="X1710" t="s">
        <v>783</v>
      </c>
      <c r="Y1710" t="s">
        <v>10</v>
      </c>
      <c r="Z1710" t="s">
        <v>11</v>
      </c>
      <c r="AA1710">
        <v>62371</v>
      </c>
      <c r="AB1710">
        <v>17192106</v>
      </c>
      <c r="AC1710">
        <v>1</v>
      </c>
      <c r="AD1710" s="8"/>
    </row>
    <row r="1711" spans="1:30" x14ac:dyDescent="0.3">
      <c r="A1711" t="s">
        <v>1627</v>
      </c>
      <c r="B1711">
        <v>1356164</v>
      </c>
      <c r="D1711" t="s">
        <v>7</v>
      </c>
      <c r="E1711">
        <v>945391</v>
      </c>
      <c r="F1711">
        <v>9015884123</v>
      </c>
      <c r="G1711">
        <v>109</v>
      </c>
      <c r="H1711" t="s">
        <v>1168</v>
      </c>
      <c r="I1711">
        <v>0</v>
      </c>
      <c r="J1711" t="s">
        <v>1169</v>
      </c>
      <c r="K1711" t="s">
        <v>8</v>
      </c>
      <c r="L1711" t="s">
        <v>19</v>
      </c>
      <c r="M1711" t="s">
        <v>9</v>
      </c>
      <c r="N1711" t="s">
        <v>14</v>
      </c>
      <c r="O1711" s="2">
        <v>1585.22</v>
      </c>
      <c r="P1711" s="3">
        <v>9.7159999999999993</v>
      </c>
      <c r="Q1711" s="1">
        <v>46033</v>
      </c>
      <c r="R1711" s="1">
        <v>45992</v>
      </c>
      <c r="S1711" s="1">
        <v>46022</v>
      </c>
      <c r="V1711" s="8">
        <v>1</v>
      </c>
      <c r="W1711" t="s">
        <v>24</v>
      </c>
      <c r="X1711" t="s">
        <v>1170</v>
      </c>
      <c r="Y1711" t="s">
        <v>10</v>
      </c>
      <c r="Z1711" t="s">
        <v>11</v>
      </c>
      <c r="AA1711">
        <v>62371</v>
      </c>
      <c r="AB1711">
        <v>21113669</v>
      </c>
      <c r="AC1711">
        <v>1</v>
      </c>
      <c r="AD1711" s="8"/>
    </row>
    <row r="1712" spans="1:30" x14ac:dyDescent="0.3">
      <c r="A1712" t="s">
        <v>1627</v>
      </c>
      <c r="B1712">
        <v>1356268</v>
      </c>
      <c r="D1712" t="s">
        <v>7</v>
      </c>
      <c r="E1712">
        <v>945462</v>
      </c>
      <c r="F1712">
        <v>9015884123</v>
      </c>
      <c r="G1712">
        <v>133</v>
      </c>
      <c r="H1712" t="s">
        <v>784</v>
      </c>
      <c r="I1712">
        <v>0</v>
      </c>
      <c r="J1712" t="s">
        <v>785</v>
      </c>
      <c r="K1712" t="s">
        <v>8</v>
      </c>
      <c r="L1712" t="s">
        <v>15</v>
      </c>
      <c r="M1712" t="s">
        <v>9</v>
      </c>
      <c r="N1712" t="s">
        <v>14</v>
      </c>
      <c r="O1712" s="2">
        <v>0</v>
      </c>
      <c r="P1712" s="3">
        <v>2068.4079999999999</v>
      </c>
      <c r="Q1712" s="1">
        <v>46033</v>
      </c>
      <c r="R1712" s="1">
        <v>45992</v>
      </c>
      <c r="S1712" s="1">
        <v>46022</v>
      </c>
      <c r="V1712" s="8">
        <v>1</v>
      </c>
      <c r="W1712" t="s">
        <v>24</v>
      </c>
      <c r="X1712" t="s">
        <v>786</v>
      </c>
      <c r="Y1712" t="s">
        <v>10</v>
      </c>
      <c r="Z1712" t="s">
        <v>11</v>
      </c>
      <c r="AA1712">
        <v>62371</v>
      </c>
      <c r="AB1712">
        <v>18814626</v>
      </c>
      <c r="AC1712">
        <v>0</v>
      </c>
      <c r="AD1712" s="8"/>
    </row>
    <row r="1713" spans="1:30" x14ac:dyDescent="0.3">
      <c r="A1713" t="s">
        <v>1627</v>
      </c>
      <c r="B1713">
        <v>1356268</v>
      </c>
      <c r="D1713" t="s">
        <v>7</v>
      </c>
      <c r="E1713">
        <v>945462</v>
      </c>
      <c r="F1713">
        <v>9015884123</v>
      </c>
      <c r="G1713">
        <v>133</v>
      </c>
      <c r="H1713" t="s">
        <v>784</v>
      </c>
      <c r="I1713">
        <v>0</v>
      </c>
      <c r="J1713" t="s">
        <v>785</v>
      </c>
      <c r="K1713" t="s">
        <v>8</v>
      </c>
      <c r="L1713" t="s">
        <v>18</v>
      </c>
      <c r="M1713" t="s">
        <v>9</v>
      </c>
      <c r="N1713" t="s">
        <v>14</v>
      </c>
      <c r="O1713" s="2">
        <v>3.63</v>
      </c>
      <c r="P1713" s="3">
        <v>0</v>
      </c>
      <c r="Q1713" s="1">
        <v>46033</v>
      </c>
      <c r="R1713" s="1">
        <v>45992</v>
      </c>
      <c r="S1713" s="1">
        <v>46022</v>
      </c>
      <c r="V1713" s="8">
        <v>1</v>
      </c>
      <c r="W1713" t="s">
        <v>24</v>
      </c>
      <c r="X1713" t="s">
        <v>786</v>
      </c>
      <c r="Y1713" t="s">
        <v>10</v>
      </c>
      <c r="Z1713" t="s">
        <v>11</v>
      </c>
      <c r="AA1713">
        <v>62371</v>
      </c>
      <c r="AB1713">
        <v>18814626</v>
      </c>
      <c r="AC1713">
        <v>0</v>
      </c>
      <c r="AD1713" s="8"/>
    </row>
    <row r="1714" spans="1:30" x14ac:dyDescent="0.3">
      <c r="A1714" t="s">
        <v>1627</v>
      </c>
      <c r="B1714">
        <v>1356166</v>
      </c>
      <c r="D1714" t="s">
        <v>7</v>
      </c>
      <c r="E1714">
        <v>945394</v>
      </c>
      <c r="F1714">
        <v>9015884123</v>
      </c>
      <c r="G1714">
        <v>110</v>
      </c>
      <c r="H1714" t="s">
        <v>1171</v>
      </c>
      <c r="I1714">
        <v>0</v>
      </c>
      <c r="J1714" t="s">
        <v>1172</v>
      </c>
      <c r="K1714" t="s">
        <v>8</v>
      </c>
      <c r="L1714" t="s">
        <v>67</v>
      </c>
      <c r="M1714" t="s">
        <v>9</v>
      </c>
      <c r="N1714" t="s">
        <v>14</v>
      </c>
      <c r="O1714" s="2">
        <v>209217.9</v>
      </c>
      <c r="P1714" s="3">
        <v>1937.279</v>
      </c>
      <c r="Q1714" s="1">
        <v>46033</v>
      </c>
      <c r="R1714" s="1">
        <v>45992</v>
      </c>
      <c r="S1714" s="1">
        <v>46022</v>
      </c>
      <c r="V1714" s="8">
        <v>1</v>
      </c>
      <c r="W1714" t="s">
        <v>24</v>
      </c>
      <c r="X1714" t="s">
        <v>1173</v>
      </c>
      <c r="Y1714" t="s">
        <v>10</v>
      </c>
      <c r="Z1714" t="s">
        <v>11</v>
      </c>
      <c r="AA1714">
        <v>62371</v>
      </c>
      <c r="AB1714">
        <v>21141479</v>
      </c>
      <c r="AC1714">
        <v>1</v>
      </c>
      <c r="AD1714" s="8"/>
    </row>
    <row r="1715" spans="1:30" x14ac:dyDescent="0.3">
      <c r="A1715" t="s">
        <v>1627</v>
      </c>
      <c r="B1715">
        <v>1356241</v>
      </c>
      <c r="D1715" t="s">
        <v>7</v>
      </c>
      <c r="E1715">
        <v>945430</v>
      </c>
      <c r="F1715">
        <v>9015884123</v>
      </c>
      <c r="G1715">
        <v>121</v>
      </c>
      <c r="H1715" t="s">
        <v>808</v>
      </c>
      <c r="I1715">
        <v>0</v>
      </c>
      <c r="J1715" t="s">
        <v>809</v>
      </c>
      <c r="K1715" t="s">
        <v>8</v>
      </c>
      <c r="L1715" t="s">
        <v>67</v>
      </c>
      <c r="M1715" t="s">
        <v>9</v>
      </c>
      <c r="N1715" t="s">
        <v>14</v>
      </c>
      <c r="O1715" s="2">
        <v>333291.84000000003</v>
      </c>
      <c r="P1715" s="3">
        <v>3086.1570000000002</v>
      </c>
      <c r="Q1715" s="1">
        <v>46033</v>
      </c>
      <c r="R1715" s="1">
        <v>45992</v>
      </c>
      <c r="S1715" s="1">
        <v>46022</v>
      </c>
      <c r="V1715" s="8">
        <v>1</v>
      </c>
      <c r="W1715" t="s">
        <v>24</v>
      </c>
      <c r="X1715" t="s">
        <v>810</v>
      </c>
      <c r="Y1715" t="s">
        <v>10</v>
      </c>
      <c r="Z1715" t="s">
        <v>11</v>
      </c>
      <c r="AA1715">
        <v>62371</v>
      </c>
      <c r="AB1715">
        <v>21250581</v>
      </c>
      <c r="AC1715">
        <v>1</v>
      </c>
      <c r="AD1715" s="8"/>
    </row>
    <row r="1716" spans="1:30" x14ac:dyDescent="0.3">
      <c r="A1716" t="s">
        <v>1627</v>
      </c>
      <c r="B1716">
        <v>1356253</v>
      </c>
      <c r="D1716" t="s">
        <v>7</v>
      </c>
      <c r="E1716">
        <v>945447</v>
      </c>
      <c r="F1716">
        <v>9015884123</v>
      </c>
      <c r="G1716">
        <v>127</v>
      </c>
      <c r="H1716" t="s">
        <v>1177</v>
      </c>
      <c r="I1716">
        <v>0</v>
      </c>
      <c r="J1716" t="s">
        <v>1178</v>
      </c>
      <c r="K1716" t="s">
        <v>8</v>
      </c>
      <c r="L1716" t="s">
        <v>18</v>
      </c>
      <c r="M1716" t="s">
        <v>9</v>
      </c>
      <c r="N1716" t="s">
        <v>14</v>
      </c>
      <c r="O1716" s="2">
        <v>4.07</v>
      </c>
      <c r="P1716" s="3">
        <v>0</v>
      </c>
      <c r="Q1716" s="1">
        <v>46033</v>
      </c>
      <c r="R1716" s="1">
        <v>45992</v>
      </c>
      <c r="S1716" s="1">
        <v>46022</v>
      </c>
      <c r="V1716" s="8">
        <v>1</v>
      </c>
      <c r="W1716" t="s">
        <v>24</v>
      </c>
      <c r="X1716" t="s">
        <v>1179</v>
      </c>
      <c r="Y1716" t="s">
        <v>10</v>
      </c>
      <c r="Z1716" t="s">
        <v>11</v>
      </c>
      <c r="AA1716">
        <v>62371</v>
      </c>
      <c r="AB1716">
        <v>17053509</v>
      </c>
      <c r="AC1716">
        <v>0</v>
      </c>
      <c r="AD1716" s="8"/>
    </row>
    <row r="1717" spans="1:30" x14ac:dyDescent="0.3">
      <c r="A1717" t="s">
        <v>1627</v>
      </c>
      <c r="B1717">
        <v>1356272</v>
      </c>
      <c r="D1717" t="s">
        <v>7</v>
      </c>
      <c r="E1717">
        <v>945472</v>
      </c>
      <c r="F1717">
        <v>9015884123</v>
      </c>
      <c r="G1717">
        <v>136</v>
      </c>
      <c r="H1717" t="s">
        <v>802</v>
      </c>
      <c r="I1717">
        <v>0</v>
      </c>
      <c r="J1717" t="s">
        <v>803</v>
      </c>
      <c r="K1717" t="s">
        <v>8</v>
      </c>
      <c r="L1717" t="s">
        <v>19</v>
      </c>
      <c r="M1717" t="s">
        <v>9</v>
      </c>
      <c r="N1717" t="s">
        <v>14</v>
      </c>
      <c r="O1717" s="2">
        <v>176136.9</v>
      </c>
      <c r="P1717" s="3">
        <v>1079.5609999999999</v>
      </c>
      <c r="Q1717" s="1">
        <v>46033</v>
      </c>
      <c r="R1717" s="1">
        <v>45992</v>
      </c>
      <c r="S1717" s="1">
        <v>46022</v>
      </c>
      <c r="V1717" s="8">
        <v>1</v>
      </c>
      <c r="W1717" t="s">
        <v>24</v>
      </c>
      <c r="X1717" t="s">
        <v>804</v>
      </c>
      <c r="Y1717" t="s">
        <v>10</v>
      </c>
      <c r="Z1717" t="s">
        <v>11</v>
      </c>
      <c r="AA1717">
        <v>62371</v>
      </c>
      <c r="AB1717">
        <v>20071780</v>
      </c>
      <c r="AC1717">
        <v>1</v>
      </c>
      <c r="AD1717" s="8"/>
    </row>
    <row r="1718" spans="1:30" x14ac:dyDescent="0.3">
      <c r="A1718" t="s">
        <v>1627</v>
      </c>
      <c r="B1718">
        <v>1408942</v>
      </c>
      <c r="D1718" t="s">
        <v>7</v>
      </c>
      <c r="E1718">
        <v>946345</v>
      </c>
      <c r="F1718">
        <v>9015884123</v>
      </c>
      <c r="G1718">
        <v>346</v>
      </c>
      <c r="H1718" t="s">
        <v>820</v>
      </c>
      <c r="I1718">
        <v>0</v>
      </c>
      <c r="J1718" t="s">
        <v>821</v>
      </c>
      <c r="K1718" t="s">
        <v>8</v>
      </c>
      <c r="L1718" t="s">
        <v>19</v>
      </c>
      <c r="M1718" t="s">
        <v>9</v>
      </c>
      <c r="N1718" t="s">
        <v>14</v>
      </c>
      <c r="O1718" s="2">
        <v>8582.5</v>
      </c>
      <c r="P1718" s="3">
        <v>52.603000000000002</v>
      </c>
      <c r="Q1718" s="1">
        <v>46033</v>
      </c>
      <c r="R1718" s="1">
        <v>45992</v>
      </c>
      <c r="S1718" s="1">
        <v>46022</v>
      </c>
      <c r="V1718" s="8">
        <v>1</v>
      </c>
      <c r="W1718" t="s">
        <v>24</v>
      </c>
      <c r="X1718" t="s">
        <v>822</v>
      </c>
      <c r="Y1718" t="s">
        <v>17</v>
      </c>
      <c r="Z1718" t="s">
        <v>11</v>
      </c>
      <c r="AA1718">
        <v>62371</v>
      </c>
      <c r="AB1718">
        <v>21374339</v>
      </c>
      <c r="AC1718">
        <v>1</v>
      </c>
      <c r="AD1718" s="8"/>
    </row>
    <row r="1719" spans="1:30" x14ac:dyDescent="0.3">
      <c r="A1719" t="s">
        <v>1627</v>
      </c>
      <c r="B1719">
        <v>1415365</v>
      </c>
      <c r="D1719" t="s">
        <v>7</v>
      </c>
      <c r="E1719">
        <v>946449</v>
      </c>
      <c r="F1719">
        <v>9015884123</v>
      </c>
      <c r="G1719">
        <v>389</v>
      </c>
      <c r="H1719" t="s">
        <v>268</v>
      </c>
      <c r="I1719">
        <v>0</v>
      </c>
      <c r="J1719" t="s">
        <v>269</v>
      </c>
      <c r="K1719" t="s">
        <v>8</v>
      </c>
      <c r="L1719" t="s">
        <v>15</v>
      </c>
      <c r="M1719" t="s">
        <v>9</v>
      </c>
      <c r="N1719" t="s">
        <v>14</v>
      </c>
      <c r="O1719" s="2">
        <v>0</v>
      </c>
      <c r="P1719" s="3">
        <v>4048.9340000000002</v>
      </c>
      <c r="Q1719" s="1">
        <v>46033</v>
      </c>
      <c r="R1719" s="1">
        <v>45992</v>
      </c>
      <c r="S1719" s="1">
        <v>46022</v>
      </c>
      <c r="V1719" s="8">
        <v>1</v>
      </c>
      <c r="W1719" t="s">
        <v>24</v>
      </c>
      <c r="X1719" t="s">
        <v>270</v>
      </c>
      <c r="Y1719" t="s">
        <v>17</v>
      </c>
      <c r="Z1719" t="s">
        <v>11</v>
      </c>
      <c r="AA1719">
        <v>62371</v>
      </c>
      <c r="AB1719">
        <v>19821473</v>
      </c>
      <c r="AC1719">
        <v>1</v>
      </c>
      <c r="AD1719" s="8"/>
    </row>
    <row r="1720" spans="1:30" x14ac:dyDescent="0.3">
      <c r="A1720" t="s">
        <v>1627</v>
      </c>
      <c r="B1720">
        <v>1415366</v>
      </c>
      <c r="D1720" t="s">
        <v>7</v>
      </c>
      <c r="E1720">
        <v>946550</v>
      </c>
      <c r="F1720">
        <v>9015884123</v>
      </c>
      <c r="G1720">
        <v>420</v>
      </c>
      <c r="H1720" t="s">
        <v>817</v>
      </c>
      <c r="I1720">
        <v>0</v>
      </c>
      <c r="J1720" t="s">
        <v>818</v>
      </c>
      <c r="K1720" t="s">
        <v>8</v>
      </c>
      <c r="L1720" t="s">
        <v>15</v>
      </c>
      <c r="M1720" t="s">
        <v>9</v>
      </c>
      <c r="N1720" t="s">
        <v>14</v>
      </c>
      <c r="O1720" s="2">
        <v>0</v>
      </c>
      <c r="P1720" s="3">
        <v>29167.986000000001</v>
      </c>
      <c r="Q1720" s="1">
        <v>46033</v>
      </c>
      <c r="R1720" s="1">
        <v>45992</v>
      </c>
      <c r="S1720" s="1">
        <v>46022</v>
      </c>
      <c r="V1720" s="8">
        <v>2</v>
      </c>
      <c r="W1720" t="s">
        <v>24</v>
      </c>
      <c r="X1720" t="s">
        <v>819</v>
      </c>
      <c r="Y1720" t="s">
        <v>17</v>
      </c>
      <c r="Z1720" t="s">
        <v>11</v>
      </c>
      <c r="AA1720">
        <v>62371</v>
      </c>
      <c r="AB1720">
        <v>18384714</v>
      </c>
      <c r="AC1720">
        <v>1</v>
      </c>
      <c r="AD1720" s="8"/>
    </row>
    <row r="1721" spans="1:30" x14ac:dyDescent="0.3">
      <c r="A1721" t="s">
        <v>1627</v>
      </c>
      <c r="B1721">
        <v>1415364</v>
      </c>
      <c r="D1721" t="s">
        <v>7</v>
      </c>
      <c r="E1721">
        <v>946553</v>
      </c>
      <c r="F1721">
        <v>9015884123</v>
      </c>
      <c r="G1721">
        <v>421</v>
      </c>
      <c r="H1721" t="s">
        <v>1403</v>
      </c>
      <c r="I1721">
        <v>0</v>
      </c>
      <c r="J1721" t="s">
        <v>1404</v>
      </c>
      <c r="K1721" t="s">
        <v>8</v>
      </c>
      <c r="L1721" t="s">
        <v>15</v>
      </c>
      <c r="M1721" t="s">
        <v>9</v>
      </c>
      <c r="N1721" t="s">
        <v>14</v>
      </c>
      <c r="O1721" s="2">
        <v>0</v>
      </c>
      <c r="P1721" s="3">
        <v>16175.768</v>
      </c>
      <c r="Q1721" s="1">
        <v>46033</v>
      </c>
      <c r="R1721" s="1">
        <v>45992</v>
      </c>
      <c r="S1721" s="1">
        <v>46022</v>
      </c>
      <c r="V1721" s="8">
        <v>2</v>
      </c>
      <c r="W1721" t="s">
        <v>24</v>
      </c>
      <c r="X1721" t="s">
        <v>1405</v>
      </c>
      <c r="Y1721" t="s">
        <v>17</v>
      </c>
      <c r="Z1721" t="s">
        <v>11</v>
      </c>
      <c r="AA1721">
        <v>62371</v>
      </c>
      <c r="AB1721">
        <v>19570725</v>
      </c>
      <c r="AC1721">
        <v>1</v>
      </c>
      <c r="AD1721" s="8"/>
    </row>
    <row r="1722" spans="1:30" x14ac:dyDescent="0.3">
      <c r="A1722" t="s">
        <v>1627</v>
      </c>
      <c r="B1722">
        <v>1417658</v>
      </c>
      <c r="D1722" t="s">
        <v>7</v>
      </c>
      <c r="E1722">
        <v>946600</v>
      </c>
      <c r="F1722">
        <v>9015884123</v>
      </c>
      <c r="G1722">
        <v>435</v>
      </c>
      <c r="H1722" t="s">
        <v>1591</v>
      </c>
      <c r="I1722">
        <v>0</v>
      </c>
      <c r="J1722" t="s">
        <v>1592</v>
      </c>
      <c r="K1722" t="s">
        <v>8</v>
      </c>
      <c r="L1722" t="s">
        <v>15</v>
      </c>
      <c r="M1722" t="s">
        <v>9</v>
      </c>
      <c r="N1722" t="s">
        <v>14</v>
      </c>
      <c r="O1722" s="2">
        <v>0</v>
      </c>
      <c r="P1722" s="3">
        <v>2726.0430000000001</v>
      </c>
      <c r="Q1722" s="1">
        <v>46033</v>
      </c>
      <c r="R1722" s="1">
        <v>45992</v>
      </c>
      <c r="S1722" s="1">
        <v>46022</v>
      </c>
      <c r="V1722" s="8">
        <v>1</v>
      </c>
      <c r="W1722" t="s">
        <v>24</v>
      </c>
      <c r="X1722" t="s">
        <v>1593</v>
      </c>
      <c r="Y1722" t="s">
        <v>17</v>
      </c>
      <c r="Z1722" t="s">
        <v>11</v>
      </c>
      <c r="AA1722">
        <v>62371</v>
      </c>
      <c r="AB1722">
        <v>19615410</v>
      </c>
      <c r="AC1722">
        <v>0</v>
      </c>
      <c r="AD1722" s="8"/>
    </row>
    <row r="1723" spans="1:30" x14ac:dyDescent="0.3">
      <c r="A1723" t="s">
        <v>1627</v>
      </c>
      <c r="B1723">
        <v>1417722</v>
      </c>
      <c r="D1723" t="s">
        <v>7</v>
      </c>
      <c r="E1723">
        <v>946606</v>
      </c>
      <c r="F1723">
        <v>9015884123</v>
      </c>
      <c r="G1723">
        <v>437</v>
      </c>
      <c r="H1723" t="s">
        <v>277</v>
      </c>
      <c r="I1723">
        <v>0</v>
      </c>
      <c r="J1723" t="s">
        <v>278</v>
      </c>
      <c r="K1723" t="s">
        <v>8</v>
      </c>
      <c r="L1723" t="s">
        <v>67</v>
      </c>
      <c r="M1723" t="s">
        <v>9</v>
      </c>
      <c r="N1723" t="s">
        <v>14</v>
      </c>
      <c r="O1723" s="2">
        <v>299875.48</v>
      </c>
      <c r="P1723" s="3">
        <v>2105.402</v>
      </c>
      <c r="Q1723" s="1">
        <v>46033</v>
      </c>
      <c r="R1723" s="1">
        <v>45992</v>
      </c>
      <c r="S1723" s="1">
        <v>46022</v>
      </c>
      <c r="V1723" s="8">
        <v>1</v>
      </c>
      <c r="W1723" t="s">
        <v>24</v>
      </c>
      <c r="X1723" t="s">
        <v>279</v>
      </c>
      <c r="Y1723" t="s">
        <v>17</v>
      </c>
      <c r="Z1723" t="s">
        <v>11</v>
      </c>
      <c r="AA1723">
        <v>62371</v>
      </c>
      <c r="AB1723">
        <v>17755319</v>
      </c>
      <c r="AC1723">
        <v>0</v>
      </c>
      <c r="AD1723" s="8"/>
    </row>
    <row r="1724" spans="1:30" x14ac:dyDescent="0.3">
      <c r="A1724" t="s">
        <v>1627</v>
      </c>
      <c r="B1724">
        <v>1418388</v>
      </c>
      <c r="D1724" t="s">
        <v>7</v>
      </c>
      <c r="E1724">
        <v>946615</v>
      </c>
      <c r="F1724">
        <v>9015884123</v>
      </c>
      <c r="G1724">
        <v>440</v>
      </c>
      <c r="H1724" t="s">
        <v>271</v>
      </c>
      <c r="I1724">
        <v>0</v>
      </c>
      <c r="J1724" t="s">
        <v>272</v>
      </c>
      <c r="K1724" t="s">
        <v>8</v>
      </c>
      <c r="L1724" t="s">
        <v>19</v>
      </c>
      <c r="M1724" t="s">
        <v>9</v>
      </c>
      <c r="N1724" t="s">
        <v>14</v>
      </c>
      <c r="O1724" s="2">
        <v>10148.11</v>
      </c>
      <c r="P1724" s="3">
        <v>51.359000000000002</v>
      </c>
      <c r="Q1724" s="1">
        <v>46033</v>
      </c>
      <c r="R1724" s="1">
        <v>45992</v>
      </c>
      <c r="S1724" s="1">
        <v>46022</v>
      </c>
      <c r="V1724" s="8">
        <v>1</v>
      </c>
      <c r="W1724" t="s">
        <v>24</v>
      </c>
      <c r="X1724" t="s">
        <v>273</v>
      </c>
      <c r="Y1724" t="s">
        <v>17</v>
      </c>
      <c r="Z1724" t="s">
        <v>11</v>
      </c>
      <c r="AA1724">
        <v>62371</v>
      </c>
      <c r="AB1724">
        <v>19558432</v>
      </c>
      <c r="AC1724">
        <v>0</v>
      </c>
      <c r="AD1724" s="8"/>
    </row>
    <row r="1725" spans="1:30" x14ac:dyDescent="0.3">
      <c r="A1725" t="s">
        <v>1627</v>
      </c>
      <c r="B1725">
        <v>1418388</v>
      </c>
      <c r="D1725" t="s">
        <v>7</v>
      </c>
      <c r="E1725">
        <v>946615</v>
      </c>
      <c r="F1725">
        <v>9015884123</v>
      </c>
      <c r="G1725">
        <v>440</v>
      </c>
      <c r="H1725" t="s">
        <v>271</v>
      </c>
      <c r="I1725">
        <v>0</v>
      </c>
      <c r="J1725" t="s">
        <v>272</v>
      </c>
      <c r="K1725" t="s">
        <v>8</v>
      </c>
      <c r="L1725" t="s">
        <v>18</v>
      </c>
      <c r="M1725" t="s">
        <v>9</v>
      </c>
      <c r="N1725" t="s">
        <v>14</v>
      </c>
      <c r="O1725" s="2">
        <v>-3.2</v>
      </c>
      <c r="P1725" s="3">
        <v>0</v>
      </c>
      <c r="Q1725" s="1">
        <v>46033</v>
      </c>
      <c r="R1725" s="1">
        <v>45992</v>
      </c>
      <c r="S1725" s="1">
        <v>46022</v>
      </c>
      <c r="V1725" s="8">
        <v>1</v>
      </c>
      <c r="W1725" t="s">
        <v>24</v>
      </c>
      <c r="X1725" t="s">
        <v>273</v>
      </c>
      <c r="Y1725" t="s">
        <v>17</v>
      </c>
      <c r="Z1725" t="s">
        <v>11</v>
      </c>
      <c r="AA1725">
        <v>62371</v>
      </c>
      <c r="AB1725">
        <v>19558432</v>
      </c>
      <c r="AC1725">
        <v>0</v>
      </c>
      <c r="AD1725" s="8"/>
    </row>
    <row r="1726" spans="1:30" x14ac:dyDescent="0.3">
      <c r="A1726" t="s">
        <v>1627</v>
      </c>
      <c r="B1726">
        <v>1441991</v>
      </c>
      <c r="D1726" t="s">
        <v>7</v>
      </c>
      <c r="E1726">
        <v>946856</v>
      </c>
      <c r="F1726">
        <v>9015884123</v>
      </c>
      <c r="G1726">
        <v>519</v>
      </c>
      <c r="H1726" t="s">
        <v>1594</v>
      </c>
      <c r="I1726">
        <v>0</v>
      </c>
      <c r="J1726" t="s">
        <v>1595</v>
      </c>
      <c r="K1726" t="s">
        <v>8</v>
      </c>
      <c r="L1726" t="s">
        <v>67</v>
      </c>
      <c r="M1726" t="s">
        <v>9</v>
      </c>
      <c r="N1726" t="s">
        <v>14</v>
      </c>
      <c r="O1726" s="2">
        <v>93734.26</v>
      </c>
      <c r="P1726" s="3">
        <v>867.94399999999996</v>
      </c>
      <c r="Q1726" s="1">
        <v>46033</v>
      </c>
      <c r="R1726" s="1">
        <v>45992</v>
      </c>
      <c r="S1726" s="1">
        <v>46022</v>
      </c>
      <c r="V1726" s="8">
        <v>1</v>
      </c>
      <c r="W1726" t="s">
        <v>24</v>
      </c>
      <c r="X1726" t="s">
        <v>1596</v>
      </c>
      <c r="Y1726" t="s">
        <v>17</v>
      </c>
      <c r="Z1726" t="s">
        <v>11</v>
      </c>
      <c r="AA1726">
        <v>62371</v>
      </c>
      <c r="AB1726">
        <v>17773978</v>
      </c>
      <c r="AC1726">
        <v>1</v>
      </c>
      <c r="AD1726" s="8"/>
    </row>
    <row r="1727" spans="1:30" x14ac:dyDescent="0.3">
      <c r="A1727" t="s">
        <v>1627</v>
      </c>
      <c r="B1727">
        <v>1359035</v>
      </c>
      <c r="D1727" t="s">
        <v>7</v>
      </c>
      <c r="E1727">
        <v>945900</v>
      </c>
      <c r="F1727">
        <v>9015884123</v>
      </c>
      <c r="G1727">
        <v>149</v>
      </c>
      <c r="H1727" t="s">
        <v>1524</v>
      </c>
      <c r="I1727">
        <v>0</v>
      </c>
      <c r="J1727" t="s">
        <v>1525</v>
      </c>
      <c r="K1727" t="s">
        <v>8</v>
      </c>
      <c r="L1727" t="s">
        <v>15</v>
      </c>
      <c r="M1727" t="s">
        <v>9</v>
      </c>
      <c r="N1727" t="s">
        <v>14</v>
      </c>
      <c r="O1727" s="2">
        <v>0</v>
      </c>
      <c r="P1727" s="3">
        <v>2646.826</v>
      </c>
      <c r="Q1727" s="1">
        <v>46033</v>
      </c>
      <c r="R1727" s="1">
        <v>45992</v>
      </c>
      <c r="S1727" s="1">
        <v>46022</v>
      </c>
      <c r="V1727" s="8">
        <v>1</v>
      </c>
      <c r="W1727" t="s">
        <v>24</v>
      </c>
      <c r="X1727" t="s">
        <v>1526</v>
      </c>
      <c r="Y1727" t="s">
        <v>17</v>
      </c>
      <c r="Z1727" t="s">
        <v>11</v>
      </c>
      <c r="AA1727">
        <v>62371</v>
      </c>
      <c r="AB1727">
        <v>18543814</v>
      </c>
      <c r="AC1727">
        <v>1</v>
      </c>
      <c r="AD1727" s="8"/>
    </row>
    <row r="1728" spans="1:30" x14ac:dyDescent="0.3">
      <c r="A1728" t="s">
        <v>1627</v>
      </c>
      <c r="B1728">
        <v>1303924</v>
      </c>
      <c r="D1728" t="s">
        <v>7</v>
      </c>
      <c r="E1728">
        <v>945165</v>
      </c>
      <c r="F1728">
        <v>9015884123</v>
      </c>
      <c r="G1728">
        <v>34</v>
      </c>
      <c r="H1728" t="s">
        <v>1195</v>
      </c>
      <c r="I1728">
        <v>0</v>
      </c>
      <c r="J1728" t="s">
        <v>1196</v>
      </c>
      <c r="K1728" t="s">
        <v>8</v>
      </c>
      <c r="L1728" t="s">
        <v>18</v>
      </c>
      <c r="M1728" t="s">
        <v>9</v>
      </c>
      <c r="N1728" t="s">
        <v>14</v>
      </c>
      <c r="O1728" s="2">
        <v>-1.1399999999999999</v>
      </c>
      <c r="P1728" s="3">
        <v>0</v>
      </c>
      <c r="Q1728" s="1">
        <v>46033</v>
      </c>
      <c r="R1728" s="1">
        <v>45992</v>
      </c>
      <c r="S1728" s="1">
        <v>46022</v>
      </c>
      <c r="V1728" s="8">
        <v>1</v>
      </c>
      <c r="W1728" t="s">
        <v>24</v>
      </c>
      <c r="X1728" t="s">
        <v>1197</v>
      </c>
      <c r="Y1728" t="s">
        <v>17</v>
      </c>
      <c r="Z1728" t="s">
        <v>11</v>
      </c>
      <c r="AA1728">
        <v>62371</v>
      </c>
      <c r="AB1728">
        <v>18686952</v>
      </c>
      <c r="AC1728">
        <v>1</v>
      </c>
      <c r="AD1728" s="8"/>
    </row>
    <row r="1729" spans="1:30" x14ac:dyDescent="0.3">
      <c r="A1729" t="s">
        <v>1627</v>
      </c>
      <c r="B1729">
        <v>1363124</v>
      </c>
      <c r="D1729" t="s">
        <v>7</v>
      </c>
      <c r="E1729">
        <v>945904</v>
      </c>
      <c r="F1729">
        <v>9015884123</v>
      </c>
      <c r="G1729">
        <v>153</v>
      </c>
      <c r="H1729" t="s">
        <v>769</v>
      </c>
      <c r="I1729">
        <v>0</v>
      </c>
      <c r="J1729" t="s">
        <v>770</v>
      </c>
      <c r="K1729" t="s">
        <v>8</v>
      </c>
      <c r="L1729" t="s">
        <v>18</v>
      </c>
      <c r="M1729" t="s">
        <v>9</v>
      </c>
      <c r="N1729" t="s">
        <v>14</v>
      </c>
      <c r="O1729" s="2">
        <v>-1.26</v>
      </c>
      <c r="P1729" s="3">
        <v>0</v>
      </c>
      <c r="Q1729" s="1">
        <v>46033</v>
      </c>
      <c r="R1729" s="1">
        <v>45992</v>
      </c>
      <c r="S1729" s="1">
        <v>46022</v>
      </c>
      <c r="V1729" s="8">
        <v>1</v>
      </c>
      <c r="W1729" t="s">
        <v>24</v>
      </c>
      <c r="X1729" t="s">
        <v>771</v>
      </c>
      <c r="Y1729" t="s">
        <v>17</v>
      </c>
      <c r="Z1729" t="s">
        <v>11</v>
      </c>
      <c r="AA1729">
        <v>62371</v>
      </c>
      <c r="AB1729">
        <v>19861748</v>
      </c>
      <c r="AC1729">
        <v>1</v>
      </c>
      <c r="AD1729" s="8"/>
    </row>
    <row r="1730" spans="1:30" x14ac:dyDescent="0.3">
      <c r="A1730" t="s">
        <v>1627</v>
      </c>
      <c r="B1730">
        <v>1363531</v>
      </c>
      <c r="D1730" t="s">
        <v>7</v>
      </c>
      <c r="E1730">
        <v>945918</v>
      </c>
      <c r="F1730">
        <v>9015884123</v>
      </c>
      <c r="G1730">
        <v>169</v>
      </c>
      <c r="H1730" t="s">
        <v>1597</v>
      </c>
      <c r="I1730">
        <v>0</v>
      </c>
      <c r="J1730" t="s">
        <v>1598</v>
      </c>
      <c r="K1730" t="s">
        <v>8</v>
      </c>
      <c r="L1730" t="s">
        <v>67</v>
      </c>
      <c r="M1730" t="s">
        <v>9</v>
      </c>
      <c r="N1730" t="s">
        <v>14</v>
      </c>
      <c r="O1730" s="2">
        <v>2698933.59</v>
      </c>
      <c r="P1730" s="3">
        <v>18948.999</v>
      </c>
      <c r="Q1730" s="1">
        <v>46033</v>
      </c>
      <c r="R1730" s="1">
        <v>45992</v>
      </c>
      <c r="S1730" s="1">
        <v>46022</v>
      </c>
      <c r="V1730" s="8">
        <v>1</v>
      </c>
      <c r="W1730" t="s">
        <v>24</v>
      </c>
      <c r="X1730" t="s">
        <v>1599</v>
      </c>
      <c r="Y1730" t="s">
        <v>10</v>
      </c>
      <c r="Z1730" t="s">
        <v>11</v>
      </c>
      <c r="AA1730">
        <v>62371</v>
      </c>
      <c r="AB1730">
        <v>17053454</v>
      </c>
      <c r="AC1730">
        <v>0</v>
      </c>
      <c r="AD1730" s="8"/>
    </row>
    <row r="1731" spans="1:30" x14ac:dyDescent="0.3">
      <c r="A1731" t="s">
        <v>1627</v>
      </c>
      <c r="B1731">
        <v>1363536</v>
      </c>
      <c r="D1731" t="s">
        <v>7</v>
      </c>
      <c r="E1731">
        <v>945920</v>
      </c>
      <c r="F1731">
        <v>9015884123</v>
      </c>
      <c r="G1731">
        <v>171</v>
      </c>
      <c r="H1731" t="s">
        <v>1600</v>
      </c>
      <c r="I1731">
        <v>0</v>
      </c>
      <c r="J1731" t="s">
        <v>1601</v>
      </c>
      <c r="K1731" t="s">
        <v>8</v>
      </c>
      <c r="L1731" t="s">
        <v>19</v>
      </c>
      <c r="M1731" t="s">
        <v>9</v>
      </c>
      <c r="N1731" t="s">
        <v>14</v>
      </c>
      <c r="O1731" s="2">
        <v>163965.62</v>
      </c>
      <c r="P1731" s="3">
        <v>1004.962</v>
      </c>
      <c r="Q1731" s="1">
        <v>46033</v>
      </c>
      <c r="R1731" s="1">
        <v>45992</v>
      </c>
      <c r="S1731" s="1">
        <v>46022</v>
      </c>
      <c r="V1731" s="8">
        <v>1</v>
      </c>
      <c r="W1731" t="s">
        <v>24</v>
      </c>
      <c r="X1731" t="s">
        <v>1602</v>
      </c>
      <c r="Y1731" t="s">
        <v>10</v>
      </c>
      <c r="Z1731" t="s">
        <v>11</v>
      </c>
      <c r="AA1731">
        <v>62371</v>
      </c>
      <c r="AB1731">
        <v>18160219</v>
      </c>
      <c r="AC1731">
        <v>1</v>
      </c>
      <c r="AD1731" s="8"/>
    </row>
    <row r="1732" spans="1:30" x14ac:dyDescent="0.3">
      <c r="A1732" t="s">
        <v>1627</v>
      </c>
      <c r="B1732">
        <v>1398092</v>
      </c>
      <c r="D1732" t="s">
        <v>7</v>
      </c>
      <c r="E1732">
        <v>946071</v>
      </c>
      <c r="F1732">
        <v>9015884123</v>
      </c>
      <c r="G1732">
        <v>244</v>
      </c>
      <c r="H1732" t="s">
        <v>1536</v>
      </c>
      <c r="I1732">
        <v>0</v>
      </c>
      <c r="J1732" t="s">
        <v>1537</v>
      </c>
      <c r="K1732" t="s">
        <v>8</v>
      </c>
      <c r="L1732" t="s">
        <v>19</v>
      </c>
      <c r="M1732" t="s">
        <v>9</v>
      </c>
      <c r="N1732" t="s">
        <v>14</v>
      </c>
      <c r="O1732" s="2">
        <v>3991.44</v>
      </c>
      <c r="P1732" s="3">
        <v>31.36</v>
      </c>
      <c r="Q1732" s="1">
        <v>46033</v>
      </c>
      <c r="R1732" s="1">
        <v>45992</v>
      </c>
      <c r="S1732" s="1">
        <v>46022</v>
      </c>
      <c r="V1732" s="8">
        <v>2</v>
      </c>
      <c r="W1732" t="s">
        <v>24</v>
      </c>
      <c r="X1732" t="s">
        <v>1538</v>
      </c>
      <c r="Y1732" t="s">
        <v>37</v>
      </c>
      <c r="Z1732" t="s">
        <v>11</v>
      </c>
      <c r="AA1732">
        <v>62371</v>
      </c>
      <c r="AB1732">
        <v>17921534</v>
      </c>
      <c r="AC1732">
        <v>1</v>
      </c>
      <c r="AD1732" s="8"/>
    </row>
    <row r="1733" spans="1:30" x14ac:dyDescent="0.3">
      <c r="A1733" t="s">
        <v>1627</v>
      </c>
      <c r="B1733">
        <v>1408949</v>
      </c>
      <c r="D1733" t="s">
        <v>7</v>
      </c>
      <c r="E1733">
        <v>946361</v>
      </c>
      <c r="F1733">
        <v>9015884123</v>
      </c>
      <c r="G1733">
        <v>353</v>
      </c>
      <c r="H1733" t="s">
        <v>307</v>
      </c>
      <c r="I1733">
        <v>0</v>
      </c>
      <c r="J1733" t="s">
        <v>308</v>
      </c>
      <c r="K1733" t="s">
        <v>8</v>
      </c>
      <c r="L1733" t="s">
        <v>15</v>
      </c>
      <c r="M1733" t="s">
        <v>9</v>
      </c>
      <c r="N1733" t="s">
        <v>14</v>
      </c>
      <c r="O1733" s="2">
        <v>0</v>
      </c>
      <c r="P1733" s="3">
        <v>52.374000000000002</v>
      </c>
      <c r="Q1733" s="1">
        <v>46033</v>
      </c>
      <c r="R1733" s="1">
        <v>45992</v>
      </c>
      <c r="S1733" s="1">
        <v>46022</v>
      </c>
      <c r="V1733" s="8">
        <v>1</v>
      </c>
      <c r="W1733" t="s">
        <v>24</v>
      </c>
      <c r="X1733" t="s">
        <v>309</v>
      </c>
      <c r="Y1733" t="s">
        <v>310</v>
      </c>
      <c r="Z1733" t="s">
        <v>11</v>
      </c>
      <c r="AA1733">
        <v>62371</v>
      </c>
      <c r="AB1733">
        <v>17797455</v>
      </c>
      <c r="AC1733">
        <v>0</v>
      </c>
      <c r="AD1733" s="8"/>
    </row>
    <row r="1734" spans="1:30" x14ac:dyDescent="0.3">
      <c r="A1734" t="s">
        <v>1627</v>
      </c>
      <c r="B1734">
        <v>1415120</v>
      </c>
      <c r="D1734" t="s">
        <v>7</v>
      </c>
      <c r="E1734">
        <v>946499</v>
      </c>
      <c r="F1734">
        <v>9015884123</v>
      </c>
      <c r="G1734">
        <v>404</v>
      </c>
      <c r="H1734" t="s">
        <v>311</v>
      </c>
      <c r="I1734">
        <v>0</v>
      </c>
      <c r="J1734" t="s">
        <v>312</v>
      </c>
      <c r="K1734" t="s">
        <v>8</v>
      </c>
      <c r="L1734" t="s">
        <v>18</v>
      </c>
      <c r="M1734" t="s">
        <v>9</v>
      </c>
      <c r="N1734" t="s">
        <v>14</v>
      </c>
      <c r="O1734" s="2">
        <v>3.41</v>
      </c>
      <c r="P1734" s="3">
        <v>0</v>
      </c>
      <c r="Q1734" s="1">
        <v>46033</v>
      </c>
      <c r="R1734" s="1">
        <v>45992</v>
      </c>
      <c r="S1734" s="1">
        <v>46022</v>
      </c>
      <c r="V1734" s="8">
        <v>1</v>
      </c>
      <c r="W1734" t="s">
        <v>24</v>
      </c>
      <c r="X1734" t="s">
        <v>313</v>
      </c>
      <c r="Y1734" t="s">
        <v>39</v>
      </c>
      <c r="Z1734" t="s">
        <v>11</v>
      </c>
      <c r="AA1734">
        <v>62371</v>
      </c>
      <c r="AB1734">
        <v>17910517</v>
      </c>
      <c r="AC1734">
        <v>0</v>
      </c>
      <c r="AD1734" s="8"/>
    </row>
    <row r="1735" spans="1:30" x14ac:dyDescent="0.3">
      <c r="A1735" t="s">
        <v>1627</v>
      </c>
      <c r="B1735">
        <v>1364859</v>
      </c>
      <c r="D1735" t="s">
        <v>7</v>
      </c>
      <c r="E1735">
        <v>945933</v>
      </c>
      <c r="F1735">
        <v>9015884123</v>
      </c>
      <c r="G1735">
        <v>184</v>
      </c>
      <c r="H1735" t="s">
        <v>317</v>
      </c>
      <c r="I1735">
        <v>0</v>
      </c>
      <c r="J1735" t="s">
        <v>318</v>
      </c>
      <c r="K1735" t="s">
        <v>8</v>
      </c>
      <c r="L1735" t="s">
        <v>19</v>
      </c>
      <c r="M1735" t="s">
        <v>9</v>
      </c>
      <c r="N1735" t="s">
        <v>14</v>
      </c>
      <c r="O1735" s="2">
        <v>50491.08</v>
      </c>
      <c r="P1735" s="3">
        <v>309.46499999999997</v>
      </c>
      <c r="Q1735" s="1">
        <v>46033</v>
      </c>
      <c r="R1735" s="1">
        <v>45992</v>
      </c>
      <c r="S1735" s="1">
        <v>46022</v>
      </c>
      <c r="V1735" s="8">
        <v>1</v>
      </c>
      <c r="W1735" t="s">
        <v>24</v>
      </c>
      <c r="X1735" t="s">
        <v>319</v>
      </c>
      <c r="Y1735" t="s">
        <v>10</v>
      </c>
      <c r="Z1735" t="s">
        <v>11</v>
      </c>
      <c r="AA1735">
        <v>62371</v>
      </c>
      <c r="AB1735">
        <v>19649447</v>
      </c>
      <c r="AC1735">
        <v>1</v>
      </c>
      <c r="AD1735" s="8"/>
    </row>
    <row r="1736" spans="1:30" x14ac:dyDescent="0.3">
      <c r="A1736" t="s">
        <v>1627</v>
      </c>
      <c r="B1736">
        <v>1376596</v>
      </c>
      <c r="D1736" t="s">
        <v>7</v>
      </c>
      <c r="E1736">
        <v>945941</v>
      </c>
      <c r="F1736">
        <v>9015884123</v>
      </c>
      <c r="G1736">
        <v>188</v>
      </c>
      <c r="H1736" t="s">
        <v>1548</v>
      </c>
      <c r="I1736">
        <v>0</v>
      </c>
      <c r="J1736" t="s">
        <v>1549</v>
      </c>
      <c r="K1736" t="s">
        <v>8</v>
      </c>
      <c r="L1736" t="s">
        <v>15</v>
      </c>
      <c r="M1736" t="s">
        <v>9</v>
      </c>
      <c r="N1736" t="s">
        <v>14</v>
      </c>
      <c r="O1736" s="2">
        <v>0</v>
      </c>
      <c r="P1736" s="3">
        <v>7119.4920000000002</v>
      </c>
      <c r="Q1736" s="1">
        <v>46033</v>
      </c>
      <c r="R1736" s="1">
        <v>45992</v>
      </c>
      <c r="S1736" s="1">
        <v>46022</v>
      </c>
      <c r="V1736" s="8">
        <v>1</v>
      </c>
      <c r="W1736" t="s">
        <v>24</v>
      </c>
      <c r="X1736" t="s">
        <v>1550</v>
      </c>
      <c r="Y1736" t="s">
        <v>10</v>
      </c>
      <c r="Z1736" t="s">
        <v>11</v>
      </c>
      <c r="AA1736">
        <v>62371</v>
      </c>
      <c r="AB1736">
        <v>17030471</v>
      </c>
      <c r="AC1736">
        <v>0</v>
      </c>
      <c r="AD1736" s="8"/>
    </row>
    <row r="1737" spans="1:30" x14ac:dyDescent="0.3">
      <c r="A1737" t="s">
        <v>1627</v>
      </c>
      <c r="B1737">
        <v>1375853</v>
      </c>
      <c r="D1737" t="s">
        <v>7</v>
      </c>
      <c r="E1737">
        <v>945946</v>
      </c>
      <c r="F1737">
        <v>9015884123</v>
      </c>
      <c r="G1737">
        <v>191</v>
      </c>
      <c r="H1737" t="s">
        <v>320</v>
      </c>
      <c r="I1737">
        <v>0</v>
      </c>
      <c r="J1737" t="s">
        <v>321</v>
      </c>
      <c r="K1737" t="s">
        <v>8</v>
      </c>
      <c r="L1737" t="s">
        <v>15</v>
      </c>
      <c r="M1737" t="s">
        <v>9</v>
      </c>
      <c r="N1737" t="s">
        <v>14</v>
      </c>
      <c r="O1737" s="2">
        <v>0</v>
      </c>
      <c r="P1737" s="3">
        <v>2491.6770000000001</v>
      </c>
      <c r="Q1737" s="1">
        <v>46033</v>
      </c>
      <c r="R1737" s="1">
        <v>45992</v>
      </c>
      <c r="S1737" s="1">
        <v>46022</v>
      </c>
      <c r="V1737" s="8">
        <v>1</v>
      </c>
      <c r="W1737" t="s">
        <v>24</v>
      </c>
      <c r="X1737" t="s">
        <v>322</v>
      </c>
      <c r="Y1737" t="s">
        <v>10</v>
      </c>
      <c r="Z1737" t="s">
        <v>11</v>
      </c>
      <c r="AA1737">
        <v>62371</v>
      </c>
      <c r="AB1737">
        <v>19278487</v>
      </c>
      <c r="AC1737">
        <v>0</v>
      </c>
      <c r="AD1737" s="8"/>
    </row>
    <row r="1738" spans="1:30" x14ac:dyDescent="0.3">
      <c r="A1738" t="s">
        <v>1627</v>
      </c>
      <c r="B1738">
        <v>1377666</v>
      </c>
      <c r="D1738" t="s">
        <v>7</v>
      </c>
      <c r="E1738">
        <v>945950</v>
      </c>
      <c r="F1738">
        <v>9015884123</v>
      </c>
      <c r="G1738">
        <v>193</v>
      </c>
      <c r="H1738" t="s">
        <v>871</v>
      </c>
      <c r="I1738">
        <v>0</v>
      </c>
      <c r="J1738" t="s">
        <v>872</v>
      </c>
      <c r="K1738" t="s">
        <v>8</v>
      </c>
      <c r="L1738" t="s">
        <v>15</v>
      </c>
      <c r="M1738" t="s">
        <v>9</v>
      </c>
      <c r="N1738" t="s">
        <v>14</v>
      </c>
      <c r="O1738" s="2">
        <v>0</v>
      </c>
      <c r="P1738" s="3">
        <v>7541.2039999999997</v>
      </c>
      <c r="Q1738" s="1">
        <v>46033</v>
      </c>
      <c r="R1738" s="1">
        <v>45992</v>
      </c>
      <c r="S1738" s="1">
        <v>46022</v>
      </c>
      <c r="V1738" s="8">
        <v>1</v>
      </c>
      <c r="W1738" t="s">
        <v>24</v>
      </c>
      <c r="X1738" t="s">
        <v>873</v>
      </c>
      <c r="Y1738" t="s">
        <v>10</v>
      </c>
      <c r="Z1738" t="s">
        <v>11</v>
      </c>
      <c r="AA1738">
        <v>62371</v>
      </c>
      <c r="AB1738">
        <v>19371215</v>
      </c>
      <c r="AC1738">
        <v>0</v>
      </c>
      <c r="AD1738" s="8"/>
    </row>
    <row r="1739" spans="1:30" x14ac:dyDescent="0.3">
      <c r="A1739" t="s">
        <v>1627</v>
      </c>
      <c r="B1739">
        <v>1377790</v>
      </c>
      <c r="D1739" t="s">
        <v>7</v>
      </c>
      <c r="E1739">
        <v>945957</v>
      </c>
      <c r="F1739">
        <v>9015884123</v>
      </c>
      <c r="G1739">
        <v>196</v>
      </c>
      <c r="H1739" t="s">
        <v>1202</v>
      </c>
      <c r="I1739">
        <v>0</v>
      </c>
      <c r="J1739" t="s">
        <v>1203</v>
      </c>
      <c r="K1739" t="s">
        <v>8</v>
      </c>
      <c r="L1739" t="s">
        <v>15</v>
      </c>
      <c r="M1739" t="s">
        <v>9</v>
      </c>
      <c r="N1739" t="s">
        <v>14</v>
      </c>
      <c r="O1739" s="2">
        <v>0</v>
      </c>
      <c r="P1739" s="3">
        <v>3121.6149999999998</v>
      </c>
      <c r="Q1739" s="1">
        <v>46033</v>
      </c>
      <c r="R1739" s="1">
        <v>45992</v>
      </c>
      <c r="S1739" s="1">
        <v>46022</v>
      </c>
      <c r="V1739" s="8">
        <v>1</v>
      </c>
      <c r="W1739" t="s">
        <v>24</v>
      </c>
      <c r="X1739" t="s">
        <v>1204</v>
      </c>
      <c r="Y1739" t="s">
        <v>10</v>
      </c>
      <c r="Z1739" t="s">
        <v>11</v>
      </c>
      <c r="AA1739">
        <v>62371</v>
      </c>
      <c r="AB1739">
        <v>17161448</v>
      </c>
      <c r="AC1739">
        <v>0</v>
      </c>
      <c r="AD1739" s="8"/>
    </row>
    <row r="1740" spans="1:30" x14ac:dyDescent="0.3">
      <c r="A1740" t="s">
        <v>1627</v>
      </c>
      <c r="B1740">
        <v>1377801</v>
      </c>
      <c r="D1740" t="s">
        <v>7</v>
      </c>
      <c r="E1740">
        <v>945965</v>
      </c>
      <c r="F1740">
        <v>9015884123</v>
      </c>
      <c r="G1740">
        <v>200</v>
      </c>
      <c r="H1740" t="s">
        <v>330</v>
      </c>
      <c r="I1740">
        <v>0</v>
      </c>
      <c r="J1740" t="s">
        <v>331</v>
      </c>
      <c r="K1740" t="s">
        <v>8</v>
      </c>
      <c r="L1740" t="s">
        <v>19</v>
      </c>
      <c r="M1740" t="s">
        <v>9</v>
      </c>
      <c r="N1740" t="s">
        <v>14</v>
      </c>
      <c r="O1740" s="2">
        <v>21784.92</v>
      </c>
      <c r="P1740" s="3">
        <v>133.52199999999999</v>
      </c>
      <c r="Q1740" s="1">
        <v>46033</v>
      </c>
      <c r="R1740" s="1">
        <v>45992</v>
      </c>
      <c r="S1740" s="1">
        <v>46022</v>
      </c>
      <c r="V1740" s="8">
        <v>1</v>
      </c>
      <c r="W1740" t="s">
        <v>24</v>
      </c>
      <c r="X1740" t="s">
        <v>332</v>
      </c>
      <c r="Y1740" t="s">
        <v>10</v>
      </c>
      <c r="Z1740" t="s">
        <v>11</v>
      </c>
      <c r="AA1740">
        <v>62371</v>
      </c>
      <c r="AB1740">
        <v>17058663</v>
      </c>
      <c r="AC1740">
        <v>1</v>
      </c>
      <c r="AD1740" s="8"/>
    </row>
    <row r="1741" spans="1:30" x14ac:dyDescent="0.3">
      <c r="A1741" t="s">
        <v>1627</v>
      </c>
      <c r="B1741">
        <v>1380542</v>
      </c>
      <c r="D1741" t="s">
        <v>7</v>
      </c>
      <c r="E1741">
        <v>945982</v>
      </c>
      <c r="F1741">
        <v>9015884123</v>
      </c>
      <c r="G1741">
        <v>210</v>
      </c>
      <c r="H1741" t="s">
        <v>208</v>
      </c>
      <c r="I1741">
        <v>0</v>
      </c>
      <c r="J1741" t="s">
        <v>209</v>
      </c>
      <c r="K1741" t="s">
        <v>8</v>
      </c>
      <c r="L1741" t="s">
        <v>15</v>
      </c>
      <c r="M1741" t="s">
        <v>9</v>
      </c>
      <c r="N1741" t="s">
        <v>14</v>
      </c>
      <c r="O1741" s="2">
        <v>0</v>
      </c>
      <c r="P1741" s="3">
        <v>2802.0520000000001</v>
      </c>
      <c r="Q1741" s="1">
        <v>46033</v>
      </c>
      <c r="R1741" s="1">
        <v>45992</v>
      </c>
      <c r="S1741" s="1">
        <v>46022</v>
      </c>
      <c r="V1741" s="8">
        <v>1</v>
      </c>
      <c r="W1741" t="s">
        <v>24</v>
      </c>
      <c r="X1741" t="s">
        <v>210</v>
      </c>
      <c r="Y1741" t="s">
        <v>17</v>
      </c>
      <c r="Z1741" t="s">
        <v>11</v>
      </c>
      <c r="AA1741">
        <v>62371</v>
      </c>
      <c r="AB1741">
        <v>18186253</v>
      </c>
      <c r="AC1741">
        <v>0</v>
      </c>
      <c r="AD1741" s="8"/>
    </row>
    <row r="1742" spans="1:30" x14ac:dyDescent="0.3">
      <c r="A1742" t="s">
        <v>1627</v>
      </c>
      <c r="B1742">
        <v>1413684</v>
      </c>
      <c r="D1742" t="s">
        <v>7</v>
      </c>
      <c r="E1742">
        <v>946576</v>
      </c>
      <c r="F1742">
        <v>9015884123</v>
      </c>
      <c r="G1742">
        <v>428</v>
      </c>
      <c r="H1742" t="s">
        <v>1409</v>
      </c>
      <c r="I1742">
        <v>0</v>
      </c>
      <c r="J1742" t="s">
        <v>1410</v>
      </c>
      <c r="K1742" t="s">
        <v>8</v>
      </c>
      <c r="L1742" t="s">
        <v>19</v>
      </c>
      <c r="M1742" t="s">
        <v>9</v>
      </c>
      <c r="N1742" t="s">
        <v>14</v>
      </c>
      <c r="O1742" s="2">
        <v>11066.13</v>
      </c>
      <c r="P1742" s="3">
        <v>56.005000000000003</v>
      </c>
      <c r="Q1742" s="1">
        <v>46033</v>
      </c>
      <c r="R1742" s="1">
        <v>45992</v>
      </c>
      <c r="S1742" s="1">
        <v>46022</v>
      </c>
      <c r="V1742" s="8">
        <v>1</v>
      </c>
      <c r="W1742" t="s">
        <v>24</v>
      </c>
      <c r="X1742" t="s">
        <v>1411</v>
      </c>
      <c r="Y1742" t="s">
        <v>56</v>
      </c>
      <c r="Z1742" t="s">
        <v>11</v>
      </c>
      <c r="AA1742">
        <v>62371</v>
      </c>
      <c r="AB1742">
        <v>21385425</v>
      </c>
      <c r="AC1742">
        <v>0</v>
      </c>
      <c r="AD1742" s="8"/>
    </row>
    <row r="1743" spans="1:30" x14ac:dyDescent="0.3">
      <c r="A1743" t="s">
        <v>1627</v>
      </c>
      <c r="B1743">
        <v>1384733</v>
      </c>
      <c r="D1743" t="s">
        <v>7</v>
      </c>
      <c r="E1743">
        <v>946045</v>
      </c>
      <c r="F1743">
        <v>9015884123</v>
      </c>
      <c r="G1743">
        <v>235</v>
      </c>
      <c r="H1743" t="s">
        <v>778</v>
      </c>
      <c r="I1743">
        <v>0</v>
      </c>
      <c r="J1743" t="s">
        <v>779</v>
      </c>
      <c r="K1743" t="s">
        <v>8</v>
      </c>
      <c r="L1743" t="s">
        <v>18</v>
      </c>
      <c r="M1743" t="s">
        <v>9</v>
      </c>
      <c r="N1743" t="s">
        <v>14</v>
      </c>
      <c r="O1743" s="2">
        <v>-3.11</v>
      </c>
      <c r="P1743" s="3">
        <v>0</v>
      </c>
      <c r="Q1743" s="1">
        <v>46033</v>
      </c>
      <c r="R1743" s="1">
        <v>45992</v>
      </c>
      <c r="S1743" s="1">
        <v>46022</v>
      </c>
      <c r="V1743" s="8">
        <v>1</v>
      </c>
      <c r="W1743" t="s">
        <v>24</v>
      </c>
      <c r="X1743" t="s">
        <v>780</v>
      </c>
      <c r="Y1743" t="s">
        <v>17</v>
      </c>
      <c r="Z1743" t="s">
        <v>11</v>
      </c>
      <c r="AA1743">
        <v>62371</v>
      </c>
      <c r="AB1743">
        <v>19749570</v>
      </c>
      <c r="AC1743">
        <v>0</v>
      </c>
      <c r="AD1743" s="8"/>
    </row>
    <row r="1744" spans="1:30" x14ac:dyDescent="0.3">
      <c r="A1744" t="s">
        <v>1627</v>
      </c>
      <c r="B1744">
        <v>1403673</v>
      </c>
      <c r="D1744" t="s">
        <v>7</v>
      </c>
      <c r="E1744">
        <v>946179</v>
      </c>
      <c r="F1744">
        <v>9015884123</v>
      </c>
      <c r="G1744">
        <v>277</v>
      </c>
      <c r="H1744" t="s">
        <v>1621</v>
      </c>
      <c r="I1744">
        <v>0</v>
      </c>
      <c r="J1744" t="s">
        <v>1622</v>
      </c>
      <c r="K1744" t="s">
        <v>8</v>
      </c>
      <c r="L1744" t="s">
        <v>18</v>
      </c>
      <c r="M1744" t="s">
        <v>9</v>
      </c>
      <c r="N1744" t="s">
        <v>14</v>
      </c>
      <c r="O1744" s="2">
        <v>-0.45</v>
      </c>
      <c r="P1744" s="3">
        <v>0</v>
      </c>
      <c r="Q1744" s="1">
        <v>46033</v>
      </c>
      <c r="R1744" s="1">
        <v>45992</v>
      </c>
      <c r="S1744" s="1">
        <v>46022</v>
      </c>
      <c r="V1744" s="8">
        <v>1</v>
      </c>
      <c r="W1744" t="s">
        <v>24</v>
      </c>
      <c r="X1744" t="s">
        <v>1623</v>
      </c>
      <c r="Y1744" t="s">
        <v>57</v>
      </c>
      <c r="Z1744" t="s">
        <v>11</v>
      </c>
      <c r="AA1744">
        <v>62371</v>
      </c>
      <c r="AB1744">
        <v>21391471</v>
      </c>
      <c r="AC1744">
        <v>0</v>
      </c>
      <c r="AD1744" s="8"/>
    </row>
    <row r="1745" spans="1:30" x14ac:dyDescent="0.3">
      <c r="A1745" t="s">
        <v>1627</v>
      </c>
      <c r="B1745">
        <v>1383085</v>
      </c>
      <c r="D1745" t="s">
        <v>7</v>
      </c>
      <c r="E1745">
        <v>946006</v>
      </c>
      <c r="F1745">
        <v>9015884123</v>
      </c>
      <c r="G1745">
        <v>220</v>
      </c>
      <c r="H1745" t="s">
        <v>880</v>
      </c>
      <c r="I1745">
        <v>0</v>
      </c>
      <c r="J1745" t="s">
        <v>881</v>
      </c>
      <c r="K1745" t="s">
        <v>8</v>
      </c>
      <c r="L1745" t="s">
        <v>67</v>
      </c>
      <c r="M1745" t="s">
        <v>9</v>
      </c>
      <c r="N1745" t="s">
        <v>14</v>
      </c>
      <c r="O1745" s="2">
        <v>227408.21</v>
      </c>
      <c r="P1745" s="3">
        <v>1596.615</v>
      </c>
      <c r="Q1745" s="1">
        <v>46033</v>
      </c>
      <c r="R1745" s="1">
        <v>45992</v>
      </c>
      <c r="S1745" s="1">
        <v>46022</v>
      </c>
      <c r="V1745" s="8">
        <v>1</v>
      </c>
      <c r="W1745" t="s">
        <v>24</v>
      </c>
      <c r="X1745" t="s">
        <v>882</v>
      </c>
      <c r="Y1745" t="s">
        <v>10</v>
      </c>
      <c r="Z1745" t="s">
        <v>11</v>
      </c>
      <c r="AA1745">
        <v>62371</v>
      </c>
      <c r="AB1745">
        <v>18640898</v>
      </c>
      <c r="AC1745">
        <v>0</v>
      </c>
      <c r="AD1745" s="8"/>
    </row>
    <row r="1746" spans="1:30" x14ac:dyDescent="0.3">
      <c r="A1746" t="s">
        <v>1627</v>
      </c>
      <c r="B1746">
        <v>1383080</v>
      </c>
      <c r="D1746" t="s">
        <v>7</v>
      </c>
      <c r="E1746">
        <v>946001</v>
      </c>
      <c r="F1746">
        <v>9015884123</v>
      </c>
      <c r="G1746">
        <v>218</v>
      </c>
      <c r="H1746" t="s">
        <v>363</v>
      </c>
      <c r="I1746">
        <v>0</v>
      </c>
      <c r="J1746" t="s">
        <v>364</v>
      </c>
      <c r="K1746" t="s">
        <v>8</v>
      </c>
      <c r="L1746" t="s">
        <v>19</v>
      </c>
      <c r="M1746" t="s">
        <v>9</v>
      </c>
      <c r="N1746" t="s">
        <v>14</v>
      </c>
      <c r="O1746" s="2">
        <v>59796.85</v>
      </c>
      <c r="P1746" s="3">
        <v>366.50099999999998</v>
      </c>
      <c r="Q1746" s="1">
        <v>46033</v>
      </c>
      <c r="R1746" s="1">
        <v>45992</v>
      </c>
      <c r="S1746" s="1">
        <v>46022</v>
      </c>
      <c r="V1746" s="8">
        <v>1</v>
      </c>
      <c r="W1746" t="s">
        <v>24</v>
      </c>
      <c r="X1746" t="s">
        <v>365</v>
      </c>
      <c r="Y1746" t="s">
        <v>10</v>
      </c>
      <c r="Z1746" t="s">
        <v>11</v>
      </c>
      <c r="AA1746">
        <v>62371</v>
      </c>
      <c r="AB1746">
        <v>19605571</v>
      </c>
      <c r="AC1746">
        <v>1</v>
      </c>
      <c r="AD1746" s="8"/>
    </row>
    <row r="1747" spans="1:30" x14ac:dyDescent="0.3">
      <c r="A1747" t="s">
        <v>1627</v>
      </c>
      <c r="B1747">
        <v>1384580</v>
      </c>
      <c r="D1747" t="s">
        <v>7</v>
      </c>
      <c r="E1747">
        <v>946041</v>
      </c>
      <c r="F1747">
        <v>9015884123</v>
      </c>
      <c r="G1747">
        <v>234</v>
      </c>
      <c r="H1747" t="s">
        <v>366</v>
      </c>
      <c r="I1747">
        <v>0</v>
      </c>
      <c r="J1747" t="s">
        <v>367</v>
      </c>
      <c r="K1747" t="s">
        <v>8</v>
      </c>
      <c r="L1747" t="s">
        <v>15</v>
      </c>
      <c r="M1747" t="s">
        <v>9</v>
      </c>
      <c r="N1747" t="s">
        <v>14</v>
      </c>
      <c r="O1747" s="2">
        <v>0</v>
      </c>
      <c r="P1747" s="3">
        <v>3395.8040000000001</v>
      </c>
      <c r="Q1747" s="1">
        <v>46033</v>
      </c>
      <c r="R1747" s="1">
        <v>45992</v>
      </c>
      <c r="S1747" s="1">
        <v>46022</v>
      </c>
      <c r="V1747" s="8">
        <v>1</v>
      </c>
      <c r="W1747" t="s">
        <v>24</v>
      </c>
      <c r="X1747" t="s">
        <v>368</v>
      </c>
      <c r="Y1747" t="s">
        <v>10</v>
      </c>
      <c r="Z1747" t="s">
        <v>11</v>
      </c>
      <c r="AA1747">
        <v>62371</v>
      </c>
      <c r="AB1747">
        <v>19392123</v>
      </c>
      <c r="AC1747">
        <v>0</v>
      </c>
      <c r="AD1747" s="8"/>
    </row>
    <row r="1748" spans="1:30" x14ac:dyDescent="0.3">
      <c r="A1748" t="s">
        <v>1627</v>
      </c>
      <c r="B1748">
        <v>1356208</v>
      </c>
      <c r="D1748" t="s">
        <v>7</v>
      </c>
      <c r="E1748">
        <v>945407</v>
      </c>
      <c r="F1748">
        <v>9015884123</v>
      </c>
      <c r="G1748">
        <v>114</v>
      </c>
      <c r="H1748" t="s">
        <v>1527</v>
      </c>
      <c r="I1748">
        <v>0</v>
      </c>
      <c r="J1748" t="s">
        <v>1528</v>
      </c>
      <c r="K1748" t="s">
        <v>8</v>
      </c>
      <c r="L1748" t="s">
        <v>18</v>
      </c>
      <c r="M1748" t="s">
        <v>9</v>
      </c>
      <c r="N1748" t="s">
        <v>14</v>
      </c>
      <c r="O1748" s="2">
        <v>-0.54</v>
      </c>
      <c r="P1748" s="3">
        <v>0</v>
      </c>
      <c r="Q1748" s="1">
        <v>46033</v>
      </c>
      <c r="R1748" s="1">
        <v>45992</v>
      </c>
      <c r="S1748" s="1">
        <v>46022</v>
      </c>
      <c r="V1748" s="8">
        <v>1</v>
      </c>
      <c r="W1748" t="s">
        <v>24</v>
      </c>
      <c r="X1748" t="s">
        <v>1529</v>
      </c>
      <c r="Y1748" t="s">
        <v>10</v>
      </c>
      <c r="Z1748" t="s">
        <v>11</v>
      </c>
      <c r="AA1748">
        <v>62371</v>
      </c>
      <c r="AB1748">
        <v>19380039</v>
      </c>
      <c r="AC1748">
        <v>1</v>
      </c>
      <c r="AD1748" s="8"/>
    </row>
    <row r="1749" spans="1:30" x14ac:dyDescent="0.3">
      <c r="A1749" t="s">
        <v>1627</v>
      </c>
      <c r="B1749">
        <v>1359846</v>
      </c>
      <c r="D1749" t="s">
        <v>7</v>
      </c>
      <c r="E1749">
        <v>945903</v>
      </c>
      <c r="F1749">
        <v>9015884123</v>
      </c>
      <c r="G1749">
        <v>152</v>
      </c>
      <c r="H1749" t="s">
        <v>229</v>
      </c>
      <c r="I1749">
        <v>0</v>
      </c>
      <c r="J1749" t="s">
        <v>230</v>
      </c>
      <c r="K1749" t="s">
        <v>8</v>
      </c>
      <c r="L1749" t="s">
        <v>18</v>
      </c>
      <c r="M1749" t="s">
        <v>9</v>
      </c>
      <c r="N1749" t="s">
        <v>14</v>
      </c>
      <c r="O1749" s="2">
        <v>-2.94</v>
      </c>
      <c r="P1749" s="3">
        <v>0</v>
      </c>
      <c r="Q1749" s="1">
        <v>46033</v>
      </c>
      <c r="R1749" s="1">
        <v>45992</v>
      </c>
      <c r="S1749" s="1">
        <v>46022</v>
      </c>
      <c r="V1749" s="8">
        <v>1</v>
      </c>
      <c r="W1749" t="s">
        <v>24</v>
      </c>
      <c r="X1749" t="s">
        <v>231</v>
      </c>
      <c r="Y1749" t="s">
        <v>10</v>
      </c>
      <c r="Z1749" t="s">
        <v>11</v>
      </c>
      <c r="AA1749">
        <v>62371</v>
      </c>
      <c r="AB1749">
        <v>19378174</v>
      </c>
      <c r="AC1749">
        <v>0</v>
      </c>
      <c r="AD1749" s="8"/>
    </row>
    <row r="1750" spans="1:30" x14ac:dyDescent="0.3">
      <c r="A1750" t="s">
        <v>1627</v>
      </c>
      <c r="B1750">
        <v>1356233</v>
      </c>
      <c r="D1750" t="s">
        <v>7</v>
      </c>
      <c r="E1750">
        <v>945423</v>
      </c>
      <c r="F1750">
        <v>9015884123</v>
      </c>
      <c r="G1750">
        <v>119</v>
      </c>
      <c r="H1750" t="s">
        <v>1174</v>
      </c>
      <c r="I1750">
        <v>0</v>
      </c>
      <c r="J1750" t="s">
        <v>1175</v>
      </c>
      <c r="K1750" t="s">
        <v>8</v>
      </c>
      <c r="L1750" t="s">
        <v>15</v>
      </c>
      <c r="M1750" t="s">
        <v>9</v>
      </c>
      <c r="N1750" t="s">
        <v>14</v>
      </c>
      <c r="O1750" s="2">
        <v>0</v>
      </c>
      <c r="P1750" s="3">
        <v>2809.4870000000001</v>
      </c>
      <c r="Q1750" s="1">
        <v>46033</v>
      </c>
      <c r="R1750" s="1">
        <v>45992</v>
      </c>
      <c r="S1750" s="1">
        <v>46022</v>
      </c>
      <c r="V1750" s="8">
        <v>1</v>
      </c>
      <c r="W1750" t="s">
        <v>24</v>
      </c>
      <c r="X1750" t="s">
        <v>1176</v>
      </c>
      <c r="Y1750" t="s">
        <v>10</v>
      </c>
      <c r="Z1750" t="s">
        <v>11</v>
      </c>
      <c r="AA1750">
        <v>62371</v>
      </c>
      <c r="AB1750">
        <v>17063770</v>
      </c>
      <c r="AC1750">
        <v>0</v>
      </c>
      <c r="AD1750" s="8"/>
    </row>
    <row r="1751" spans="1:30" x14ac:dyDescent="0.3">
      <c r="A1751" t="s">
        <v>1627</v>
      </c>
      <c r="B1751">
        <v>1384494</v>
      </c>
      <c r="D1751" t="s">
        <v>7</v>
      </c>
      <c r="E1751">
        <v>946035</v>
      </c>
      <c r="F1751">
        <v>9015884123</v>
      </c>
      <c r="G1751">
        <v>232</v>
      </c>
      <c r="H1751" t="s">
        <v>1603</v>
      </c>
      <c r="I1751">
        <v>0</v>
      </c>
      <c r="J1751" t="s">
        <v>1604</v>
      </c>
      <c r="K1751" t="s">
        <v>8</v>
      </c>
      <c r="L1751" t="s">
        <v>15</v>
      </c>
      <c r="M1751" t="s">
        <v>9</v>
      </c>
      <c r="N1751" t="s">
        <v>14</v>
      </c>
      <c r="O1751" s="2">
        <v>0</v>
      </c>
      <c r="P1751" s="3">
        <v>21183.487000000001</v>
      </c>
      <c r="Q1751" s="1">
        <v>46033</v>
      </c>
      <c r="R1751" s="1">
        <v>45992</v>
      </c>
      <c r="S1751" s="1">
        <v>46022</v>
      </c>
      <c r="V1751" s="8">
        <v>2</v>
      </c>
      <c r="W1751" t="s">
        <v>24</v>
      </c>
      <c r="X1751" t="s">
        <v>1605</v>
      </c>
      <c r="Y1751" t="s">
        <v>10</v>
      </c>
      <c r="Z1751" t="s">
        <v>11</v>
      </c>
      <c r="AA1751">
        <v>62371</v>
      </c>
      <c r="AB1751">
        <v>19315266</v>
      </c>
      <c r="AC1751">
        <v>1</v>
      </c>
      <c r="AD1751" s="8"/>
    </row>
    <row r="1752" spans="1:30" x14ac:dyDescent="0.3">
      <c r="A1752" t="s">
        <v>1627</v>
      </c>
      <c r="B1752">
        <v>1356250</v>
      </c>
      <c r="D1752" t="s">
        <v>7</v>
      </c>
      <c r="E1752">
        <v>945441</v>
      </c>
      <c r="F1752">
        <v>9015884123</v>
      </c>
      <c r="G1752">
        <v>125</v>
      </c>
      <c r="H1752" t="s">
        <v>1542</v>
      </c>
      <c r="I1752">
        <v>0</v>
      </c>
      <c r="J1752" t="s">
        <v>1543</v>
      </c>
      <c r="K1752" t="s">
        <v>8</v>
      </c>
      <c r="L1752" t="s">
        <v>15</v>
      </c>
      <c r="M1752" t="s">
        <v>9</v>
      </c>
      <c r="N1752" t="s">
        <v>14</v>
      </c>
      <c r="O1752" s="2">
        <v>0</v>
      </c>
      <c r="P1752" s="3">
        <v>19196.812999999998</v>
      </c>
      <c r="Q1752" s="1">
        <v>46033</v>
      </c>
      <c r="R1752" s="1">
        <v>45992</v>
      </c>
      <c r="S1752" s="1">
        <v>46022</v>
      </c>
      <c r="V1752" s="8">
        <v>1</v>
      </c>
      <c r="W1752" t="s">
        <v>24</v>
      </c>
      <c r="X1752" t="s">
        <v>1544</v>
      </c>
      <c r="Y1752" t="s">
        <v>10</v>
      </c>
      <c r="Z1752" t="s">
        <v>11</v>
      </c>
      <c r="AA1752">
        <v>62371</v>
      </c>
      <c r="AB1752">
        <v>19390712</v>
      </c>
      <c r="AC1752">
        <v>0</v>
      </c>
      <c r="AD1752" s="8"/>
    </row>
    <row r="1753" spans="1:30" x14ac:dyDescent="0.3">
      <c r="A1753" t="s">
        <v>1627</v>
      </c>
      <c r="B1753">
        <v>1359839</v>
      </c>
      <c r="D1753" t="s">
        <v>7</v>
      </c>
      <c r="E1753">
        <v>945481</v>
      </c>
      <c r="F1753">
        <v>9015884123</v>
      </c>
      <c r="G1753">
        <v>139</v>
      </c>
      <c r="H1753" t="s">
        <v>220</v>
      </c>
      <c r="I1753">
        <v>0</v>
      </c>
      <c r="J1753" t="s">
        <v>221</v>
      </c>
      <c r="K1753" t="s">
        <v>8</v>
      </c>
      <c r="L1753" t="s">
        <v>67</v>
      </c>
      <c r="M1753" t="s">
        <v>9</v>
      </c>
      <c r="N1753" t="s">
        <v>14</v>
      </c>
      <c r="O1753" s="2">
        <v>315357.21000000002</v>
      </c>
      <c r="P1753" s="3">
        <v>2214.098</v>
      </c>
      <c r="Q1753" s="1">
        <v>46033</v>
      </c>
      <c r="R1753" s="1">
        <v>45992</v>
      </c>
      <c r="S1753" s="1">
        <v>46022</v>
      </c>
      <c r="V1753" s="8">
        <v>1</v>
      </c>
      <c r="W1753" t="s">
        <v>24</v>
      </c>
      <c r="X1753" t="s">
        <v>222</v>
      </c>
      <c r="Y1753" t="s">
        <v>10</v>
      </c>
      <c r="Z1753" t="s">
        <v>11</v>
      </c>
      <c r="AA1753">
        <v>62371</v>
      </c>
      <c r="AB1753">
        <v>17173001</v>
      </c>
      <c r="AC1753">
        <v>0</v>
      </c>
      <c r="AD1753" s="8"/>
    </row>
    <row r="1754" spans="1:30" x14ac:dyDescent="0.3">
      <c r="A1754" t="s">
        <v>1627</v>
      </c>
      <c r="B1754">
        <v>1403977</v>
      </c>
      <c r="D1754" t="s">
        <v>7</v>
      </c>
      <c r="E1754">
        <v>946150</v>
      </c>
      <c r="F1754">
        <v>9015884123</v>
      </c>
      <c r="G1754">
        <v>269</v>
      </c>
      <c r="H1754" t="s">
        <v>226</v>
      </c>
      <c r="I1754">
        <v>0</v>
      </c>
      <c r="J1754" t="s">
        <v>227</v>
      </c>
      <c r="K1754" t="s">
        <v>8</v>
      </c>
      <c r="L1754" t="s">
        <v>67</v>
      </c>
      <c r="M1754" t="s">
        <v>9</v>
      </c>
      <c r="N1754" t="s">
        <v>14</v>
      </c>
      <c r="O1754" s="2">
        <v>281808.96999999997</v>
      </c>
      <c r="P1754" s="3">
        <v>2609.4450000000002</v>
      </c>
      <c r="Q1754" s="1">
        <v>46033</v>
      </c>
      <c r="R1754" s="1">
        <v>45992</v>
      </c>
      <c r="S1754" s="1">
        <v>46022</v>
      </c>
      <c r="V1754" s="8">
        <v>1</v>
      </c>
      <c r="W1754" t="s">
        <v>24</v>
      </c>
      <c r="X1754" t="s">
        <v>228</v>
      </c>
      <c r="Y1754" t="s">
        <v>17</v>
      </c>
      <c r="Z1754" t="s">
        <v>11</v>
      </c>
      <c r="AA1754">
        <v>62371</v>
      </c>
      <c r="AB1754">
        <v>21139542</v>
      </c>
      <c r="AC1754">
        <v>1</v>
      </c>
      <c r="AD1754" s="8"/>
    </row>
    <row r="1755" spans="1:30" x14ac:dyDescent="0.3">
      <c r="A1755" t="s">
        <v>1627</v>
      </c>
      <c r="B1755">
        <v>1408935</v>
      </c>
      <c r="D1755" t="s">
        <v>7</v>
      </c>
      <c r="E1755">
        <v>946335</v>
      </c>
      <c r="F1755">
        <v>9015884123</v>
      </c>
      <c r="G1755">
        <v>342</v>
      </c>
      <c r="H1755" t="s">
        <v>1189</v>
      </c>
      <c r="I1755">
        <v>0</v>
      </c>
      <c r="J1755" t="s">
        <v>1190</v>
      </c>
      <c r="K1755" t="s">
        <v>8</v>
      </c>
      <c r="L1755" t="s">
        <v>18</v>
      </c>
      <c r="M1755" t="s">
        <v>9</v>
      </c>
      <c r="N1755" t="s">
        <v>14</v>
      </c>
      <c r="O1755" s="2">
        <v>-0.73</v>
      </c>
      <c r="P1755" s="3">
        <v>0</v>
      </c>
      <c r="Q1755" s="1">
        <v>46033</v>
      </c>
      <c r="R1755" s="1">
        <v>45992</v>
      </c>
      <c r="S1755" s="1">
        <v>46022</v>
      </c>
      <c r="V1755" s="8">
        <v>1</v>
      </c>
      <c r="W1755" t="s">
        <v>24</v>
      </c>
      <c r="X1755" t="s">
        <v>1191</v>
      </c>
      <c r="Y1755" t="s">
        <v>17</v>
      </c>
      <c r="Z1755" t="s">
        <v>11</v>
      </c>
      <c r="AA1755">
        <v>62371</v>
      </c>
      <c r="AB1755">
        <v>18466873</v>
      </c>
      <c r="AC1755">
        <v>1</v>
      </c>
      <c r="AD1755" s="8"/>
    </row>
    <row r="1756" spans="1:30" x14ac:dyDescent="0.3">
      <c r="A1756" t="s">
        <v>1627</v>
      </c>
      <c r="B1756">
        <v>1408945</v>
      </c>
      <c r="D1756" t="s">
        <v>7</v>
      </c>
      <c r="E1756">
        <v>946350</v>
      </c>
      <c r="F1756">
        <v>9015884123</v>
      </c>
      <c r="G1756">
        <v>348</v>
      </c>
      <c r="H1756" t="s">
        <v>814</v>
      </c>
      <c r="I1756">
        <v>0</v>
      </c>
      <c r="J1756" t="s">
        <v>815</v>
      </c>
      <c r="K1756" t="s">
        <v>8</v>
      </c>
      <c r="L1756" t="s">
        <v>18</v>
      </c>
      <c r="M1756" t="s">
        <v>9</v>
      </c>
      <c r="N1756" t="s">
        <v>14</v>
      </c>
      <c r="O1756" s="2">
        <v>2.66</v>
      </c>
      <c r="P1756" s="3">
        <v>0</v>
      </c>
      <c r="Q1756" s="1">
        <v>46033</v>
      </c>
      <c r="R1756" s="1">
        <v>45992</v>
      </c>
      <c r="S1756" s="1">
        <v>46022</v>
      </c>
      <c r="V1756" s="8">
        <v>1</v>
      </c>
      <c r="W1756" t="s">
        <v>24</v>
      </c>
      <c r="X1756" t="s">
        <v>816</v>
      </c>
      <c r="Y1756" t="s">
        <v>21</v>
      </c>
      <c r="Z1756" t="s">
        <v>11</v>
      </c>
      <c r="AA1756">
        <v>62371</v>
      </c>
      <c r="AB1756">
        <v>17678354</v>
      </c>
      <c r="AC1756">
        <v>0</v>
      </c>
      <c r="AD1756" s="8"/>
    </row>
    <row r="1757" spans="1:30" x14ac:dyDescent="0.3">
      <c r="A1757" t="s">
        <v>1627</v>
      </c>
      <c r="B1757">
        <v>1408950</v>
      </c>
      <c r="D1757" t="s">
        <v>7</v>
      </c>
      <c r="E1757">
        <v>946365</v>
      </c>
      <c r="F1757">
        <v>9015884123</v>
      </c>
      <c r="G1757">
        <v>355</v>
      </c>
      <c r="H1757" t="s">
        <v>241</v>
      </c>
      <c r="I1757">
        <v>0</v>
      </c>
      <c r="J1757" t="s">
        <v>242</v>
      </c>
      <c r="K1757" t="s">
        <v>8</v>
      </c>
      <c r="L1757" t="s">
        <v>67</v>
      </c>
      <c r="M1757" t="s">
        <v>9</v>
      </c>
      <c r="N1757" t="s">
        <v>14</v>
      </c>
      <c r="O1757" s="2">
        <v>502968.93</v>
      </c>
      <c r="P1757" s="3">
        <v>3531.3049999999998</v>
      </c>
      <c r="Q1757" s="1">
        <v>46033</v>
      </c>
      <c r="R1757" s="1">
        <v>45992</v>
      </c>
      <c r="S1757" s="1">
        <v>46022</v>
      </c>
      <c r="V1757" s="8">
        <v>1</v>
      </c>
      <c r="W1757" t="s">
        <v>24</v>
      </c>
      <c r="X1757" t="s">
        <v>243</v>
      </c>
      <c r="Y1757" t="s">
        <v>17</v>
      </c>
      <c r="Z1757" t="s">
        <v>11</v>
      </c>
      <c r="AA1757">
        <v>62371</v>
      </c>
      <c r="AB1757">
        <v>18414344</v>
      </c>
      <c r="AC1757">
        <v>0</v>
      </c>
      <c r="AD1757" s="8"/>
    </row>
    <row r="1758" spans="1:30" x14ac:dyDescent="0.3">
      <c r="A1758" t="s">
        <v>1627</v>
      </c>
      <c r="B1758">
        <v>1415362</v>
      </c>
      <c r="D1758" t="s">
        <v>7</v>
      </c>
      <c r="E1758">
        <v>946563</v>
      </c>
      <c r="F1758">
        <v>9015884123</v>
      </c>
      <c r="G1758">
        <v>424</v>
      </c>
      <c r="H1758" t="s">
        <v>256</v>
      </c>
      <c r="I1758">
        <v>0</v>
      </c>
      <c r="J1758" t="s">
        <v>257</v>
      </c>
      <c r="K1758" t="s">
        <v>8</v>
      </c>
      <c r="L1758" t="s">
        <v>18</v>
      </c>
      <c r="M1758" t="s">
        <v>9</v>
      </c>
      <c r="N1758" t="s">
        <v>14</v>
      </c>
      <c r="O1758" s="2">
        <v>-0.96</v>
      </c>
      <c r="P1758" s="3">
        <v>0</v>
      </c>
      <c r="Q1758" s="1">
        <v>46033</v>
      </c>
      <c r="R1758" s="1">
        <v>45992</v>
      </c>
      <c r="S1758" s="1">
        <v>46022</v>
      </c>
      <c r="V1758" s="8">
        <v>1</v>
      </c>
      <c r="W1758" t="s">
        <v>24</v>
      </c>
      <c r="X1758" t="s">
        <v>258</v>
      </c>
      <c r="Y1758" t="s">
        <v>17</v>
      </c>
      <c r="Z1758" t="s">
        <v>11</v>
      </c>
      <c r="AA1758">
        <v>62371</v>
      </c>
      <c r="AB1758">
        <v>21108959</v>
      </c>
      <c r="AC1758">
        <v>1</v>
      </c>
      <c r="AD1758" s="8"/>
    </row>
    <row r="1759" spans="1:30" x14ac:dyDescent="0.3">
      <c r="A1759" t="s">
        <v>1627</v>
      </c>
      <c r="B1759">
        <v>1441991</v>
      </c>
      <c r="D1759" t="s">
        <v>7</v>
      </c>
      <c r="E1759">
        <v>946856</v>
      </c>
      <c r="F1759">
        <v>9015884123</v>
      </c>
      <c r="G1759">
        <v>519</v>
      </c>
      <c r="H1759" t="s">
        <v>1594</v>
      </c>
      <c r="I1759">
        <v>0</v>
      </c>
      <c r="J1759" t="s">
        <v>1595</v>
      </c>
      <c r="K1759" t="s">
        <v>8</v>
      </c>
      <c r="L1759" t="s">
        <v>18</v>
      </c>
      <c r="M1759" t="s">
        <v>9</v>
      </c>
      <c r="N1759" t="s">
        <v>14</v>
      </c>
      <c r="O1759" s="2">
        <v>-0.03</v>
      </c>
      <c r="P1759" s="3">
        <v>0</v>
      </c>
      <c r="Q1759" s="1">
        <v>46033</v>
      </c>
      <c r="R1759" s="1">
        <v>45992</v>
      </c>
      <c r="S1759" s="1">
        <v>46022</v>
      </c>
      <c r="V1759" s="8">
        <v>1</v>
      </c>
      <c r="W1759" t="s">
        <v>24</v>
      </c>
      <c r="X1759" t="s">
        <v>1596</v>
      </c>
      <c r="Y1759" t="s">
        <v>17</v>
      </c>
      <c r="Z1759" t="s">
        <v>11</v>
      </c>
      <c r="AA1759">
        <v>62371</v>
      </c>
      <c r="AB1759">
        <v>17773978</v>
      </c>
      <c r="AC1759">
        <v>1</v>
      </c>
      <c r="AD1759" s="8"/>
    </row>
    <row r="1760" spans="1:30" x14ac:dyDescent="0.3">
      <c r="A1760" t="s">
        <v>1627</v>
      </c>
      <c r="B1760">
        <v>1282806</v>
      </c>
      <c r="D1760" t="s">
        <v>7</v>
      </c>
      <c r="E1760">
        <v>945224</v>
      </c>
      <c r="F1760">
        <v>9015884123</v>
      </c>
      <c r="G1760">
        <v>6</v>
      </c>
      <c r="H1760" t="s">
        <v>280</v>
      </c>
      <c r="I1760">
        <v>0</v>
      </c>
      <c r="J1760" t="s">
        <v>281</v>
      </c>
      <c r="K1760" t="s">
        <v>8</v>
      </c>
      <c r="L1760" t="s">
        <v>15</v>
      </c>
      <c r="M1760" t="s">
        <v>9</v>
      </c>
      <c r="N1760" t="s">
        <v>14</v>
      </c>
      <c r="O1760" s="2">
        <v>0</v>
      </c>
      <c r="P1760" s="3">
        <v>591.75800000000004</v>
      </c>
      <c r="Q1760" s="1">
        <v>46033</v>
      </c>
      <c r="R1760" s="1">
        <v>45992</v>
      </c>
      <c r="S1760" s="1">
        <v>46022</v>
      </c>
      <c r="V1760" s="8">
        <v>1</v>
      </c>
      <c r="W1760" t="s">
        <v>24</v>
      </c>
      <c r="X1760" t="s">
        <v>282</v>
      </c>
      <c r="Y1760" t="s">
        <v>17</v>
      </c>
      <c r="Z1760" t="s">
        <v>11</v>
      </c>
      <c r="AA1760">
        <v>62371</v>
      </c>
      <c r="AB1760">
        <v>18920220</v>
      </c>
      <c r="AC1760">
        <v>0</v>
      </c>
      <c r="AD1760" s="8"/>
    </row>
    <row r="1761" spans="1:30" x14ac:dyDescent="0.3">
      <c r="A1761" t="s">
        <v>1627</v>
      </c>
      <c r="B1761">
        <v>1282807</v>
      </c>
      <c r="D1761" t="s">
        <v>7</v>
      </c>
      <c r="E1761">
        <v>945259</v>
      </c>
      <c r="F1761">
        <v>9015884123</v>
      </c>
      <c r="G1761">
        <v>7</v>
      </c>
      <c r="H1761" t="s">
        <v>283</v>
      </c>
      <c r="I1761">
        <v>0</v>
      </c>
      <c r="J1761" t="s">
        <v>284</v>
      </c>
      <c r="K1761" t="s">
        <v>8</v>
      </c>
      <c r="L1761" t="s">
        <v>18</v>
      </c>
      <c r="M1761" t="s">
        <v>9</v>
      </c>
      <c r="N1761" t="s">
        <v>14</v>
      </c>
      <c r="O1761" s="2">
        <v>3.21</v>
      </c>
      <c r="P1761" s="3">
        <v>0</v>
      </c>
      <c r="Q1761" s="1">
        <v>46033</v>
      </c>
      <c r="R1761" s="1">
        <v>45992</v>
      </c>
      <c r="S1761" s="1">
        <v>46022</v>
      </c>
      <c r="V1761" s="8">
        <v>1</v>
      </c>
      <c r="W1761" t="s">
        <v>24</v>
      </c>
      <c r="X1761" t="s">
        <v>285</v>
      </c>
      <c r="Y1761" t="s">
        <v>17</v>
      </c>
      <c r="Z1761" t="s">
        <v>11</v>
      </c>
      <c r="AA1761">
        <v>62371</v>
      </c>
      <c r="AB1761">
        <v>18915434</v>
      </c>
      <c r="AC1761">
        <v>0</v>
      </c>
      <c r="AD1761" s="8"/>
    </row>
    <row r="1762" spans="1:30" x14ac:dyDescent="0.3">
      <c r="A1762" t="s">
        <v>1627</v>
      </c>
      <c r="B1762">
        <v>1395783</v>
      </c>
      <c r="D1762" t="s">
        <v>7</v>
      </c>
      <c r="E1762">
        <v>946058</v>
      </c>
      <c r="F1762">
        <v>9015884123</v>
      </c>
      <c r="G1762">
        <v>240</v>
      </c>
      <c r="H1762" t="s">
        <v>373</v>
      </c>
      <c r="I1762">
        <v>0</v>
      </c>
      <c r="J1762" t="s">
        <v>374</v>
      </c>
      <c r="K1762" t="s">
        <v>8</v>
      </c>
      <c r="L1762" t="s">
        <v>67</v>
      </c>
      <c r="M1762" t="s">
        <v>9</v>
      </c>
      <c r="N1762" t="s">
        <v>14</v>
      </c>
      <c r="O1762" s="2">
        <v>2552255.6800000002</v>
      </c>
      <c r="P1762" s="3">
        <v>23632.927</v>
      </c>
      <c r="Q1762" s="1">
        <v>46033</v>
      </c>
      <c r="R1762" s="1">
        <v>45992</v>
      </c>
      <c r="S1762" s="1">
        <v>46022</v>
      </c>
      <c r="V1762" s="8">
        <v>1</v>
      </c>
      <c r="W1762" t="s">
        <v>24</v>
      </c>
      <c r="X1762" t="s">
        <v>375</v>
      </c>
      <c r="Y1762" t="s">
        <v>10</v>
      </c>
      <c r="Z1762" t="s">
        <v>11</v>
      </c>
      <c r="AA1762">
        <v>62371</v>
      </c>
      <c r="AB1762">
        <v>19374766</v>
      </c>
      <c r="AC1762">
        <v>1</v>
      </c>
      <c r="AD1762" s="8"/>
    </row>
    <row r="1763" spans="1:30" x14ac:dyDescent="0.3">
      <c r="A1763" t="s">
        <v>1627</v>
      </c>
      <c r="B1763">
        <v>1420087</v>
      </c>
      <c r="D1763" t="s">
        <v>7</v>
      </c>
      <c r="E1763">
        <v>946677</v>
      </c>
      <c r="F1763">
        <v>9015884123</v>
      </c>
      <c r="G1763">
        <v>461</v>
      </c>
      <c r="H1763" t="s">
        <v>290</v>
      </c>
      <c r="I1763">
        <v>0</v>
      </c>
      <c r="J1763" t="s">
        <v>291</v>
      </c>
      <c r="K1763" t="s">
        <v>8</v>
      </c>
      <c r="L1763" t="s">
        <v>15</v>
      </c>
      <c r="M1763" t="s">
        <v>9</v>
      </c>
      <c r="N1763" t="s">
        <v>14</v>
      </c>
      <c r="O1763" s="2">
        <v>0</v>
      </c>
      <c r="P1763" s="3">
        <v>960.35699999999997</v>
      </c>
      <c r="Q1763" s="1">
        <v>46033</v>
      </c>
      <c r="R1763" s="1">
        <v>45992</v>
      </c>
      <c r="S1763" s="1">
        <v>46022</v>
      </c>
      <c r="V1763" s="8">
        <v>1</v>
      </c>
      <c r="W1763" t="s">
        <v>24</v>
      </c>
      <c r="X1763" t="s">
        <v>292</v>
      </c>
      <c r="Y1763" t="s">
        <v>289</v>
      </c>
      <c r="Z1763" t="s">
        <v>11</v>
      </c>
      <c r="AA1763">
        <v>62371</v>
      </c>
      <c r="AB1763">
        <v>18195166</v>
      </c>
      <c r="AC1763">
        <v>0</v>
      </c>
      <c r="AD1763" s="8"/>
    </row>
    <row r="1764" spans="1:30" x14ac:dyDescent="0.3">
      <c r="A1764" t="s">
        <v>1627</v>
      </c>
      <c r="B1764">
        <v>1413687</v>
      </c>
      <c r="D1764" t="s">
        <v>7</v>
      </c>
      <c r="E1764">
        <v>946424</v>
      </c>
      <c r="F1764">
        <v>9015884123</v>
      </c>
      <c r="G1764">
        <v>381</v>
      </c>
      <c r="H1764" t="s">
        <v>829</v>
      </c>
      <c r="I1764">
        <v>0</v>
      </c>
      <c r="J1764" t="s">
        <v>830</v>
      </c>
      <c r="K1764" t="s">
        <v>8</v>
      </c>
      <c r="L1764" t="s">
        <v>18</v>
      </c>
      <c r="M1764" t="s">
        <v>9</v>
      </c>
      <c r="N1764" t="s">
        <v>14</v>
      </c>
      <c r="O1764" s="2">
        <v>-4.43</v>
      </c>
      <c r="P1764" s="3">
        <v>0</v>
      </c>
      <c r="Q1764" s="1">
        <v>46033</v>
      </c>
      <c r="R1764" s="1">
        <v>45992</v>
      </c>
      <c r="S1764" s="1">
        <v>46022</v>
      </c>
      <c r="V1764" s="8">
        <v>1</v>
      </c>
      <c r="W1764" t="s">
        <v>24</v>
      </c>
      <c r="X1764" t="s">
        <v>831</v>
      </c>
      <c r="Y1764" t="s">
        <v>832</v>
      </c>
      <c r="Z1764" t="s">
        <v>11</v>
      </c>
      <c r="AA1764">
        <v>62371</v>
      </c>
      <c r="AB1764">
        <v>21453429</v>
      </c>
      <c r="AC1764">
        <v>0</v>
      </c>
      <c r="AD1764" s="8"/>
    </row>
    <row r="1765" spans="1:30" x14ac:dyDescent="0.3">
      <c r="A1765" t="s">
        <v>1627</v>
      </c>
      <c r="B1765">
        <v>1418863</v>
      </c>
      <c r="D1765" t="s">
        <v>7</v>
      </c>
      <c r="E1765">
        <v>946641</v>
      </c>
      <c r="F1765">
        <v>9015884123</v>
      </c>
      <c r="G1765">
        <v>449</v>
      </c>
      <c r="H1765" t="s">
        <v>851</v>
      </c>
      <c r="I1765">
        <v>0</v>
      </c>
      <c r="J1765" t="s">
        <v>852</v>
      </c>
      <c r="K1765" t="s">
        <v>8</v>
      </c>
      <c r="L1765" t="s">
        <v>67</v>
      </c>
      <c r="M1765" t="s">
        <v>9</v>
      </c>
      <c r="N1765" t="s">
        <v>14</v>
      </c>
      <c r="O1765" s="2">
        <v>127583.69</v>
      </c>
      <c r="P1765" s="3">
        <v>895.755</v>
      </c>
      <c r="Q1765" s="1">
        <v>46033</v>
      </c>
      <c r="R1765" s="1">
        <v>45992</v>
      </c>
      <c r="S1765" s="1">
        <v>46022</v>
      </c>
      <c r="V1765" s="8">
        <v>1</v>
      </c>
      <c r="W1765" t="s">
        <v>24</v>
      </c>
      <c r="X1765" t="s">
        <v>853</v>
      </c>
      <c r="Y1765" t="s">
        <v>854</v>
      </c>
      <c r="Z1765" t="s">
        <v>11</v>
      </c>
      <c r="AA1765">
        <v>62371</v>
      </c>
      <c r="AB1765">
        <v>17627041</v>
      </c>
      <c r="AC1765">
        <v>0</v>
      </c>
      <c r="AD1765" s="8"/>
    </row>
    <row r="1766" spans="1:30" x14ac:dyDescent="0.3">
      <c r="A1766" t="s">
        <v>1627</v>
      </c>
      <c r="B1766">
        <v>1403729</v>
      </c>
      <c r="D1766" t="s">
        <v>7</v>
      </c>
      <c r="E1766">
        <v>946162</v>
      </c>
      <c r="F1766">
        <v>9015884123</v>
      </c>
      <c r="G1766">
        <v>272</v>
      </c>
      <c r="H1766" t="s">
        <v>1434</v>
      </c>
      <c r="I1766">
        <v>0</v>
      </c>
      <c r="J1766" t="s">
        <v>1435</v>
      </c>
      <c r="K1766" t="s">
        <v>8</v>
      </c>
      <c r="L1766" t="s">
        <v>67</v>
      </c>
      <c r="M1766" t="s">
        <v>9</v>
      </c>
      <c r="N1766" t="s">
        <v>14</v>
      </c>
      <c r="O1766" s="2">
        <v>710554.09</v>
      </c>
      <c r="P1766" s="3">
        <v>4988.7439999999997</v>
      </c>
      <c r="Q1766" s="1">
        <v>46033</v>
      </c>
      <c r="R1766" s="1">
        <v>45992</v>
      </c>
      <c r="S1766" s="1">
        <v>46022</v>
      </c>
      <c r="V1766" s="8">
        <v>1</v>
      </c>
      <c r="W1766" t="s">
        <v>24</v>
      </c>
      <c r="X1766" t="s">
        <v>1436</v>
      </c>
      <c r="Y1766" t="s">
        <v>10</v>
      </c>
      <c r="Z1766" t="s">
        <v>11</v>
      </c>
      <c r="AA1766">
        <v>62371</v>
      </c>
      <c r="AB1766">
        <v>17033700</v>
      </c>
      <c r="AC1766">
        <v>0</v>
      </c>
      <c r="AD1766" s="8"/>
    </row>
    <row r="1767" spans="1:30" x14ac:dyDescent="0.3">
      <c r="A1767" t="s">
        <v>1627</v>
      </c>
      <c r="B1767">
        <v>1403649</v>
      </c>
      <c r="D1767" t="s">
        <v>7</v>
      </c>
      <c r="E1767">
        <v>946120</v>
      </c>
      <c r="F1767">
        <v>9015884123</v>
      </c>
      <c r="G1767">
        <v>260</v>
      </c>
      <c r="H1767" t="s">
        <v>1428</v>
      </c>
      <c r="I1767">
        <v>0</v>
      </c>
      <c r="J1767" t="s">
        <v>1429</v>
      </c>
      <c r="K1767" t="s">
        <v>8</v>
      </c>
      <c r="L1767" t="s">
        <v>67</v>
      </c>
      <c r="M1767" t="s">
        <v>9</v>
      </c>
      <c r="N1767" t="s">
        <v>14</v>
      </c>
      <c r="O1767" s="2">
        <v>291165.08</v>
      </c>
      <c r="P1767" s="3">
        <v>2044.2470000000001</v>
      </c>
      <c r="Q1767" s="1">
        <v>46033</v>
      </c>
      <c r="R1767" s="1">
        <v>45992</v>
      </c>
      <c r="S1767" s="1">
        <v>46022</v>
      </c>
      <c r="V1767" s="8">
        <v>1</v>
      </c>
      <c r="W1767" t="s">
        <v>24</v>
      </c>
      <c r="X1767" t="s">
        <v>1430</v>
      </c>
      <c r="Y1767" t="s">
        <v>10</v>
      </c>
      <c r="Z1767" t="s">
        <v>11</v>
      </c>
      <c r="AA1767">
        <v>62371</v>
      </c>
      <c r="AB1767">
        <v>19394686</v>
      </c>
      <c r="AC1767">
        <v>0</v>
      </c>
      <c r="AD1767" s="8"/>
    </row>
    <row r="1768" spans="1:30" x14ac:dyDescent="0.3">
      <c r="A1768" t="s">
        <v>1627</v>
      </c>
      <c r="B1768">
        <v>1403804</v>
      </c>
      <c r="D1768" t="s">
        <v>7</v>
      </c>
      <c r="E1768">
        <v>946197</v>
      </c>
      <c r="F1768">
        <v>9015884123</v>
      </c>
      <c r="G1768">
        <v>284</v>
      </c>
      <c r="H1768" t="s">
        <v>409</v>
      </c>
      <c r="I1768">
        <v>0</v>
      </c>
      <c r="J1768" t="s">
        <v>410</v>
      </c>
      <c r="K1768" t="s">
        <v>8</v>
      </c>
      <c r="L1768" t="s">
        <v>15</v>
      </c>
      <c r="M1768" t="s">
        <v>9</v>
      </c>
      <c r="N1768" t="s">
        <v>14</v>
      </c>
      <c r="O1768" s="2">
        <v>0</v>
      </c>
      <c r="P1768" s="3">
        <v>0</v>
      </c>
      <c r="Q1768" s="1">
        <v>46033</v>
      </c>
      <c r="R1768" s="1">
        <v>45992</v>
      </c>
      <c r="S1768" s="1">
        <v>46022</v>
      </c>
      <c r="V1768" s="8">
        <v>1</v>
      </c>
      <c r="W1768" t="s">
        <v>24</v>
      </c>
      <c r="X1768" t="s">
        <v>411</v>
      </c>
      <c r="Y1768" t="s">
        <v>10</v>
      </c>
      <c r="Z1768" t="s">
        <v>11</v>
      </c>
      <c r="AA1768">
        <v>62371</v>
      </c>
      <c r="AB1768">
        <v>18569540</v>
      </c>
      <c r="AC1768">
        <v>1</v>
      </c>
      <c r="AD1768" s="8"/>
    </row>
    <row r="1769" spans="1:30" x14ac:dyDescent="0.3">
      <c r="A1769" t="s">
        <v>1627</v>
      </c>
      <c r="B1769">
        <v>1403810</v>
      </c>
      <c r="D1769" t="s">
        <v>7</v>
      </c>
      <c r="E1769">
        <v>946206</v>
      </c>
      <c r="F1769">
        <v>9015884123</v>
      </c>
      <c r="G1769">
        <v>288</v>
      </c>
      <c r="H1769" t="s">
        <v>901</v>
      </c>
      <c r="I1769">
        <v>0</v>
      </c>
      <c r="J1769" t="s">
        <v>902</v>
      </c>
      <c r="K1769" t="s">
        <v>8</v>
      </c>
      <c r="L1769" t="s">
        <v>19</v>
      </c>
      <c r="M1769" t="s">
        <v>9</v>
      </c>
      <c r="N1769" t="s">
        <v>14</v>
      </c>
      <c r="O1769" s="2">
        <v>18458.330000000002</v>
      </c>
      <c r="P1769" s="3">
        <v>113.133</v>
      </c>
      <c r="Q1769" s="1">
        <v>46033</v>
      </c>
      <c r="R1769" s="1">
        <v>45992</v>
      </c>
      <c r="S1769" s="1">
        <v>46022</v>
      </c>
      <c r="V1769" s="8">
        <v>1</v>
      </c>
      <c r="W1769" t="s">
        <v>24</v>
      </c>
      <c r="X1769" t="s">
        <v>903</v>
      </c>
      <c r="Y1769" t="s">
        <v>10</v>
      </c>
      <c r="Z1769" t="s">
        <v>11</v>
      </c>
      <c r="AA1769">
        <v>62371</v>
      </c>
      <c r="AB1769">
        <v>21406892</v>
      </c>
      <c r="AC1769">
        <v>1</v>
      </c>
      <c r="AD1769" s="8"/>
    </row>
    <row r="1770" spans="1:30" x14ac:dyDescent="0.3">
      <c r="A1770" t="s">
        <v>1627</v>
      </c>
      <c r="B1770">
        <v>1403817</v>
      </c>
      <c r="D1770" t="s">
        <v>7</v>
      </c>
      <c r="E1770">
        <v>946233</v>
      </c>
      <c r="F1770">
        <v>9015884123</v>
      </c>
      <c r="G1770">
        <v>296</v>
      </c>
      <c r="H1770" t="s">
        <v>412</v>
      </c>
      <c r="I1770">
        <v>0</v>
      </c>
      <c r="J1770" t="s">
        <v>413</v>
      </c>
      <c r="K1770" t="s">
        <v>8</v>
      </c>
      <c r="L1770" t="s">
        <v>15</v>
      </c>
      <c r="M1770" t="s">
        <v>9</v>
      </c>
      <c r="N1770" t="s">
        <v>14</v>
      </c>
      <c r="O1770" s="2">
        <v>0</v>
      </c>
      <c r="P1770" s="3">
        <v>4815.1559999999999</v>
      </c>
      <c r="Q1770" s="1">
        <v>46033</v>
      </c>
      <c r="R1770" s="1">
        <v>45992</v>
      </c>
      <c r="S1770" s="1">
        <v>46022</v>
      </c>
      <c r="V1770" s="8">
        <v>1</v>
      </c>
      <c r="W1770" t="s">
        <v>24</v>
      </c>
      <c r="X1770" t="s">
        <v>414</v>
      </c>
      <c r="Y1770" t="s">
        <v>10</v>
      </c>
      <c r="Z1770" t="s">
        <v>11</v>
      </c>
      <c r="AA1770">
        <v>62371</v>
      </c>
      <c r="AB1770">
        <v>19386270</v>
      </c>
      <c r="AC1770">
        <v>0</v>
      </c>
      <c r="AD1770" s="8"/>
    </row>
    <row r="1771" spans="1:30" x14ac:dyDescent="0.3">
      <c r="A1771" t="s">
        <v>1627</v>
      </c>
      <c r="B1771">
        <v>1363545</v>
      </c>
      <c r="D1771" t="s">
        <v>7</v>
      </c>
      <c r="E1771">
        <v>945923</v>
      </c>
      <c r="F1771">
        <v>9015884123</v>
      </c>
      <c r="G1771">
        <v>174</v>
      </c>
      <c r="H1771" t="s">
        <v>1412</v>
      </c>
      <c r="I1771">
        <v>0</v>
      </c>
      <c r="J1771" t="s">
        <v>1413</v>
      </c>
      <c r="K1771" t="s">
        <v>8</v>
      </c>
      <c r="L1771" t="s">
        <v>18</v>
      </c>
      <c r="M1771" t="s">
        <v>9</v>
      </c>
      <c r="N1771" t="s">
        <v>14</v>
      </c>
      <c r="O1771" s="2">
        <v>4.12</v>
      </c>
      <c r="P1771" s="3">
        <v>0</v>
      </c>
      <c r="Q1771" s="1">
        <v>46033</v>
      </c>
      <c r="R1771" s="1">
        <v>45992</v>
      </c>
      <c r="S1771" s="1">
        <v>46022</v>
      </c>
      <c r="V1771" s="8">
        <v>1</v>
      </c>
      <c r="W1771" t="s">
        <v>24</v>
      </c>
      <c r="X1771" t="s">
        <v>1414</v>
      </c>
      <c r="Y1771" t="s">
        <v>10</v>
      </c>
      <c r="Z1771" t="s">
        <v>11</v>
      </c>
      <c r="AA1771">
        <v>62371</v>
      </c>
      <c r="AB1771">
        <v>19619315</v>
      </c>
      <c r="AC1771">
        <v>0</v>
      </c>
      <c r="AD1771" s="8"/>
    </row>
    <row r="1772" spans="1:30" x14ac:dyDescent="0.3">
      <c r="A1772" t="s">
        <v>1627</v>
      </c>
      <c r="B1772">
        <v>1405517</v>
      </c>
      <c r="D1772" t="s">
        <v>7</v>
      </c>
      <c r="E1772">
        <v>946270</v>
      </c>
      <c r="F1772">
        <v>9015884123</v>
      </c>
      <c r="G1772">
        <v>309</v>
      </c>
      <c r="H1772" t="s">
        <v>1235</v>
      </c>
      <c r="I1772">
        <v>0</v>
      </c>
      <c r="J1772" t="s">
        <v>1236</v>
      </c>
      <c r="K1772" t="s">
        <v>8</v>
      </c>
      <c r="L1772" t="s">
        <v>67</v>
      </c>
      <c r="M1772" t="s">
        <v>9</v>
      </c>
      <c r="N1772" t="s">
        <v>14</v>
      </c>
      <c r="O1772" s="2">
        <v>315234.58</v>
      </c>
      <c r="P1772" s="3">
        <v>2213.2370000000001</v>
      </c>
      <c r="Q1772" s="1">
        <v>46033</v>
      </c>
      <c r="R1772" s="1">
        <v>45992</v>
      </c>
      <c r="S1772" s="1">
        <v>46022</v>
      </c>
      <c r="V1772" s="8">
        <v>1</v>
      </c>
      <c r="W1772" t="s">
        <v>24</v>
      </c>
      <c r="X1772" t="s">
        <v>1237</v>
      </c>
      <c r="Y1772" t="s">
        <v>10</v>
      </c>
      <c r="Z1772" t="s">
        <v>11</v>
      </c>
      <c r="AA1772">
        <v>62371</v>
      </c>
      <c r="AB1772">
        <v>19402884</v>
      </c>
      <c r="AC1772">
        <v>0</v>
      </c>
      <c r="AD1772" s="8"/>
    </row>
    <row r="1773" spans="1:30" x14ac:dyDescent="0.3">
      <c r="A1773" t="s">
        <v>1627</v>
      </c>
      <c r="B1773">
        <v>1364865</v>
      </c>
      <c r="D1773" t="s">
        <v>7</v>
      </c>
      <c r="E1773">
        <v>945934</v>
      </c>
      <c r="F1773">
        <v>9015884123</v>
      </c>
      <c r="G1773">
        <v>185</v>
      </c>
      <c r="H1773" t="s">
        <v>327</v>
      </c>
      <c r="I1773">
        <v>0</v>
      </c>
      <c r="J1773" t="s">
        <v>328</v>
      </c>
      <c r="K1773" t="s">
        <v>8</v>
      </c>
      <c r="L1773" t="s">
        <v>67</v>
      </c>
      <c r="M1773" t="s">
        <v>9</v>
      </c>
      <c r="N1773" t="s">
        <v>14</v>
      </c>
      <c r="O1773" s="2">
        <v>16510.23</v>
      </c>
      <c r="P1773" s="3">
        <v>115.917</v>
      </c>
      <c r="Q1773" s="1">
        <v>46033</v>
      </c>
      <c r="R1773" s="1">
        <v>45992</v>
      </c>
      <c r="S1773" s="1">
        <v>46022</v>
      </c>
      <c r="V1773" s="8">
        <v>1</v>
      </c>
      <c r="W1773" t="s">
        <v>24</v>
      </c>
      <c r="X1773" t="s">
        <v>329</v>
      </c>
      <c r="Y1773" t="s">
        <v>10</v>
      </c>
      <c r="Z1773" t="s">
        <v>11</v>
      </c>
      <c r="AA1773">
        <v>62371</v>
      </c>
      <c r="AB1773">
        <v>17031126</v>
      </c>
      <c r="AC1773">
        <v>0</v>
      </c>
      <c r="AD1773" s="8"/>
    </row>
    <row r="1774" spans="1:30" x14ac:dyDescent="0.3">
      <c r="A1774" t="s">
        <v>1627</v>
      </c>
      <c r="B1774">
        <v>1377789</v>
      </c>
      <c r="D1774" t="s">
        <v>7</v>
      </c>
      <c r="E1774">
        <v>945954</v>
      </c>
      <c r="F1774">
        <v>9015884123</v>
      </c>
      <c r="G1774">
        <v>195</v>
      </c>
      <c r="H1774" t="s">
        <v>1406</v>
      </c>
      <c r="I1774">
        <v>0</v>
      </c>
      <c r="J1774" t="s">
        <v>1407</v>
      </c>
      <c r="K1774" t="s">
        <v>8</v>
      </c>
      <c r="L1774" t="s">
        <v>67</v>
      </c>
      <c r="M1774" t="s">
        <v>9</v>
      </c>
      <c r="N1774" t="s">
        <v>14</v>
      </c>
      <c r="O1774" s="2">
        <v>1555566.14</v>
      </c>
      <c r="P1774" s="3">
        <v>14403.957</v>
      </c>
      <c r="Q1774" s="1">
        <v>46033</v>
      </c>
      <c r="R1774" s="1">
        <v>45992</v>
      </c>
      <c r="S1774" s="1">
        <v>46022</v>
      </c>
      <c r="V1774" s="8">
        <v>1</v>
      </c>
      <c r="W1774" t="s">
        <v>24</v>
      </c>
      <c r="X1774" t="s">
        <v>1408</v>
      </c>
      <c r="Y1774" t="s">
        <v>10</v>
      </c>
      <c r="Z1774" t="s">
        <v>11</v>
      </c>
      <c r="AA1774">
        <v>62371</v>
      </c>
      <c r="AB1774">
        <v>17031125</v>
      </c>
      <c r="AC1774">
        <v>1</v>
      </c>
      <c r="AD1774" s="8"/>
    </row>
    <row r="1775" spans="1:30" x14ac:dyDescent="0.3">
      <c r="A1775" t="s">
        <v>1627</v>
      </c>
      <c r="B1775">
        <v>1406176</v>
      </c>
      <c r="D1775" t="s">
        <v>7</v>
      </c>
      <c r="E1775">
        <v>946283</v>
      </c>
      <c r="F1775">
        <v>9015884123</v>
      </c>
      <c r="G1775">
        <v>314</v>
      </c>
      <c r="H1775" t="s">
        <v>1244</v>
      </c>
      <c r="I1775">
        <v>0</v>
      </c>
      <c r="J1775" t="s">
        <v>1245</v>
      </c>
      <c r="K1775" t="s">
        <v>8</v>
      </c>
      <c r="L1775" t="s">
        <v>15</v>
      </c>
      <c r="M1775" t="s">
        <v>9</v>
      </c>
      <c r="N1775" t="s">
        <v>14</v>
      </c>
      <c r="O1775" s="2">
        <v>0</v>
      </c>
      <c r="P1775" s="3">
        <v>3342.962</v>
      </c>
      <c r="Q1775" s="1">
        <v>46033</v>
      </c>
      <c r="R1775" s="1">
        <v>45992</v>
      </c>
      <c r="S1775" s="1">
        <v>46022</v>
      </c>
      <c r="V1775" s="8">
        <v>1</v>
      </c>
      <c r="W1775" t="s">
        <v>24</v>
      </c>
      <c r="X1775" t="s">
        <v>1246</v>
      </c>
      <c r="Y1775" t="s">
        <v>10</v>
      </c>
      <c r="Z1775" t="s">
        <v>11</v>
      </c>
      <c r="AA1775">
        <v>62371</v>
      </c>
      <c r="AB1775">
        <v>18897363</v>
      </c>
      <c r="AC1775">
        <v>0</v>
      </c>
      <c r="AD1775" s="8"/>
    </row>
    <row r="1776" spans="1:30" x14ac:dyDescent="0.3">
      <c r="A1776" t="s">
        <v>1627</v>
      </c>
      <c r="B1776">
        <v>1403846</v>
      </c>
      <c r="D1776" t="s">
        <v>7</v>
      </c>
      <c r="E1776">
        <v>946130</v>
      </c>
      <c r="F1776">
        <v>9015884123</v>
      </c>
      <c r="G1776">
        <v>263</v>
      </c>
      <c r="H1776" t="s">
        <v>1618</v>
      </c>
      <c r="I1776">
        <v>0</v>
      </c>
      <c r="J1776" t="s">
        <v>1619</v>
      </c>
      <c r="K1776" t="s">
        <v>8</v>
      </c>
      <c r="L1776" t="s">
        <v>67</v>
      </c>
      <c r="M1776" t="s">
        <v>9</v>
      </c>
      <c r="N1776" t="s">
        <v>14</v>
      </c>
      <c r="O1776" s="2">
        <v>270266.40000000002</v>
      </c>
      <c r="P1776" s="3">
        <v>1897.519</v>
      </c>
      <c r="Q1776" s="1">
        <v>46033</v>
      </c>
      <c r="R1776" s="1">
        <v>45992</v>
      </c>
      <c r="S1776" s="1">
        <v>46022</v>
      </c>
      <c r="V1776" s="8">
        <v>1</v>
      </c>
      <c r="W1776" t="s">
        <v>24</v>
      </c>
      <c r="X1776" t="s">
        <v>1620</v>
      </c>
      <c r="Y1776" t="s">
        <v>45</v>
      </c>
      <c r="Z1776" t="s">
        <v>11</v>
      </c>
      <c r="AA1776">
        <v>62371</v>
      </c>
      <c r="AB1776">
        <v>17403463</v>
      </c>
      <c r="AC1776">
        <v>0</v>
      </c>
      <c r="AD1776" s="8"/>
    </row>
    <row r="1777" spans="1:30" x14ac:dyDescent="0.3">
      <c r="A1777" t="s">
        <v>1627</v>
      </c>
      <c r="B1777">
        <v>1360642</v>
      </c>
      <c r="D1777" t="s">
        <v>7</v>
      </c>
      <c r="E1777">
        <v>945492</v>
      </c>
      <c r="F1777">
        <v>9015884123</v>
      </c>
      <c r="G1777">
        <v>144</v>
      </c>
      <c r="H1777" t="s">
        <v>340</v>
      </c>
      <c r="I1777">
        <v>0</v>
      </c>
      <c r="J1777" t="s">
        <v>341</v>
      </c>
      <c r="K1777" t="s">
        <v>8</v>
      </c>
      <c r="L1777" t="s">
        <v>19</v>
      </c>
      <c r="M1777" t="s">
        <v>9</v>
      </c>
      <c r="N1777" t="s">
        <v>14</v>
      </c>
      <c r="O1777" s="2">
        <v>4674.03</v>
      </c>
      <c r="P1777" s="3">
        <v>23.655000000000001</v>
      </c>
      <c r="Q1777" s="1">
        <v>46033</v>
      </c>
      <c r="R1777" s="1">
        <v>45992</v>
      </c>
      <c r="S1777" s="1">
        <v>46022</v>
      </c>
      <c r="V1777" s="8">
        <v>1</v>
      </c>
      <c r="W1777" t="s">
        <v>24</v>
      </c>
      <c r="X1777" t="s">
        <v>342</v>
      </c>
      <c r="Y1777" t="s">
        <v>45</v>
      </c>
      <c r="Z1777" t="s">
        <v>11</v>
      </c>
      <c r="AA1777">
        <v>62371</v>
      </c>
      <c r="AB1777">
        <v>18375411</v>
      </c>
      <c r="AC1777">
        <v>0</v>
      </c>
      <c r="AD1777" s="8"/>
    </row>
    <row r="1778" spans="1:30" x14ac:dyDescent="0.3">
      <c r="A1778" t="s">
        <v>1627</v>
      </c>
      <c r="B1778">
        <v>1360642</v>
      </c>
      <c r="D1778" t="s">
        <v>7</v>
      </c>
      <c r="E1778">
        <v>945492</v>
      </c>
      <c r="F1778">
        <v>9015884123</v>
      </c>
      <c r="G1778">
        <v>144</v>
      </c>
      <c r="H1778" t="s">
        <v>340</v>
      </c>
      <c r="I1778">
        <v>0</v>
      </c>
      <c r="J1778" t="s">
        <v>341</v>
      </c>
      <c r="K1778" t="s">
        <v>8</v>
      </c>
      <c r="L1778" t="s">
        <v>15</v>
      </c>
      <c r="M1778" t="s">
        <v>9</v>
      </c>
      <c r="N1778" t="s">
        <v>14</v>
      </c>
      <c r="O1778" s="2">
        <v>0</v>
      </c>
      <c r="P1778" s="3">
        <v>4392.7619999999997</v>
      </c>
      <c r="Q1778" s="1">
        <v>46033</v>
      </c>
      <c r="R1778" s="1">
        <v>45992</v>
      </c>
      <c r="S1778" s="1">
        <v>46022</v>
      </c>
      <c r="V1778" s="8">
        <v>1</v>
      </c>
      <c r="W1778" t="s">
        <v>24</v>
      </c>
      <c r="X1778" t="s">
        <v>342</v>
      </c>
      <c r="Y1778" t="s">
        <v>45</v>
      </c>
      <c r="Z1778" t="s">
        <v>11</v>
      </c>
      <c r="AA1778">
        <v>62371</v>
      </c>
      <c r="AB1778">
        <v>18375411</v>
      </c>
      <c r="AC1778">
        <v>0</v>
      </c>
      <c r="AD1778" s="8"/>
    </row>
    <row r="1779" spans="1:30" x14ac:dyDescent="0.3">
      <c r="A1779" t="s">
        <v>1627</v>
      </c>
      <c r="B1779">
        <v>1406172</v>
      </c>
      <c r="D1779" t="s">
        <v>7</v>
      </c>
      <c r="E1779">
        <v>946279</v>
      </c>
      <c r="F1779">
        <v>9015884123</v>
      </c>
      <c r="G1779">
        <v>312</v>
      </c>
      <c r="H1779" t="s">
        <v>904</v>
      </c>
      <c r="I1779">
        <v>0</v>
      </c>
      <c r="J1779" t="s">
        <v>905</v>
      </c>
      <c r="K1779" t="s">
        <v>8</v>
      </c>
      <c r="L1779" t="s">
        <v>67</v>
      </c>
      <c r="M1779" t="s">
        <v>9</v>
      </c>
      <c r="N1779" t="s">
        <v>14</v>
      </c>
      <c r="O1779" s="2">
        <v>4706575.8499999996</v>
      </c>
      <c r="P1779" s="3">
        <v>43581.120999999999</v>
      </c>
      <c r="Q1779" s="1">
        <v>46033</v>
      </c>
      <c r="R1779" s="1">
        <v>45992</v>
      </c>
      <c r="S1779" s="1">
        <v>46022</v>
      </c>
      <c r="V1779" s="8">
        <v>1</v>
      </c>
      <c r="W1779" t="s">
        <v>24</v>
      </c>
      <c r="X1779" t="s">
        <v>906</v>
      </c>
      <c r="Y1779" t="s">
        <v>10</v>
      </c>
      <c r="Z1779" t="s">
        <v>11</v>
      </c>
      <c r="AA1779">
        <v>62371</v>
      </c>
      <c r="AB1779">
        <v>18171106</v>
      </c>
      <c r="AC1779">
        <v>1</v>
      </c>
      <c r="AD1779" s="8"/>
    </row>
    <row r="1780" spans="1:30" x14ac:dyDescent="0.3">
      <c r="A1780" t="s">
        <v>1627</v>
      </c>
      <c r="B1780">
        <v>1383085</v>
      </c>
      <c r="D1780" t="s">
        <v>7</v>
      </c>
      <c r="E1780">
        <v>946006</v>
      </c>
      <c r="F1780">
        <v>9015884123</v>
      </c>
      <c r="G1780">
        <v>220</v>
      </c>
      <c r="H1780" t="s">
        <v>880</v>
      </c>
      <c r="I1780">
        <v>0</v>
      </c>
      <c r="J1780" t="s">
        <v>881</v>
      </c>
      <c r="K1780" t="s">
        <v>8</v>
      </c>
      <c r="L1780" t="s">
        <v>18</v>
      </c>
      <c r="M1780" t="s">
        <v>9</v>
      </c>
      <c r="N1780" t="s">
        <v>14</v>
      </c>
      <c r="O1780" s="2">
        <v>2.06</v>
      </c>
      <c r="P1780" s="3">
        <v>0</v>
      </c>
      <c r="Q1780" s="1">
        <v>46033</v>
      </c>
      <c r="R1780" s="1">
        <v>45992</v>
      </c>
      <c r="S1780" s="1">
        <v>46022</v>
      </c>
      <c r="V1780" s="8">
        <v>1</v>
      </c>
      <c r="W1780" t="s">
        <v>24</v>
      </c>
      <c r="X1780" t="s">
        <v>882</v>
      </c>
      <c r="Y1780" t="s">
        <v>10</v>
      </c>
      <c r="Z1780" t="s">
        <v>11</v>
      </c>
      <c r="AA1780">
        <v>62371</v>
      </c>
      <c r="AB1780">
        <v>18640898</v>
      </c>
      <c r="AC1780">
        <v>0</v>
      </c>
      <c r="AD1780" s="8"/>
    </row>
    <row r="1781" spans="1:30" x14ac:dyDescent="0.3">
      <c r="A1781" t="s">
        <v>1627</v>
      </c>
      <c r="B1781">
        <v>1383080</v>
      </c>
      <c r="D1781" t="s">
        <v>7</v>
      </c>
      <c r="E1781">
        <v>946001</v>
      </c>
      <c r="F1781">
        <v>9015884123</v>
      </c>
      <c r="G1781">
        <v>218</v>
      </c>
      <c r="H1781" t="s">
        <v>363</v>
      </c>
      <c r="I1781">
        <v>0</v>
      </c>
      <c r="J1781" t="s">
        <v>364</v>
      </c>
      <c r="K1781" t="s">
        <v>8</v>
      </c>
      <c r="L1781" t="s">
        <v>15</v>
      </c>
      <c r="M1781" t="s">
        <v>9</v>
      </c>
      <c r="N1781" t="s">
        <v>14</v>
      </c>
      <c r="O1781" s="2">
        <v>0</v>
      </c>
      <c r="P1781" s="3">
        <v>3231.654</v>
      </c>
      <c r="Q1781" s="1">
        <v>46033</v>
      </c>
      <c r="R1781" s="1">
        <v>45992</v>
      </c>
      <c r="S1781" s="1">
        <v>46022</v>
      </c>
      <c r="V1781" s="8">
        <v>1</v>
      </c>
      <c r="W1781" t="s">
        <v>24</v>
      </c>
      <c r="X1781" t="s">
        <v>365</v>
      </c>
      <c r="Y1781" t="s">
        <v>10</v>
      </c>
      <c r="Z1781" t="s">
        <v>11</v>
      </c>
      <c r="AA1781">
        <v>62371</v>
      </c>
      <c r="AB1781">
        <v>19605571</v>
      </c>
      <c r="AC1781">
        <v>1</v>
      </c>
      <c r="AD1781" s="8"/>
    </row>
    <row r="1782" spans="1:30" x14ac:dyDescent="0.3">
      <c r="A1782" t="s">
        <v>1627</v>
      </c>
      <c r="B1782">
        <v>1383086</v>
      </c>
      <c r="D1782" t="s">
        <v>7</v>
      </c>
      <c r="E1782">
        <v>946008</v>
      </c>
      <c r="F1782">
        <v>9015884123</v>
      </c>
      <c r="G1782">
        <v>221</v>
      </c>
      <c r="H1782" t="s">
        <v>883</v>
      </c>
      <c r="I1782">
        <v>0</v>
      </c>
      <c r="J1782" t="s">
        <v>884</v>
      </c>
      <c r="K1782" t="s">
        <v>8</v>
      </c>
      <c r="L1782" t="s">
        <v>18</v>
      </c>
      <c r="M1782" t="s">
        <v>9</v>
      </c>
      <c r="N1782" t="s">
        <v>14</v>
      </c>
      <c r="O1782" s="2">
        <v>-1.99</v>
      </c>
      <c r="P1782" s="3">
        <v>0</v>
      </c>
      <c r="Q1782" s="1">
        <v>46033</v>
      </c>
      <c r="R1782" s="1">
        <v>45992</v>
      </c>
      <c r="S1782" s="1">
        <v>46022</v>
      </c>
      <c r="V1782" s="8">
        <v>1</v>
      </c>
      <c r="W1782" t="s">
        <v>24</v>
      </c>
      <c r="X1782" t="s">
        <v>885</v>
      </c>
      <c r="Y1782" t="s">
        <v>10</v>
      </c>
      <c r="Z1782" t="s">
        <v>11</v>
      </c>
      <c r="AA1782">
        <v>62371</v>
      </c>
      <c r="AB1782">
        <v>19669186</v>
      </c>
      <c r="AC1782">
        <v>0</v>
      </c>
      <c r="AD1782" s="8"/>
    </row>
    <row r="1783" spans="1:30" x14ac:dyDescent="0.3">
      <c r="A1783" t="s">
        <v>1627</v>
      </c>
      <c r="B1783">
        <v>1395781</v>
      </c>
      <c r="D1783" t="s">
        <v>7</v>
      </c>
      <c r="E1783">
        <v>946055</v>
      </c>
      <c r="F1783">
        <v>9015884123</v>
      </c>
      <c r="G1783">
        <v>239</v>
      </c>
      <c r="H1783" t="s">
        <v>1226</v>
      </c>
      <c r="I1783">
        <v>0</v>
      </c>
      <c r="J1783" t="s">
        <v>1227</v>
      </c>
      <c r="K1783" t="s">
        <v>8</v>
      </c>
      <c r="L1783" t="s">
        <v>18</v>
      </c>
      <c r="M1783" t="s">
        <v>9</v>
      </c>
      <c r="N1783" t="s">
        <v>14</v>
      </c>
      <c r="O1783" s="2">
        <v>-4.26</v>
      </c>
      <c r="P1783" s="3">
        <v>0</v>
      </c>
      <c r="Q1783" s="1">
        <v>46033</v>
      </c>
      <c r="R1783" s="1">
        <v>45992</v>
      </c>
      <c r="S1783" s="1">
        <v>46022</v>
      </c>
      <c r="V1783" s="8">
        <v>1</v>
      </c>
      <c r="W1783" t="s">
        <v>24</v>
      </c>
      <c r="X1783" t="s">
        <v>1228</v>
      </c>
      <c r="Y1783" t="s">
        <v>10</v>
      </c>
      <c r="Z1783" t="s">
        <v>11</v>
      </c>
      <c r="AA1783">
        <v>62371</v>
      </c>
      <c r="AB1783">
        <v>21388849</v>
      </c>
      <c r="AC1783">
        <v>1</v>
      </c>
      <c r="AD1783" s="8"/>
    </row>
    <row r="1784" spans="1:30" x14ac:dyDescent="0.3">
      <c r="A1784" t="s">
        <v>1627</v>
      </c>
      <c r="B1784">
        <v>1395801</v>
      </c>
      <c r="D1784" t="s">
        <v>7</v>
      </c>
      <c r="E1784">
        <v>946086</v>
      </c>
      <c r="F1784">
        <v>9015884123</v>
      </c>
      <c r="G1784">
        <v>248</v>
      </c>
      <c r="H1784" t="s">
        <v>376</v>
      </c>
      <c r="I1784">
        <v>0</v>
      </c>
      <c r="J1784" t="s">
        <v>377</v>
      </c>
      <c r="K1784" t="s">
        <v>8</v>
      </c>
      <c r="L1784" t="s">
        <v>19</v>
      </c>
      <c r="M1784" t="s">
        <v>9</v>
      </c>
      <c r="N1784" t="s">
        <v>14</v>
      </c>
      <c r="O1784" s="2">
        <v>10781.99</v>
      </c>
      <c r="P1784" s="3">
        <v>54.567</v>
      </c>
      <c r="Q1784" s="1">
        <v>46033</v>
      </c>
      <c r="R1784" s="1">
        <v>45992</v>
      </c>
      <c r="S1784" s="1">
        <v>46022</v>
      </c>
      <c r="V1784" s="8">
        <v>1</v>
      </c>
      <c r="W1784" t="s">
        <v>24</v>
      </c>
      <c r="X1784" t="s">
        <v>378</v>
      </c>
      <c r="Y1784" t="s">
        <v>10</v>
      </c>
      <c r="Z1784" t="s">
        <v>11</v>
      </c>
      <c r="AA1784">
        <v>62371</v>
      </c>
      <c r="AB1784">
        <v>19392498</v>
      </c>
      <c r="AC1784">
        <v>0</v>
      </c>
      <c r="AD1784" s="8"/>
    </row>
    <row r="1785" spans="1:30" x14ac:dyDescent="0.3">
      <c r="A1785" t="s">
        <v>1627</v>
      </c>
      <c r="B1785">
        <v>1395834</v>
      </c>
      <c r="D1785" t="s">
        <v>7</v>
      </c>
      <c r="E1785">
        <v>946089</v>
      </c>
      <c r="F1785">
        <v>9015884123</v>
      </c>
      <c r="G1785">
        <v>249</v>
      </c>
      <c r="H1785" t="s">
        <v>1223</v>
      </c>
      <c r="I1785">
        <v>0</v>
      </c>
      <c r="J1785" t="s">
        <v>1224</v>
      </c>
      <c r="K1785" t="s">
        <v>8</v>
      </c>
      <c r="L1785" t="s">
        <v>19</v>
      </c>
      <c r="M1785" t="s">
        <v>9</v>
      </c>
      <c r="N1785" t="s">
        <v>14</v>
      </c>
      <c r="O1785" s="2">
        <v>305.48</v>
      </c>
      <c r="P1785" s="3">
        <v>1.546</v>
      </c>
      <c r="Q1785" s="1">
        <v>46033</v>
      </c>
      <c r="R1785" s="1">
        <v>45992</v>
      </c>
      <c r="S1785" s="1">
        <v>46022</v>
      </c>
      <c r="V1785" s="8">
        <v>1</v>
      </c>
      <c r="W1785" t="s">
        <v>24</v>
      </c>
      <c r="X1785" t="s">
        <v>1225</v>
      </c>
      <c r="Y1785" t="s">
        <v>10</v>
      </c>
      <c r="Z1785" t="s">
        <v>11</v>
      </c>
      <c r="AA1785">
        <v>62371</v>
      </c>
      <c r="AB1785">
        <v>17682335</v>
      </c>
      <c r="AC1785">
        <v>0</v>
      </c>
      <c r="AD1785" s="8"/>
    </row>
    <row r="1786" spans="1:30" x14ac:dyDescent="0.3">
      <c r="A1786" t="s">
        <v>1627</v>
      </c>
      <c r="B1786">
        <v>1407512</v>
      </c>
      <c r="D1786" t="s">
        <v>7</v>
      </c>
      <c r="E1786">
        <v>946321</v>
      </c>
      <c r="F1786">
        <v>9015884123</v>
      </c>
      <c r="G1786">
        <v>333</v>
      </c>
      <c r="H1786" t="s">
        <v>1262</v>
      </c>
      <c r="I1786">
        <v>0</v>
      </c>
      <c r="J1786" t="s">
        <v>1263</v>
      </c>
      <c r="K1786" t="s">
        <v>8</v>
      </c>
      <c r="L1786" t="s">
        <v>15</v>
      </c>
      <c r="M1786" t="s">
        <v>9</v>
      </c>
      <c r="N1786" t="s">
        <v>14</v>
      </c>
      <c r="O1786" s="2">
        <v>0</v>
      </c>
      <c r="P1786" s="3">
        <v>393.57</v>
      </c>
      <c r="Q1786" s="1">
        <v>46033</v>
      </c>
      <c r="R1786" s="1">
        <v>45992</v>
      </c>
      <c r="S1786" s="1">
        <v>46022</v>
      </c>
      <c r="V1786" s="8">
        <v>1</v>
      </c>
      <c r="W1786" t="s">
        <v>24</v>
      </c>
      <c r="X1786" t="s">
        <v>1264</v>
      </c>
      <c r="Y1786" t="s">
        <v>10</v>
      </c>
      <c r="Z1786" t="s">
        <v>11</v>
      </c>
      <c r="AA1786">
        <v>62371</v>
      </c>
      <c r="AB1786">
        <v>18543225</v>
      </c>
      <c r="AC1786">
        <v>0</v>
      </c>
      <c r="AD1786" s="8"/>
    </row>
    <row r="1787" spans="1:30" x14ac:dyDescent="0.3">
      <c r="A1787" t="s">
        <v>1627</v>
      </c>
      <c r="B1787">
        <v>1407517</v>
      </c>
      <c r="D1787" t="s">
        <v>7</v>
      </c>
      <c r="E1787">
        <v>946323</v>
      </c>
      <c r="F1787">
        <v>9015884123</v>
      </c>
      <c r="G1787">
        <v>334</v>
      </c>
      <c r="H1787" t="s">
        <v>910</v>
      </c>
      <c r="I1787">
        <v>0</v>
      </c>
      <c r="J1787" t="s">
        <v>911</v>
      </c>
      <c r="K1787" t="s">
        <v>8</v>
      </c>
      <c r="L1787" t="s">
        <v>15</v>
      </c>
      <c r="M1787" t="s">
        <v>9</v>
      </c>
      <c r="N1787" t="s">
        <v>14</v>
      </c>
      <c r="O1787" s="2">
        <v>0</v>
      </c>
      <c r="P1787" s="3">
        <v>1632.633</v>
      </c>
      <c r="Q1787" s="1">
        <v>46033</v>
      </c>
      <c r="R1787" s="1">
        <v>45992</v>
      </c>
      <c r="S1787" s="1">
        <v>46022</v>
      </c>
      <c r="V1787" s="8">
        <v>1</v>
      </c>
      <c r="W1787" t="s">
        <v>24</v>
      </c>
      <c r="X1787" t="s">
        <v>912</v>
      </c>
      <c r="Y1787" t="s">
        <v>10</v>
      </c>
      <c r="Z1787" t="s">
        <v>11</v>
      </c>
      <c r="AA1787">
        <v>62371</v>
      </c>
      <c r="AB1787">
        <v>19379503</v>
      </c>
      <c r="AC1787">
        <v>0</v>
      </c>
      <c r="AD1787" s="8"/>
    </row>
    <row r="1788" spans="1:30" x14ac:dyDescent="0.3">
      <c r="A1788" t="s">
        <v>1627</v>
      </c>
      <c r="B1788">
        <v>1403606</v>
      </c>
      <c r="D1788" t="s">
        <v>7</v>
      </c>
      <c r="E1788">
        <v>946110</v>
      </c>
      <c r="F1788">
        <v>9015884123</v>
      </c>
      <c r="G1788">
        <v>257</v>
      </c>
      <c r="H1788" t="s">
        <v>1229</v>
      </c>
      <c r="I1788">
        <v>0</v>
      </c>
      <c r="J1788" t="s">
        <v>1230</v>
      </c>
      <c r="K1788" t="s">
        <v>8</v>
      </c>
      <c r="L1788" t="s">
        <v>67</v>
      </c>
      <c r="M1788" t="s">
        <v>9</v>
      </c>
      <c r="N1788" t="s">
        <v>14</v>
      </c>
      <c r="O1788" s="2">
        <v>310000.18</v>
      </c>
      <c r="P1788" s="3">
        <v>2870.4850000000001</v>
      </c>
      <c r="Q1788" s="1">
        <v>46033</v>
      </c>
      <c r="R1788" s="1">
        <v>45992</v>
      </c>
      <c r="S1788" s="1">
        <v>46022</v>
      </c>
      <c r="V1788" s="8">
        <v>1</v>
      </c>
      <c r="W1788" t="s">
        <v>24</v>
      </c>
      <c r="X1788" t="s">
        <v>1231</v>
      </c>
      <c r="Y1788" t="s">
        <v>10</v>
      </c>
      <c r="Z1788" t="s">
        <v>11</v>
      </c>
      <c r="AA1788">
        <v>62371</v>
      </c>
      <c r="AB1788">
        <v>17045364</v>
      </c>
      <c r="AC1788">
        <v>1</v>
      </c>
      <c r="AD1788" s="8"/>
    </row>
    <row r="1789" spans="1:30" x14ac:dyDescent="0.3">
      <c r="A1789" t="s">
        <v>1627</v>
      </c>
      <c r="B1789">
        <v>1405519</v>
      </c>
      <c r="D1789" t="s">
        <v>7</v>
      </c>
      <c r="E1789">
        <v>946274</v>
      </c>
      <c r="F1789">
        <v>9015884123</v>
      </c>
      <c r="G1789">
        <v>310</v>
      </c>
      <c r="H1789" t="s">
        <v>1609</v>
      </c>
      <c r="I1789">
        <v>0</v>
      </c>
      <c r="J1789" t="s">
        <v>1610</v>
      </c>
      <c r="K1789" t="s">
        <v>8</v>
      </c>
      <c r="L1789" t="s">
        <v>15</v>
      </c>
      <c r="M1789" t="s">
        <v>9</v>
      </c>
      <c r="N1789" t="s">
        <v>14</v>
      </c>
      <c r="O1789" s="2">
        <v>0</v>
      </c>
      <c r="P1789" s="3">
        <v>3140.1509999999998</v>
      </c>
      <c r="Q1789" s="1">
        <v>46033</v>
      </c>
      <c r="R1789" s="1">
        <v>45992</v>
      </c>
      <c r="S1789" s="1">
        <v>46022</v>
      </c>
      <c r="V1789" s="8">
        <v>1</v>
      </c>
      <c r="W1789" t="s">
        <v>24</v>
      </c>
      <c r="X1789" t="s">
        <v>1611</v>
      </c>
      <c r="Y1789" t="s">
        <v>10</v>
      </c>
      <c r="Z1789" t="s">
        <v>11</v>
      </c>
      <c r="AA1789">
        <v>62371</v>
      </c>
      <c r="AB1789">
        <v>19276276</v>
      </c>
      <c r="AC1789">
        <v>0</v>
      </c>
      <c r="AD1789" s="8"/>
    </row>
    <row r="1790" spans="1:30" x14ac:dyDescent="0.3">
      <c r="A1790" t="s">
        <v>1627</v>
      </c>
      <c r="B1790">
        <v>1405519</v>
      </c>
      <c r="D1790" t="s">
        <v>7</v>
      </c>
      <c r="E1790">
        <v>946274</v>
      </c>
      <c r="F1790">
        <v>9015884123</v>
      </c>
      <c r="G1790">
        <v>310</v>
      </c>
      <c r="H1790" t="s">
        <v>1609</v>
      </c>
      <c r="I1790">
        <v>0</v>
      </c>
      <c r="J1790" t="s">
        <v>1610</v>
      </c>
      <c r="K1790" t="s">
        <v>8</v>
      </c>
      <c r="L1790" t="s">
        <v>18</v>
      </c>
      <c r="M1790" t="s">
        <v>9</v>
      </c>
      <c r="N1790" t="s">
        <v>14</v>
      </c>
      <c r="O1790" s="2">
        <v>3.71</v>
      </c>
      <c r="P1790" s="3">
        <v>0</v>
      </c>
      <c r="Q1790" s="1">
        <v>46033</v>
      </c>
      <c r="R1790" s="1">
        <v>45992</v>
      </c>
      <c r="S1790" s="1">
        <v>46022</v>
      </c>
      <c r="V1790" s="8">
        <v>1</v>
      </c>
      <c r="W1790" t="s">
        <v>24</v>
      </c>
      <c r="X1790" t="s">
        <v>1611</v>
      </c>
      <c r="Y1790" t="s">
        <v>10</v>
      </c>
      <c r="Z1790" t="s">
        <v>11</v>
      </c>
      <c r="AA1790">
        <v>62371</v>
      </c>
      <c r="AB1790">
        <v>19276276</v>
      </c>
      <c r="AC1790">
        <v>0</v>
      </c>
      <c r="AD1790" s="8"/>
    </row>
    <row r="1791" spans="1:30" x14ac:dyDescent="0.3">
      <c r="A1791" t="s">
        <v>1627</v>
      </c>
      <c r="B1791">
        <v>1403799</v>
      </c>
      <c r="D1791" t="s">
        <v>7</v>
      </c>
      <c r="E1791">
        <v>946185</v>
      </c>
      <c r="F1791">
        <v>9015884123</v>
      </c>
      <c r="G1791">
        <v>279</v>
      </c>
      <c r="H1791" t="s">
        <v>397</v>
      </c>
      <c r="I1791">
        <v>0</v>
      </c>
      <c r="J1791" t="s">
        <v>398</v>
      </c>
      <c r="K1791" t="s">
        <v>8</v>
      </c>
      <c r="L1791" t="s">
        <v>15</v>
      </c>
      <c r="M1791" t="s">
        <v>9</v>
      </c>
      <c r="N1791" t="s">
        <v>14</v>
      </c>
      <c r="O1791" s="2">
        <v>0</v>
      </c>
      <c r="P1791" s="3">
        <v>7378.2719999999999</v>
      </c>
      <c r="Q1791" s="1">
        <v>46033</v>
      </c>
      <c r="R1791" s="1">
        <v>45992</v>
      </c>
      <c r="S1791" s="1">
        <v>46022</v>
      </c>
      <c r="V1791" s="8">
        <v>1</v>
      </c>
      <c r="W1791" t="s">
        <v>24</v>
      </c>
      <c r="X1791" t="s">
        <v>399</v>
      </c>
      <c r="Y1791" t="s">
        <v>10</v>
      </c>
      <c r="Z1791" t="s">
        <v>11</v>
      </c>
      <c r="AA1791">
        <v>62371</v>
      </c>
      <c r="AB1791">
        <v>19383300</v>
      </c>
      <c r="AC1791">
        <v>0</v>
      </c>
      <c r="AD1791" s="8"/>
    </row>
    <row r="1792" spans="1:30" x14ac:dyDescent="0.3">
      <c r="A1792" t="s">
        <v>1627</v>
      </c>
      <c r="B1792">
        <v>1403799</v>
      </c>
      <c r="D1792" t="s">
        <v>7</v>
      </c>
      <c r="E1792">
        <v>946185</v>
      </c>
      <c r="F1792">
        <v>9015884123</v>
      </c>
      <c r="G1792">
        <v>279</v>
      </c>
      <c r="H1792" t="s">
        <v>397</v>
      </c>
      <c r="I1792">
        <v>0</v>
      </c>
      <c r="J1792" t="s">
        <v>398</v>
      </c>
      <c r="K1792" t="s">
        <v>8</v>
      </c>
      <c r="L1792" t="s">
        <v>67</v>
      </c>
      <c r="M1792" t="s">
        <v>9</v>
      </c>
      <c r="N1792" t="s">
        <v>14</v>
      </c>
      <c r="O1792" s="2">
        <v>1050898.05</v>
      </c>
      <c r="P1792" s="3">
        <v>7378.2719999999999</v>
      </c>
      <c r="Q1792" s="1">
        <v>46033</v>
      </c>
      <c r="R1792" s="1">
        <v>45992</v>
      </c>
      <c r="S1792" s="1">
        <v>46022</v>
      </c>
      <c r="V1792" s="8">
        <v>1</v>
      </c>
      <c r="W1792" t="s">
        <v>24</v>
      </c>
      <c r="X1792" t="s">
        <v>399</v>
      </c>
      <c r="Y1792" t="s">
        <v>10</v>
      </c>
      <c r="Z1792" t="s">
        <v>11</v>
      </c>
      <c r="AA1792">
        <v>62371</v>
      </c>
      <c r="AB1792">
        <v>19383300</v>
      </c>
      <c r="AC1792">
        <v>0</v>
      </c>
      <c r="AD1792" s="8"/>
    </row>
    <row r="1793" spans="1:30" x14ac:dyDescent="0.3">
      <c r="A1793" t="s">
        <v>1627</v>
      </c>
      <c r="B1793">
        <v>1403801</v>
      </c>
      <c r="D1793" t="s">
        <v>7</v>
      </c>
      <c r="E1793">
        <v>946188</v>
      </c>
      <c r="F1793">
        <v>9015884123</v>
      </c>
      <c r="G1793">
        <v>280</v>
      </c>
      <c r="H1793" t="s">
        <v>400</v>
      </c>
      <c r="I1793">
        <v>0</v>
      </c>
      <c r="J1793" t="s">
        <v>401</v>
      </c>
      <c r="K1793" t="s">
        <v>8</v>
      </c>
      <c r="L1793" t="s">
        <v>67</v>
      </c>
      <c r="M1793" t="s">
        <v>9</v>
      </c>
      <c r="N1793" t="s">
        <v>14</v>
      </c>
      <c r="O1793" s="2">
        <v>436989.68</v>
      </c>
      <c r="P1793" s="3">
        <v>4046.36</v>
      </c>
      <c r="Q1793" s="1">
        <v>46033</v>
      </c>
      <c r="R1793" s="1">
        <v>45992</v>
      </c>
      <c r="S1793" s="1">
        <v>46022</v>
      </c>
      <c r="V1793" s="8">
        <v>1</v>
      </c>
      <c r="W1793" t="s">
        <v>24</v>
      </c>
      <c r="X1793" t="s">
        <v>402</v>
      </c>
      <c r="Y1793" t="s">
        <v>10</v>
      </c>
      <c r="Z1793" t="s">
        <v>11</v>
      </c>
      <c r="AA1793">
        <v>62371</v>
      </c>
      <c r="AB1793">
        <v>18543934</v>
      </c>
      <c r="AC1793">
        <v>1</v>
      </c>
      <c r="AD1793" s="8"/>
    </row>
    <row r="1794" spans="1:30" x14ac:dyDescent="0.3">
      <c r="A1794" t="s">
        <v>1627</v>
      </c>
      <c r="B1794">
        <v>1403804</v>
      </c>
      <c r="D1794" t="s">
        <v>7</v>
      </c>
      <c r="E1794">
        <v>946197</v>
      </c>
      <c r="F1794">
        <v>9015884123</v>
      </c>
      <c r="G1794">
        <v>284</v>
      </c>
      <c r="H1794" t="s">
        <v>409</v>
      </c>
      <c r="I1794">
        <v>0</v>
      </c>
      <c r="J1794" t="s">
        <v>410</v>
      </c>
      <c r="K1794" t="s">
        <v>8</v>
      </c>
      <c r="L1794" t="s">
        <v>18</v>
      </c>
      <c r="M1794" t="s">
        <v>9</v>
      </c>
      <c r="N1794" t="s">
        <v>14</v>
      </c>
      <c r="O1794" s="2">
        <v>0</v>
      </c>
      <c r="P1794" s="3">
        <v>0</v>
      </c>
      <c r="Q1794" s="1">
        <v>46033</v>
      </c>
      <c r="R1794" s="1">
        <v>45992</v>
      </c>
      <c r="S1794" s="1">
        <v>46022</v>
      </c>
      <c r="V1794" s="8">
        <v>1</v>
      </c>
      <c r="W1794" t="s">
        <v>24</v>
      </c>
      <c r="X1794" t="s">
        <v>411</v>
      </c>
      <c r="Y1794" t="s">
        <v>10</v>
      </c>
      <c r="Z1794" t="s">
        <v>11</v>
      </c>
      <c r="AA1794">
        <v>62371</v>
      </c>
      <c r="AB1794">
        <v>18569540</v>
      </c>
      <c r="AC1794">
        <v>1</v>
      </c>
      <c r="AD1794" s="8"/>
    </row>
    <row r="1795" spans="1:30" x14ac:dyDescent="0.3">
      <c r="A1795" t="s">
        <v>1627</v>
      </c>
      <c r="B1795">
        <v>1403807</v>
      </c>
      <c r="D1795" t="s">
        <v>7</v>
      </c>
      <c r="E1795">
        <v>946200</v>
      </c>
      <c r="F1795">
        <v>9015884123</v>
      </c>
      <c r="G1795">
        <v>285</v>
      </c>
      <c r="H1795" t="s">
        <v>1238</v>
      </c>
      <c r="I1795">
        <v>0</v>
      </c>
      <c r="J1795" t="s">
        <v>1239</v>
      </c>
      <c r="K1795" t="s">
        <v>8</v>
      </c>
      <c r="L1795" t="s">
        <v>19</v>
      </c>
      <c r="M1795" t="s">
        <v>9</v>
      </c>
      <c r="N1795" t="s">
        <v>14</v>
      </c>
      <c r="O1795" s="2">
        <v>1042.73</v>
      </c>
      <c r="P1795" s="3">
        <v>6.391</v>
      </c>
      <c r="Q1795" s="1">
        <v>46033</v>
      </c>
      <c r="R1795" s="1">
        <v>45992</v>
      </c>
      <c r="S1795" s="1">
        <v>46022</v>
      </c>
      <c r="V1795" s="8">
        <v>1</v>
      </c>
      <c r="W1795" t="s">
        <v>24</v>
      </c>
      <c r="X1795" t="s">
        <v>1240</v>
      </c>
      <c r="Y1795" t="s">
        <v>10</v>
      </c>
      <c r="Z1795" t="s">
        <v>11</v>
      </c>
      <c r="AA1795">
        <v>62371</v>
      </c>
      <c r="AB1795">
        <v>18472273</v>
      </c>
      <c r="AC1795">
        <v>1</v>
      </c>
      <c r="AD1795" s="8"/>
    </row>
    <row r="1796" spans="1:30" x14ac:dyDescent="0.3">
      <c r="A1796" t="s">
        <v>1627</v>
      </c>
      <c r="B1796">
        <v>1403810</v>
      </c>
      <c r="D1796" t="s">
        <v>7</v>
      </c>
      <c r="E1796">
        <v>946206</v>
      </c>
      <c r="F1796">
        <v>9015884123</v>
      </c>
      <c r="G1796">
        <v>288</v>
      </c>
      <c r="H1796" t="s">
        <v>901</v>
      </c>
      <c r="I1796">
        <v>0</v>
      </c>
      <c r="J1796" t="s">
        <v>902</v>
      </c>
      <c r="K1796" t="s">
        <v>8</v>
      </c>
      <c r="L1796" t="s">
        <v>67</v>
      </c>
      <c r="M1796" t="s">
        <v>9</v>
      </c>
      <c r="N1796" t="s">
        <v>14</v>
      </c>
      <c r="O1796" s="2">
        <v>38778.03</v>
      </c>
      <c r="P1796" s="3">
        <v>359.07</v>
      </c>
      <c r="Q1796" s="1">
        <v>46033</v>
      </c>
      <c r="R1796" s="1">
        <v>45992</v>
      </c>
      <c r="S1796" s="1">
        <v>46022</v>
      </c>
      <c r="V1796" s="8">
        <v>1</v>
      </c>
      <c r="W1796" t="s">
        <v>24</v>
      </c>
      <c r="X1796" t="s">
        <v>903</v>
      </c>
      <c r="Y1796" t="s">
        <v>10</v>
      </c>
      <c r="Z1796" t="s">
        <v>11</v>
      </c>
      <c r="AA1796">
        <v>62371</v>
      </c>
      <c r="AB1796">
        <v>21406892</v>
      </c>
      <c r="AC1796">
        <v>1</v>
      </c>
      <c r="AD1796" s="8"/>
    </row>
    <row r="1797" spans="1:30" x14ac:dyDescent="0.3">
      <c r="A1797" t="s">
        <v>1627</v>
      </c>
      <c r="B1797">
        <v>1405499</v>
      </c>
      <c r="D1797" t="s">
        <v>7</v>
      </c>
      <c r="E1797">
        <v>946267</v>
      </c>
      <c r="F1797">
        <v>9015884123</v>
      </c>
      <c r="G1797">
        <v>308</v>
      </c>
      <c r="H1797" t="s">
        <v>1241</v>
      </c>
      <c r="I1797">
        <v>0</v>
      </c>
      <c r="J1797" t="s">
        <v>1242</v>
      </c>
      <c r="K1797" t="s">
        <v>8</v>
      </c>
      <c r="L1797" t="s">
        <v>19</v>
      </c>
      <c r="M1797" t="s">
        <v>9</v>
      </c>
      <c r="N1797" t="s">
        <v>14</v>
      </c>
      <c r="O1797" s="2">
        <v>5.73</v>
      </c>
      <c r="P1797" s="3">
        <v>2.9000000000000001E-2</v>
      </c>
      <c r="Q1797" s="1">
        <v>46033</v>
      </c>
      <c r="R1797" s="1">
        <v>45992</v>
      </c>
      <c r="S1797" s="1">
        <v>46022</v>
      </c>
      <c r="V1797" s="8">
        <v>1</v>
      </c>
      <c r="W1797" t="s">
        <v>24</v>
      </c>
      <c r="X1797" t="s">
        <v>1243</v>
      </c>
      <c r="Y1797" t="s">
        <v>10</v>
      </c>
      <c r="Z1797" t="s">
        <v>11</v>
      </c>
      <c r="AA1797">
        <v>62371</v>
      </c>
      <c r="AB1797">
        <v>19402887</v>
      </c>
      <c r="AC1797">
        <v>0</v>
      </c>
      <c r="AD1797" s="8"/>
    </row>
    <row r="1798" spans="1:30" x14ac:dyDescent="0.3">
      <c r="A1798" t="s">
        <v>1627</v>
      </c>
      <c r="B1798">
        <v>1407518</v>
      </c>
      <c r="D1798" t="s">
        <v>7</v>
      </c>
      <c r="E1798">
        <v>946325</v>
      </c>
      <c r="F1798">
        <v>9015884123</v>
      </c>
      <c r="G1798">
        <v>335</v>
      </c>
      <c r="H1798" t="s">
        <v>1250</v>
      </c>
      <c r="I1798">
        <v>0</v>
      </c>
      <c r="J1798" t="s">
        <v>1251</v>
      </c>
      <c r="K1798" t="s">
        <v>8</v>
      </c>
      <c r="L1798" t="s">
        <v>18</v>
      </c>
      <c r="M1798" t="s">
        <v>9</v>
      </c>
      <c r="N1798" t="s">
        <v>14</v>
      </c>
      <c r="O1798" s="2">
        <v>3.87</v>
      </c>
      <c r="P1798" s="3">
        <v>0</v>
      </c>
      <c r="Q1798" s="1">
        <v>46033</v>
      </c>
      <c r="R1798" s="1">
        <v>45992</v>
      </c>
      <c r="S1798" s="1">
        <v>46022</v>
      </c>
      <c r="V1798" s="8">
        <v>1</v>
      </c>
      <c r="W1798" t="s">
        <v>24</v>
      </c>
      <c r="X1798" t="s">
        <v>1252</v>
      </c>
      <c r="Y1798" t="s">
        <v>10</v>
      </c>
      <c r="Z1798" t="s">
        <v>11</v>
      </c>
      <c r="AA1798">
        <v>62371</v>
      </c>
      <c r="AB1798">
        <v>19510026</v>
      </c>
      <c r="AC1798">
        <v>0</v>
      </c>
      <c r="AD1798" s="8"/>
    </row>
    <row r="1799" spans="1:30" x14ac:dyDescent="0.3">
      <c r="A1799" t="s">
        <v>1627</v>
      </c>
      <c r="B1799">
        <v>1407506</v>
      </c>
      <c r="D1799" t="s">
        <v>7</v>
      </c>
      <c r="E1799">
        <v>946313</v>
      </c>
      <c r="F1799">
        <v>9015884123</v>
      </c>
      <c r="G1799">
        <v>329</v>
      </c>
      <c r="H1799" t="s">
        <v>1253</v>
      </c>
      <c r="I1799">
        <v>0</v>
      </c>
      <c r="J1799" t="s">
        <v>1254</v>
      </c>
      <c r="K1799" t="s">
        <v>8</v>
      </c>
      <c r="L1799" t="s">
        <v>67</v>
      </c>
      <c r="M1799" t="s">
        <v>9</v>
      </c>
      <c r="N1799" t="s">
        <v>14</v>
      </c>
      <c r="O1799" s="2">
        <v>14967.35</v>
      </c>
      <c r="P1799" s="3">
        <v>138.59200000000001</v>
      </c>
      <c r="Q1799" s="1">
        <v>46033</v>
      </c>
      <c r="R1799" s="1">
        <v>45992</v>
      </c>
      <c r="S1799" s="1">
        <v>46022</v>
      </c>
      <c r="V1799" s="8">
        <v>1</v>
      </c>
      <c r="W1799" t="s">
        <v>24</v>
      </c>
      <c r="X1799" t="s">
        <v>1255</v>
      </c>
      <c r="Y1799" t="s">
        <v>10</v>
      </c>
      <c r="Z1799" t="s">
        <v>11</v>
      </c>
      <c r="AA1799">
        <v>62371</v>
      </c>
      <c r="AB1799">
        <v>18427569</v>
      </c>
      <c r="AC1799">
        <v>1</v>
      </c>
      <c r="AD1799" s="8"/>
    </row>
    <row r="1800" spans="1:30" x14ac:dyDescent="0.3">
      <c r="A1800" t="s">
        <v>1627</v>
      </c>
      <c r="B1800">
        <v>1412139</v>
      </c>
      <c r="D1800" t="s">
        <v>7</v>
      </c>
      <c r="E1800">
        <v>946382</v>
      </c>
      <c r="F1800">
        <v>9015884123</v>
      </c>
      <c r="G1800">
        <v>365</v>
      </c>
      <c r="H1800" t="s">
        <v>448</v>
      </c>
      <c r="I1800">
        <v>0</v>
      </c>
      <c r="J1800" t="s">
        <v>449</v>
      </c>
      <c r="K1800" t="s">
        <v>8</v>
      </c>
      <c r="L1800" t="s">
        <v>19</v>
      </c>
      <c r="M1800" t="s">
        <v>9</v>
      </c>
      <c r="N1800" t="s">
        <v>14</v>
      </c>
      <c r="O1800" s="2">
        <v>205.69</v>
      </c>
      <c r="P1800" s="3">
        <v>1.0409999999999999</v>
      </c>
      <c r="Q1800" s="1">
        <v>46033</v>
      </c>
      <c r="R1800" s="1">
        <v>45992</v>
      </c>
      <c r="S1800" s="1">
        <v>46022</v>
      </c>
      <c r="V1800" s="8">
        <v>1</v>
      </c>
      <c r="W1800" t="s">
        <v>24</v>
      </c>
      <c r="X1800" t="s">
        <v>450</v>
      </c>
      <c r="Y1800" t="s">
        <v>10</v>
      </c>
      <c r="Z1800" t="s">
        <v>11</v>
      </c>
      <c r="AA1800">
        <v>62371</v>
      </c>
      <c r="AB1800">
        <v>19394384</v>
      </c>
      <c r="AC1800">
        <v>0</v>
      </c>
      <c r="AD1800" s="8"/>
    </row>
    <row r="1801" spans="1:30" x14ac:dyDescent="0.3">
      <c r="A1801" t="s">
        <v>1627</v>
      </c>
      <c r="B1801">
        <v>1412641</v>
      </c>
      <c r="D1801" t="s">
        <v>7</v>
      </c>
      <c r="E1801">
        <v>946398</v>
      </c>
      <c r="F1801">
        <v>9015884123</v>
      </c>
      <c r="G1801">
        <v>373</v>
      </c>
      <c r="H1801" t="s">
        <v>451</v>
      </c>
      <c r="I1801">
        <v>0</v>
      </c>
      <c r="J1801" t="s">
        <v>452</v>
      </c>
      <c r="K1801" t="s">
        <v>8</v>
      </c>
      <c r="L1801" t="s">
        <v>15</v>
      </c>
      <c r="M1801" t="s">
        <v>9</v>
      </c>
      <c r="N1801" t="s">
        <v>14</v>
      </c>
      <c r="O1801" s="2">
        <v>0</v>
      </c>
      <c r="P1801" s="3">
        <v>1630.923</v>
      </c>
      <c r="Q1801" s="1">
        <v>46033</v>
      </c>
      <c r="R1801" s="1">
        <v>45992</v>
      </c>
      <c r="S1801" s="1">
        <v>46022</v>
      </c>
      <c r="V1801" s="8">
        <v>1</v>
      </c>
      <c r="W1801" t="s">
        <v>24</v>
      </c>
      <c r="X1801" t="s">
        <v>453</v>
      </c>
      <c r="Y1801" t="s">
        <v>10</v>
      </c>
      <c r="Z1801" t="s">
        <v>11</v>
      </c>
      <c r="AA1801">
        <v>62371</v>
      </c>
      <c r="AB1801">
        <v>21238147</v>
      </c>
      <c r="AC1801">
        <v>0</v>
      </c>
      <c r="AD1801" s="8"/>
    </row>
    <row r="1802" spans="1:30" x14ac:dyDescent="0.3">
      <c r="A1802" t="s">
        <v>1627</v>
      </c>
      <c r="B1802">
        <v>1412649</v>
      </c>
      <c r="D1802" t="s">
        <v>7</v>
      </c>
      <c r="E1802">
        <v>946408</v>
      </c>
      <c r="F1802">
        <v>9015884123</v>
      </c>
      <c r="G1802">
        <v>376</v>
      </c>
      <c r="H1802" t="s">
        <v>439</v>
      </c>
      <c r="I1802">
        <v>0</v>
      </c>
      <c r="J1802" t="s">
        <v>440</v>
      </c>
      <c r="K1802" t="s">
        <v>8</v>
      </c>
      <c r="L1802" t="s">
        <v>18</v>
      </c>
      <c r="M1802" t="s">
        <v>9</v>
      </c>
      <c r="N1802" t="s">
        <v>14</v>
      </c>
      <c r="O1802" s="2">
        <v>2.2400000000000002</v>
      </c>
      <c r="P1802" s="3">
        <v>0</v>
      </c>
      <c r="Q1802" s="1">
        <v>46033</v>
      </c>
      <c r="R1802" s="1">
        <v>45992</v>
      </c>
      <c r="S1802" s="1">
        <v>46022</v>
      </c>
      <c r="V1802" s="8">
        <v>1</v>
      </c>
      <c r="W1802" t="s">
        <v>24</v>
      </c>
      <c r="X1802" t="s">
        <v>441</v>
      </c>
      <c r="Y1802" t="s">
        <v>10</v>
      </c>
      <c r="Z1802" t="s">
        <v>11</v>
      </c>
      <c r="AA1802">
        <v>62371</v>
      </c>
      <c r="AB1802">
        <v>18577802</v>
      </c>
      <c r="AC1802">
        <v>1</v>
      </c>
      <c r="AD1802" s="8"/>
    </row>
    <row r="1803" spans="1:30" x14ac:dyDescent="0.3">
      <c r="A1803" t="s">
        <v>1627</v>
      </c>
      <c r="B1803">
        <v>1412680</v>
      </c>
      <c r="D1803" t="s">
        <v>7</v>
      </c>
      <c r="E1803">
        <v>946421</v>
      </c>
      <c r="F1803">
        <v>9015884123</v>
      </c>
      <c r="G1803">
        <v>380</v>
      </c>
      <c r="H1803" t="s">
        <v>1268</v>
      </c>
      <c r="I1803">
        <v>0</v>
      </c>
      <c r="J1803" t="s">
        <v>1269</v>
      </c>
      <c r="K1803" t="s">
        <v>8</v>
      </c>
      <c r="L1803" t="s">
        <v>15</v>
      </c>
      <c r="M1803" t="s">
        <v>9</v>
      </c>
      <c r="N1803" t="s">
        <v>14</v>
      </c>
      <c r="O1803" s="2">
        <v>0</v>
      </c>
      <c r="P1803" s="3">
        <v>3311.5230000000001</v>
      </c>
      <c r="Q1803" s="1">
        <v>46033</v>
      </c>
      <c r="R1803" s="1">
        <v>45992</v>
      </c>
      <c r="S1803" s="1">
        <v>46022</v>
      </c>
      <c r="V1803" s="8">
        <v>1</v>
      </c>
      <c r="W1803" t="s">
        <v>24</v>
      </c>
      <c r="X1803" t="s">
        <v>1270</v>
      </c>
      <c r="Y1803" t="s">
        <v>10</v>
      </c>
      <c r="Z1803" t="s">
        <v>11</v>
      </c>
      <c r="AA1803">
        <v>62371</v>
      </c>
      <c r="AB1803">
        <v>17055396</v>
      </c>
      <c r="AC1803">
        <v>0</v>
      </c>
      <c r="AD1803" s="8"/>
    </row>
    <row r="1804" spans="1:30" x14ac:dyDescent="0.3">
      <c r="A1804" t="s">
        <v>1627</v>
      </c>
      <c r="B1804">
        <v>1415527</v>
      </c>
      <c r="D1804" t="s">
        <v>7</v>
      </c>
      <c r="E1804">
        <v>946518</v>
      </c>
      <c r="F1804">
        <v>9015884123</v>
      </c>
      <c r="G1804">
        <v>411</v>
      </c>
      <c r="H1804" t="s">
        <v>1277</v>
      </c>
      <c r="I1804">
        <v>0</v>
      </c>
      <c r="J1804" t="s">
        <v>1278</v>
      </c>
      <c r="K1804" t="s">
        <v>8</v>
      </c>
      <c r="L1804" t="s">
        <v>18</v>
      </c>
      <c r="M1804" t="s">
        <v>9</v>
      </c>
      <c r="N1804" t="s">
        <v>14</v>
      </c>
      <c r="O1804" s="2">
        <v>-2.89</v>
      </c>
      <c r="P1804" s="3">
        <v>0</v>
      </c>
      <c r="Q1804" s="1">
        <v>46033</v>
      </c>
      <c r="R1804" s="1">
        <v>45992</v>
      </c>
      <c r="S1804" s="1">
        <v>46022</v>
      </c>
      <c r="V1804" s="8">
        <v>1</v>
      </c>
      <c r="W1804" t="s">
        <v>24</v>
      </c>
      <c r="X1804" t="s">
        <v>1279</v>
      </c>
      <c r="Y1804" t="s">
        <v>189</v>
      </c>
      <c r="Z1804" t="s">
        <v>11</v>
      </c>
      <c r="AA1804">
        <v>62371</v>
      </c>
      <c r="AB1804">
        <v>21145462</v>
      </c>
      <c r="AC1804">
        <v>1</v>
      </c>
      <c r="AD1804" s="8"/>
    </row>
    <row r="1805" spans="1:30" x14ac:dyDescent="0.3">
      <c r="A1805" t="s">
        <v>1627</v>
      </c>
      <c r="B1805">
        <v>1415542</v>
      </c>
      <c r="D1805" t="s">
        <v>7</v>
      </c>
      <c r="E1805">
        <v>946560</v>
      </c>
      <c r="F1805">
        <v>9015884123</v>
      </c>
      <c r="G1805">
        <v>423</v>
      </c>
      <c r="H1805" t="s">
        <v>454</v>
      </c>
      <c r="I1805">
        <v>0</v>
      </c>
      <c r="J1805" t="s">
        <v>455</v>
      </c>
      <c r="K1805" t="s">
        <v>8</v>
      </c>
      <c r="L1805" t="s">
        <v>18</v>
      </c>
      <c r="M1805" t="s">
        <v>9</v>
      </c>
      <c r="N1805" t="s">
        <v>14</v>
      </c>
      <c r="O1805" s="2">
        <v>-3.05</v>
      </c>
      <c r="P1805" s="3">
        <v>0</v>
      </c>
      <c r="Q1805" s="1">
        <v>46033</v>
      </c>
      <c r="R1805" s="1">
        <v>45992</v>
      </c>
      <c r="S1805" s="1">
        <v>46022</v>
      </c>
      <c r="V1805" s="8">
        <v>1</v>
      </c>
      <c r="W1805" t="s">
        <v>24</v>
      </c>
      <c r="X1805" t="s">
        <v>456</v>
      </c>
      <c r="Y1805" t="s">
        <v>10</v>
      </c>
      <c r="Z1805" t="s">
        <v>11</v>
      </c>
      <c r="AA1805">
        <v>62371</v>
      </c>
      <c r="AB1805">
        <v>18539603</v>
      </c>
      <c r="AC1805">
        <v>1</v>
      </c>
      <c r="AD1805" s="8"/>
    </row>
    <row r="1806" spans="1:30" x14ac:dyDescent="0.3">
      <c r="A1806" t="s">
        <v>1627</v>
      </c>
      <c r="B1806">
        <v>1415466</v>
      </c>
      <c r="D1806" t="s">
        <v>7</v>
      </c>
      <c r="E1806">
        <v>946479</v>
      </c>
      <c r="F1806">
        <v>9015884123</v>
      </c>
      <c r="G1806">
        <v>398</v>
      </c>
      <c r="H1806" t="s">
        <v>457</v>
      </c>
      <c r="I1806">
        <v>0</v>
      </c>
      <c r="J1806" t="s">
        <v>458</v>
      </c>
      <c r="K1806" t="s">
        <v>8</v>
      </c>
      <c r="L1806" t="s">
        <v>18</v>
      </c>
      <c r="M1806" t="s">
        <v>9</v>
      </c>
      <c r="N1806" t="s">
        <v>14</v>
      </c>
      <c r="O1806" s="2">
        <v>0.1</v>
      </c>
      <c r="P1806" s="3">
        <v>0</v>
      </c>
      <c r="Q1806" s="1">
        <v>46033</v>
      </c>
      <c r="R1806" s="1">
        <v>45992</v>
      </c>
      <c r="S1806" s="1">
        <v>46022</v>
      </c>
      <c r="V1806" s="8">
        <v>1</v>
      </c>
      <c r="W1806" t="s">
        <v>24</v>
      </c>
      <c r="X1806" t="s">
        <v>459</v>
      </c>
      <c r="Y1806" t="s">
        <v>10</v>
      </c>
      <c r="Z1806" t="s">
        <v>11</v>
      </c>
      <c r="AA1806">
        <v>62371</v>
      </c>
      <c r="AB1806">
        <v>17178482</v>
      </c>
      <c r="AC1806">
        <v>0</v>
      </c>
      <c r="AD1806" s="8"/>
    </row>
    <row r="1807" spans="1:30" x14ac:dyDescent="0.3">
      <c r="A1807" t="s">
        <v>1627</v>
      </c>
      <c r="B1807">
        <v>1415526</v>
      </c>
      <c r="D1807" t="s">
        <v>7</v>
      </c>
      <c r="E1807">
        <v>946515</v>
      </c>
      <c r="F1807">
        <v>9015884123</v>
      </c>
      <c r="G1807">
        <v>410</v>
      </c>
      <c r="H1807" t="s">
        <v>922</v>
      </c>
      <c r="I1807">
        <v>0</v>
      </c>
      <c r="J1807" t="s">
        <v>923</v>
      </c>
      <c r="K1807" t="s">
        <v>8</v>
      </c>
      <c r="L1807" t="s">
        <v>15</v>
      </c>
      <c r="M1807" t="s">
        <v>9</v>
      </c>
      <c r="N1807" t="s">
        <v>14</v>
      </c>
      <c r="O1807" s="2">
        <v>0</v>
      </c>
      <c r="P1807" s="3">
        <v>930.26300000000003</v>
      </c>
      <c r="Q1807" s="1">
        <v>46033</v>
      </c>
      <c r="R1807" s="1">
        <v>45992</v>
      </c>
      <c r="S1807" s="1">
        <v>46022</v>
      </c>
      <c r="V1807" s="8">
        <v>1</v>
      </c>
      <c r="W1807" t="s">
        <v>24</v>
      </c>
      <c r="X1807" t="s">
        <v>924</v>
      </c>
      <c r="Y1807" t="s">
        <v>189</v>
      </c>
      <c r="Z1807" t="s">
        <v>11</v>
      </c>
      <c r="AA1807">
        <v>62371</v>
      </c>
      <c r="AB1807">
        <v>21145461</v>
      </c>
      <c r="AC1807">
        <v>1</v>
      </c>
      <c r="AD1807" s="8"/>
    </row>
    <row r="1808" spans="1:30" x14ac:dyDescent="0.3">
      <c r="A1808" t="s">
        <v>1627</v>
      </c>
      <c r="B1808">
        <v>1415539</v>
      </c>
      <c r="D1808" t="s">
        <v>7</v>
      </c>
      <c r="E1808">
        <v>946557</v>
      </c>
      <c r="F1808">
        <v>9015884123</v>
      </c>
      <c r="G1808">
        <v>422</v>
      </c>
      <c r="H1808" t="s">
        <v>925</v>
      </c>
      <c r="I1808">
        <v>0</v>
      </c>
      <c r="J1808" t="s">
        <v>926</v>
      </c>
      <c r="K1808" t="s">
        <v>8</v>
      </c>
      <c r="L1808" t="s">
        <v>15</v>
      </c>
      <c r="M1808" t="s">
        <v>9</v>
      </c>
      <c r="N1808" t="s">
        <v>14</v>
      </c>
      <c r="O1808" s="2">
        <v>0</v>
      </c>
      <c r="P1808" s="3">
        <v>86122.778000000006</v>
      </c>
      <c r="Q1808" s="1">
        <v>46033</v>
      </c>
      <c r="R1808" s="1">
        <v>45992</v>
      </c>
      <c r="S1808" s="1">
        <v>46022</v>
      </c>
      <c r="V1808" s="8">
        <v>2</v>
      </c>
      <c r="W1808" t="s">
        <v>24</v>
      </c>
      <c r="X1808" t="s">
        <v>927</v>
      </c>
      <c r="Y1808" t="s">
        <v>10</v>
      </c>
      <c r="Z1808" t="s">
        <v>11</v>
      </c>
      <c r="AA1808">
        <v>62371</v>
      </c>
      <c r="AB1808">
        <v>21378050</v>
      </c>
      <c r="AC1808">
        <v>1</v>
      </c>
      <c r="AD1808" s="8"/>
    </row>
    <row r="1809" spans="1:30" x14ac:dyDescent="0.3">
      <c r="A1809" t="s">
        <v>1627</v>
      </c>
      <c r="B1809">
        <v>1416891</v>
      </c>
      <c r="D1809" t="s">
        <v>7</v>
      </c>
      <c r="E1809">
        <v>946583</v>
      </c>
      <c r="F1809">
        <v>9015884123</v>
      </c>
      <c r="G1809">
        <v>430</v>
      </c>
      <c r="H1809" t="s">
        <v>928</v>
      </c>
      <c r="I1809">
        <v>0</v>
      </c>
      <c r="J1809" t="s">
        <v>929</v>
      </c>
      <c r="K1809" t="s">
        <v>8</v>
      </c>
      <c r="L1809" t="s">
        <v>67</v>
      </c>
      <c r="M1809" t="s">
        <v>9</v>
      </c>
      <c r="N1809" t="s">
        <v>14</v>
      </c>
      <c r="O1809" s="2">
        <v>155763.57</v>
      </c>
      <c r="P1809" s="3">
        <v>1442.3119999999999</v>
      </c>
      <c r="Q1809" s="1">
        <v>46033</v>
      </c>
      <c r="R1809" s="1">
        <v>45992</v>
      </c>
      <c r="S1809" s="1">
        <v>46022</v>
      </c>
      <c r="V1809" s="8">
        <v>1</v>
      </c>
      <c r="W1809" t="s">
        <v>24</v>
      </c>
      <c r="X1809" t="s">
        <v>930</v>
      </c>
      <c r="Y1809" t="s">
        <v>10</v>
      </c>
      <c r="Z1809" t="s">
        <v>11</v>
      </c>
      <c r="AA1809">
        <v>62371</v>
      </c>
      <c r="AB1809">
        <v>17032628</v>
      </c>
      <c r="AC1809">
        <v>1</v>
      </c>
      <c r="AD1809" s="8"/>
    </row>
    <row r="1810" spans="1:30" x14ac:dyDescent="0.3">
      <c r="A1810" t="s">
        <v>1627</v>
      </c>
      <c r="B1810">
        <v>1416891</v>
      </c>
      <c r="D1810" t="s">
        <v>7</v>
      </c>
      <c r="E1810">
        <v>946583</v>
      </c>
      <c r="F1810">
        <v>9015884123</v>
      </c>
      <c r="G1810">
        <v>430</v>
      </c>
      <c r="H1810" t="s">
        <v>928</v>
      </c>
      <c r="I1810">
        <v>0</v>
      </c>
      <c r="J1810" t="s">
        <v>929</v>
      </c>
      <c r="K1810" t="s">
        <v>8</v>
      </c>
      <c r="L1810" t="s">
        <v>18</v>
      </c>
      <c r="M1810" t="s">
        <v>9</v>
      </c>
      <c r="N1810" t="s">
        <v>14</v>
      </c>
      <c r="O1810" s="2">
        <v>-1.42</v>
      </c>
      <c r="P1810" s="3">
        <v>0</v>
      </c>
      <c r="Q1810" s="1">
        <v>46033</v>
      </c>
      <c r="R1810" s="1">
        <v>45992</v>
      </c>
      <c r="S1810" s="1">
        <v>46022</v>
      </c>
      <c r="V1810" s="8">
        <v>1</v>
      </c>
      <c r="W1810" t="s">
        <v>24</v>
      </c>
      <c r="X1810" t="s">
        <v>930</v>
      </c>
      <c r="Y1810" t="s">
        <v>10</v>
      </c>
      <c r="Z1810" t="s">
        <v>11</v>
      </c>
      <c r="AA1810">
        <v>62371</v>
      </c>
      <c r="AB1810">
        <v>17032628</v>
      </c>
      <c r="AC1810">
        <v>1</v>
      </c>
      <c r="AD1810" s="8"/>
    </row>
    <row r="1811" spans="1:30" x14ac:dyDescent="0.3">
      <c r="A1811" t="s">
        <v>1627</v>
      </c>
      <c r="B1811">
        <v>1413879</v>
      </c>
      <c r="D1811" t="s">
        <v>7</v>
      </c>
      <c r="E1811">
        <v>946572</v>
      </c>
      <c r="F1811">
        <v>9015884123</v>
      </c>
      <c r="G1811">
        <v>426</v>
      </c>
      <c r="H1811" t="s">
        <v>934</v>
      </c>
      <c r="I1811">
        <v>0</v>
      </c>
      <c r="J1811" t="s">
        <v>935</v>
      </c>
      <c r="K1811" t="s">
        <v>8</v>
      </c>
      <c r="L1811" t="s">
        <v>15</v>
      </c>
      <c r="M1811" t="s">
        <v>9</v>
      </c>
      <c r="N1811" t="s">
        <v>14</v>
      </c>
      <c r="O1811" s="2">
        <v>0</v>
      </c>
      <c r="P1811" s="3">
        <v>1398.771</v>
      </c>
      <c r="Q1811" s="1">
        <v>46033</v>
      </c>
      <c r="R1811" s="1">
        <v>45992</v>
      </c>
      <c r="S1811" s="1">
        <v>46022</v>
      </c>
      <c r="V1811" s="8">
        <v>1</v>
      </c>
      <c r="W1811" t="s">
        <v>24</v>
      </c>
      <c r="X1811" t="s">
        <v>936</v>
      </c>
      <c r="Y1811" t="s">
        <v>369</v>
      </c>
      <c r="Z1811" t="s">
        <v>11</v>
      </c>
      <c r="AA1811">
        <v>62371</v>
      </c>
      <c r="AB1811">
        <v>18355282</v>
      </c>
      <c r="AC1811">
        <v>0</v>
      </c>
      <c r="AD1811" s="8"/>
    </row>
    <row r="1812" spans="1:30" x14ac:dyDescent="0.3">
      <c r="A1812" t="s">
        <v>1627</v>
      </c>
      <c r="B1812">
        <v>1418882</v>
      </c>
      <c r="D1812" t="s">
        <v>7</v>
      </c>
      <c r="E1812">
        <v>946658</v>
      </c>
      <c r="F1812">
        <v>9015884123</v>
      </c>
      <c r="G1812">
        <v>455</v>
      </c>
      <c r="H1812" t="s">
        <v>937</v>
      </c>
      <c r="I1812">
        <v>0</v>
      </c>
      <c r="J1812" t="s">
        <v>938</v>
      </c>
      <c r="K1812" t="s">
        <v>8</v>
      </c>
      <c r="L1812" t="s">
        <v>67</v>
      </c>
      <c r="M1812" t="s">
        <v>9</v>
      </c>
      <c r="N1812" t="s">
        <v>14</v>
      </c>
      <c r="O1812" s="2">
        <v>172118.44</v>
      </c>
      <c r="P1812" s="3">
        <v>1593.752</v>
      </c>
      <c r="Q1812" s="1">
        <v>46033</v>
      </c>
      <c r="R1812" s="1">
        <v>45992</v>
      </c>
      <c r="S1812" s="1">
        <v>46022</v>
      </c>
      <c r="V1812" s="8">
        <v>1</v>
      </c>
      <c r="W1812" t="s">
        <v>24</v>
      </c>
      <c r="X1812" t="s">
        <v>939</v>
      </c>
      <c r="Y1812" t="s">
        <v>10</v>
      </c>
      <c r="Z1812" t="s">
        <v>11</v>
      </c>
      <c r="AA1812">
        <v>62371</v>
      </c>
      <c r="AB1812">
        <v>17052542</v>
      </c>
      <c r="AC1812">
        <v>1</v>
      </c>
      <c r="AD1812" s="8"/>
    </row>
    <row r="1813" spans="1:30" x14ac:dyDescent="0.3">
      <c r="A1813" t="s">
        <v>1627</v>
      </c>
      <c r="B1813">
        <v>1418636</v>
      </c>
      <c r="D1813" t="s">
        <v>7</v>
      </c>
      <c r="E1813">
        <v>946644</v>
      </c>
      <c r="F1813">
        <v>9015884123</v>
      </c>
      <c r="G1813">
        <v>450</v>
      </c>
      <c r="H1813" t="s">
        <v>475</v>
      </c>
      <c r="I1813">
        <v>0</v>
      </c>
      <c r="J1813" t="s">
        <v>476</v>
      </c>
      <c r="K1813" t="s">
        <v>8</v>
      </c>
      <c r="L1813" t="s">
        <v>19</v>
      </c>
      <c r="M1813" t="s">
        <v>9</v>
      </c>
      <c r="N1813" t="s">
        <v>14</v>
      </c>
      <c r="O1813" s="2">
        <v>3236.95</v>
      </c>
      <c r="P1813" s="3">
        <v>16.382000000000001</v>
      </c>
      <c r="Q1813" s="1">
        <v>46033</v>
      </c>
      <c r="R1813" s="1">
        <v>45992</v>
      </c>
      <c r="S1813" s="1">
        <v>46022</v>
      </c>
      <c r="V1813" s="8">
        <v>1</v>
      </c>
      <c r="W1813" t="s">
        <v>24</v>
      </c>
      <c r="X1813" t="s">
        <v>477</v>
      </c>
      <c r="Y1813" t="s">
        <v>353</v>
      </c>
      <c r="Z1813" t="s">
        <v>11</v>
      </c>
      <c r="AA1813">
        <v>62371</v>
      </c>
      <c r="AB1813">
        <v>19419645</v>
      </c>
      <c r="AC1813">
        <v>0</v>
      </c>
      <c r="AD1813" s="8"/>
    </row>
    <row r="1814" spans="1:30" x14ac:dyDescent="0.3">
      <c r="A1814" t="s">
        <v>1627</v>
      </c>
      <c r="B1814">
        <v>1428420</v>
      </c>
      <c r="D1814" t="s">
        <v>7</v>
      </c>
      <c r="E1814">
        <v>946772</v>
      </c>
      <c r="F1814">
        <v>9015884123</v>
      </c>
      <c r="G1814">
        <v>491</v>
      </c>
      <c r="H1814" t="s">
        <v>1458</v>
      </c>
      <c r="I1814">
        <v>0</v>
      </c>
      <c r="J1814" t="s">
        <v>1459</v>
      </c>
      <c r="K1814" t="s">
        <v>8</v>
      </c>
      <c r="L1814" t="s">
        <v>18</v>
      </c>
      <c r="M1814" t="s">
        <v>9</v>
      </c>
      <c r="N1814" t="s">
        <v>14</v>
      </c>
      <c r="O1814" s="2">
        <v>3.32</v>
      </c>
      <c r="P1814" s="3">
        <v>0</v>
      </c>
      <c r="Q1814" s="1">
        <v>46033</v>
      </c>
      <c r="R1814" s="1">
        <v>45992</v>
      </c>
      <c r="S1814" s="1">
        <v>46022</v>
      </c>
      <c r="V1814" s="8">
        <v>1</v>
      </c>
      <c r="W1814" t="s">
        <v>24</v>
      </c>
      <c r="X1814" t="s">
        <v>1460</v>
      </c>
      <c r="Y1814" t="s">
        <v>10</v>
      </c>
      <c r="Z1814" t="s">
        <v>11</v>
      </c>
      <c r="AA1814">
        <v>62371</v>
      </c>
      <c r="AB1814">
        <v>21376437</v>
      </c>
      <c r="AC1814">
        <v>1</v>
      </c>
      <c r="AD1814" s="8"/>
    </row>
    <row r="1815" spans="1:30" x14ac:dyDescent="0.3">
      <c r="A1815" t="s">
        <v>1627</v>
      </c>
      <c r="B1815">
        <v>1428401</v>
      </c>
      <c r="D1815" t="s">
        <v>7</v>
      </c>
      <c r="E1815">
        <v>946718</v>
      </c>
      <c r="F1815">
        <v>9015884123</v>
      </c>
      <c r="G1815">
        <v>474</v>
      </c>
      <c r="H1815" t="s">
        <v>967</v>
      </c>
      <c r="I1815">
        <v>0</v>
      </c>
      <c r="J1815" t="s">
        <v>968</v>
      </c>
      <c r="K1815" t="s">
        <v>8</v>
      </c>
      <c r="L1815" t="s">
        <v>18</v>
      </c>
      <c r="M1815" t="s">
        <v>9</v>
      </c>
      <c r="N1815" t="s">
        <v>14</v>
      </c>
      <c r="O1815" s="2">
        <v>-0.28999999999999998</v>
      </c>
      <c r="P1815" s="3">
        <v>0</v>
      </c>
      <c r="Q1815" s="1">
        <v>46033</v>
      </c>
      <c r="R1815" s="1">
        <v>45992</v>
      </c>
      <c r="S1815" s="1">
        <v>46022</v>
      </c>
      <c r="V1815" s="8">
        <v>1</v>
      </c>
      <c r="W1815" t="s">
        <v>24</v>
      </c>
      <c r="X1815" t="s">
        <v>969</v>
      </c>
      <c r="Y1815" t="s">
        <v>10</v>
      </c>
      <c r="Z1815" t="s">
        <v>11</v>
      </c>
      <c r="AA1815">
        <v>62371</v>
      </c>
      <c r="AB1815">
        <v>21376398</v>
      </c>
      <c r="AC1815">
        <v>1</v>
      </c>
      <c r="AD1815" s="8"/>
    </row>
    <row r="1816" spans="1:30" x14ac:dyDescent="0.3">
      <c r="A1816" t="s">
        <v>1627</v>
      </c>
      <c r="B1816">
        <v>1428436</v>
      </c>
      <c r="D1816" t="s">
        <v>7</v>
      </c>
      <c r="E1816">
        <v>946787</v>
      </c>
      <c r="F1816">
        <v>9015884123</v>
      </c>
      <c r="G1816">
        <v>497</v>
      </c>
      <c r="H1816" t="s">
        <v>1461</v>
      </c>
      <c r="I1816">
        <v>0</v>
      </c>
      <c r="J1816" t="s">
        <v>1462</v>
      </c>
      <c r="K1816" t="s">
        <v>8</v>
      </c>
      <c r="L1816" t="s">
        <v>67</v>
      </c>
      <c r="M1816" t="s">
        <v>9</v>
      </c>
      <c r="N1816" t="s">
        <v>14</v>
      </c>
      <c r="O1816" s="2">
        <v>257394.91</v>
      </c>
      <c r="P1816" s="3">
        <v>2383.38</v>
      </c>
      <c r="Q1816" s="1">
        <v>46033</v>
      </c>
      <c r="R1816" s="1">
        <v>45992</v>
      </c>
      <c r="S1816" s="1">
        <v>46022</v>
      </c>
      <c r="V1816" s="8">
        <v>1</v>
      </c>
      <c r="W1816" t="s">
        <v>24</v>
      </c>
      <c r="X1816" t="s">
        <v>1463</v>
      </c>
      <c r="Y1816" t="s">
        <v>10</v>
      </c>
      <c r="Z1816" t="s">
        <v>11</v>
      </c>
      <c r="AA1816">
        <v>62371</v>
      </c>
      <c r="AB1816">
        <v>21491307</v>
      </c>
      <c r="AC1816">
        <v>1</v>
      </c>
      <c r="AD1816" s="8"/>
    </row>
    <row r="1817" spans="1:30" x14ac:dyDescent="0.3">
      <c r="A1817" t="s">
        <v>1627</v>
      </c>
      <c r="B1817">
        <v>1438082</v>
      </c>
      <c r="D1817" t="s">
        <v>7</v>
      </c>
      <c r="E1817">
        <v>946816</v>
      </c>
      <c r="F1817">
        <v>9015884123</v>
      </c>
      <c r="G1817">
        <v>506</v>
      </c>
      <c r="H1817" t="s">
        <v>1573</v>
      </c>
      <c r="I1817">
        <v>0</v>
      </c>
      <c r="J1817" t="s">
        <v>1574</v>
      </c>
      <c r="K1817" t="s">
        <v>8</v>
      </c>
      <c r="L1817" t="s">
        <v>67</v>
      </c>
      <c r="M1817" t="s">
        <v>9</v>
      </c>
      <c r="N1817" t="s">
        <v>14</v>
      </c>
      <c r="O1817" s="2">
        <v>486860.93</v>
      </c>
      <c r="P1817" s="3">
        <v>3418.212</v>
      </c>
      <c r="Q1817" s="1">
        <v>46033</v>
      </c>
      <c r="R1817" s="1">
        <v>45992</v>
      </c>
      <c r="S1817" s="1">
        <v>46022</v>
      </c>
      <c r="V1817" s="8">
        <v>1</v>
      </c>
      <c r="W1817" t="s">
        <v>24</v>
      </c>
      <c r="X1817" t="s">
        <v>1575</v>
      </c>
      <c r="Y1817" t="s">
        <v>10</v>
      </c>
      <c r="Z1817" t="s">
        <v>11</v>
      </c>
      <c r="AA1817">
        <v>62371</v>
      </c>
      <c r="AB1817">
        <v>17528426</v>
      </c>
      <c r="AC1817">
        <v>0</v>
      </c>
      <c r="AD1817" s="8"/>
    </row>
    <row r="1818" spans="1:30" x14ac:dyDescent="0.3">
      <c r="A1818" t="s">
        <v>1627</v>
      </c>
      <c r="B1818">
        <v>1438083</v>
      </c>
      <c r="D1818" t="s">
        <v>7</v>
      </c>
      <c r="E1818">
        <v>946818</v>
      </c>
      <c r="F1818">
        <v>9015884123</v>
      </c>
      <c r="G1818">
        <v>507</v>
      </c>
      <c r="H1818" t="s">
        <v>952</v>
      </c>
      <c r="I1818">
        <v>0</v>
      </c>
      <c r="J1818" t="s">
        <v>953</v>
      </c>
      <c r="K1818" t="s">
        <v>8</v>
      </c>
      <c r="L1818" t="s">
        <v>19</v>
      </c>
      <c r="M1818" t="s">
        <v>9</v>
      </c>
      <c r="N1818" t="s">
        <v>14</v>
      </c>
      <c r="O1818" s="2">
        <v>95944.03</v>
      </c>
      <c r="P1818" s="3">
        <v>485.56700000000001</v>
      </c>
      <c r="Q1818" s="1">
        <v>46033</v>
      </c>
      <c r="R1818" s="1">
        <v>45992</v>
      </c>
      <c r="S1818" s="1">
        <v>46022</v>
      </c>
      <c r="V1818" s="8">
        <v>1</v>
      </c>
      <c r="W1818" t="s">
        <v>24</v>
      </c>
      <c r="X1818" t="s">
        <v>954</v>
      </c>
      <c r="Y1818" t="s">
        <v>10</v>
      </c>
      <c r="Z1818" t="s">
        <v>11</v>
      </c>
      <c r="AA1818">
        <v>62371</v>
      </c>
      <c r="AB1818">
        <v>19383199</v>
      </c>
      <c r="AC1818">
        <v>0</v>
      </c>
      <c r="AD1818" s="8"/>
    </row>
    <row r="1819" spans="1:30" x14ac:dyDescent="0.3">
      <c r="A1819" t="s">
        <v>1627</v>
      </c>
      <c r="B1819">
        <v>1428407</v>
      </c>
      <c r="D1819" t="s">
        <v>7</v>
      </c>
      <c r="E1819">
        <v>946750</v>
      </c>
      <c r="F1819">
        <v>9015884123</v>
      </c>
      <c r="G1819">
        <v>484</v>
      </c>
      <c r="H1819" t="s">
        <v>1295</v>
      </c>
      <c r="I1819">
        <v>0</v>
      </c>
      <c r="J1819" t="s">
        <v>1296</v>
      </c>
      <c r="K1819" t="s">
        <v>8</v>
      </c>
      <c r="L1819" t="s">
        <v>15</v>
      </c>
      <c r="M1819" t="s">
        <v>9</v>
      </c>
      <c r="N1819" t="s">
        <v>14</v>
      </c>
      <c r="O1819" s="2">
        <v>0</v>
      </c>
      <c r="P1819" s="3">
        <v>787.73199999999997</v>
      </c>
      <c r="Q1819" s="1">
        <v>46033</v>
      </c>
      <c r="R1819" s="1">
        <v>45992</v>
      </c>
      <c r="S1819" s="1">
        <v>46022</v>
      </c>
      <c r="V1819" s="8">
        <v>1</v>
      </c>
      <c r="W1819" t="s">
        <v>24</v>
      </c>
      <c r="X1819" t="s">
        <v>1297</v>
      </c>
      <c r="Y1819" t="s">
        <v>10</v>
      </c>
      <c r="Z1819" t="s">
        <v>11</v>
      </c>
      <c r="AA1819">
        <v>62371</v>
      </c>
      <c r="AB1819">
        <v>21376402</v>
      </c>
      <c r="AC1819">
        <v>1</v>
      </c>
      <c r="AD1819" s="8"/>
    </row>
    <row r="1820" spans="1:30" x14ac:dyDescent="0.3">
      <c r="A1820" t="s">
        <v>1627</v>
      </c>
      <c r="B1820">
        <v>1428407</v>
      </c>
      <c r="D1820" t="s">
        <v>7</v>
      </c>
      <c r="E1820">
        <v>946750</v>
      </c>
      <c r="F1820">
        <v>9015884123</v>
      </c>
      <c r="G1820">
        <v>484</v>
      </c>
      <c r="H1820" t="s">
        <v>1295</v>
      </c>
      <c r="I1820">
        <v>0</v>
      </c>
      <c r="J1820" t="s">
        <v>1296</v>
      </c>
      <c r="K1820" t="s">
        <v>8</v>
      </c>
      <c r="L1820" t="s">
        <v>19</v>
      </c>
      <c r="M1820" t="s">
        <v>9</v>
      </c>
      <c r="N1820" t="s">
        <v>14</v>
      </c>
      <c r="O1820" s="2">
        <v>5145.9399999999996</v>
      </c>
      <c r="P1820" s="3">
        <v>31.54</v>
      </c>
      <c r="Q1820" s="1">
        <v>46033</v>
      </c>
      <c r="R1820" s="1">
        <v>45992</v>
      </c>
      <c r="S1820" s="1">
        <v>46022</v>
      </c>
      <c r="V1820" s="8">
        <v>1</v>
      </c>
      <c r="W1820" t="s">
        <v>24</v>
      </c>
      <c r="X1820" t="s">
        <v>1297</v>
      </c>
      <c r="Y1820" t="s">
        <v>10</v>
      </c>
      <c r="Z1820" t="s">
        <v>11</v>
      </c>
      <c r="AA1820">
        <v>62371</v>
      </c>
      <c r="AB1820">
        <v>21376402</v>
      </c>
      <c r="AC1820">
        <v>1</v>
      </c>
      <c r="AD1820" s="8"/>
    </row>
    <row r="1821" spans="1:30" x14ac:dyDescent="0.3">
      <c r="A1821" t="s">
        <v>1627</v>
      </c>
      <c r="B1821">
        <v>1438069</v>
      </c>
      <c r="D1821" t="s">
        <v>7</v>
      </c>
      <c r="E1821">
        <v>946828</v>
      </c>
      <c r="F1821">
        <v>9015884123</v>
      </c>
      <c r="G1821">
        <v>510</v>
      </c>
      <c r="H1821" t="s">
        <v>508</v>
      </c>
      <c r="I1821">
        <v>0</v>
      </c>
      <c r="J1821" t="s">
        <v>509</v>
      </c>
      <c r="K1821" t="s">
        <v>8</v>
      </c>
      <c r="L1821" t="s">
        <v>19</v>
      </c>
      <c r="M1821" t="s">
        <v>9</v>
      </c>
      <c r="N1821" t="s">
        <v>14</v>
      </c>
      <c r="O1821" s="2">
        <v>2010.57</v>
      </c>
      <c r="P1821" s="3">
        <v>12.323</v>
      </c>
      <c r="Q1821" s="1">
        <v>46033</v>
      </c>
      <c r="R1821" s="1">
        <v>45992</v>
      </c>
      <c r="S1821" s="1">
        <v>46022</v>
      </c>
      <c r="V1821" s="8">
        <v>1</v>
      </c>
      <c r="W1821" t="s">
        <v>24</v>
      </c>
      <c r="X1821" t="s">
        <v>510</v>
      </c>
      <c r="Y1821" t="s">
        <v>10</v>
      </c>
      <c r="Z1821" t="s">
        <v>11</v>
      </c>
      <c r="AA1821">
        <v>62371</v>
      </c>
      <c r="AB1821">
        <v>21376399</v>
      </c>
      <c r="AC1821">
        <v>1</v>
      </c>
      <c r="AD1821" s="8"/>
    </row>
    <row r="1822" spans="1:30" x14ac:dyDescent="0.3">
      <c r="A1822" t="s">
        <v>1627</v>
      </c>
      <c r="B1822">
        <v>1428422</v>
      </c>
      <c r="D1822" t="s">
        <v>7</v>
      </c>
      <c r="E1822">
        <v>946784</v>
      </c>
      <c r="F1822">
        <v>9015884123</v>
      </c>
      <c r="G1822">
        <v>496</v>
      </c>
      <c r="H1822" t="s">
        <v>490</v>
      </c>
      <c r="I1822">
        <v>0</v>
      </c>
      <c r="J1822" t="s">
        <v>491</v>
      </c>
      <c r="K1822" t="s">
        <v>8</v>
      </c>
      <c r="L1822" t="s">
        <v>67</v>
      </c>
      <c r="M1822" t="s">
        <v>9</v>
      </c>
      <c r="N1822" t="s">
        <v>14</v>
      </c>
      <c r="O1822" s="2">
        <v>234478.21</v>
      </c>
      <c r="P1822" s="3">
        <v>2171.1799999999998</v>
      </c>
      <c r="Q1822" s="1">
        <v>46033</v>
      </c>
      <c r="R1822" s="1">
        <v>45992</v>
      </c>
      <c r="S1822" s="1">
        <v>46022</v>
      </c>
      <c r="V1822" s="8">
        <v>1</v>
      </c>
      <c r="W1822" t="s">
        <v>24</v>
      </c>
      <c r="X1822" t="s">
        <v>492</v>
      </c>
      <c r="Y1822" t="s">
        <v>10</v>
      </c>
      <c r="Z1822" t="s">
        <v>11</v>
      </c>
      <c r="AA1822">
        <v>62371</v>
      </c>
      <c r="AB1822">
        <v>21376478</v>
      </c>
      <c r="AC1822">
        <v>1</v>
      </c>
      <c r="AD1822" s="8"/>
    </row>
    <row r="1823" spans="1:30" x14ac:dyDescent="0.3">
      <c r="A1823" t="s">
        <v>1627</v>
      </c>
      <c r="B1823">
        <v>1408276</v>
      </c>
      <c r="D1823" t="s">
        <v>7</v>
      </c>
      <c r="E1823">
        <v>946327</v>
      </c>
      <c r="F1823">
        <v>9015884123</v>
      </c>
      <c r="G1823">
        <v>336</v>
      </c>
      <c r="H1823" t="s">
        <v>424</v>
      </c>
      <c r="I1823">
        <v>0</v>
      </c>
      <c r="J1823" t="s">
        <v>425</v>
      </c>
      <c r="K1823" t="s">
        <v>8</v>
      </c>
      <c r="L1823" t="s">
        <v>15</v>
      </c>
      <c r="M1823" t="s">
        <v>9</v>
      </c>
      <c r="N1823" t="s">
        <v>14</v>
      </c>
      <c r="O1823" s="2">
        <v>0</v>
      </c>
      <c r="P1823" s="3">
        <v>6829.9009999999998</v>
      </c>
      <c r="Q1823" s="1">
        <v>46033</v>
      </c>
      <c r="R1823" s="1">
        <v>45992</v>
      </c>
      <c r="S1823" s="1">
        <v>46022</v>
      </c>
      <c r="V1823" s="8">
        <v>1</v>
      </c>
      <c r="W1823" t="s">
        <v>24</v>
      </c>
      <c r="X1823" t="s">
        <v>426</v>
      </c>
      <c r="Y1823" t="s">
        <v>10</v>
      </c>
      <c r="Z1823" t="s">
        <v>11</v>
      </c>
      <c r="AA1823">
        <v>62371</v>
      </c>
      <c r="AB1823">
        <v>19403252</v>
      </c>
      <c r="AC1823">
        <v>0</v>
      </c>
      <c r="AD1823" s="8"/>
    </row>
    <row r="1824" spans="1:30" x14ac:dyDescent="0.3">
      <c r="A1824" t="s">
        <v>1627</v>
      </c>
      <c r="B1824">
        <v>1412130</v>
      </c>
      <c r="D1824" t="s">
        <v>7</v>
      </c>
      <c r="E1824">
        <v>946357</v>
      </c>
      <c r="F1824">
        <v>9015884123</v>
      </c>
      <c r="G1824">
        <v>351</v>
      </c>
      <c r="H1824" t="s">
        <v>1440</v>
      </c>
      <c r="I1824">
        <v>0</v>
      </c>
      <c r="J1824" t="s">
        <v>1441</v>
      </c>
      <c r="K1824" t="s">
        <v>8</v>
      </c>
      <c r="L1824" t="s">
        <v>19</v>
      </c>
      <c r="M1824" t="s">
        <v>9</v>
      </c>
      <c r="N1824" t="s">
        <v>14</v>
      </c>
      <c r="O1824" s="2">
        <v>13554.79</v>
      </c>
      <c r="P1824" s="3">
        <v>68.599999999999994</v>
      </c>
      <c r="Q1824" s="1">
        <v>46033</v>
      </c>
      <c r="R1824" s="1">
        <v>45992</v>
      </c>
      <c r="S1824" s="1">
        <v>46022</v>
      </c>
      <c r="V1824" s="8">
        <v>1</v>
      </c>
      <c r="W1824" t="s">
        <v>24</v>
      </c>
      <c r="X1824" t="s">
        <v>1442</v>
      </c>
      <c r="Y1824" t="s">
        <v>10</v>
      </c>
      <c r="Z1824" t="s">
        <v>11</v>
      </c>
      <c r="AA1824">
        <v>62371</v>
      </c>
      <c r="AB1824">
        <v>18194184</v>
      </c>
      <c r="AC1824">
        <v>0</v>
      </c>
      <c r="AD1824" s="8"/>
    </row>
    <row r="1825" spans="1:30" x14ac:dyDescent="0.3">
      <c r="A1825" t="s">
        <v>1627</v>
      </c>
      <c r="B1825">
        <v>1412131</v>
      </c>
      <c r="D1825" t="s">
        <v>7</v>
      </c>
      <c r="E1825">
        <v>946359</v>
      </c>
      <c r="F1825">
        <v>9015884123</v>
      </c>
      <c r="G1825">
        <v>352</v>
      </c>
      <c r="H1825" t="s">
        <v>427</v>
      </c>
      <c r="I1825">
        <v>0</v>
      </c>
      <c r="J1825" t="s">
        <v>428</v>
      </c>
      <c r="K1825" t="s">
        <v>8</v>
      </c>
      <c r="L1825" t="s">
        <v>67</v>
      </c>
      <c r="M1825" t="s">
        <v>9</v>
      </c>
      <c r="N1825" t="s">
        <v>14</v>
      </c>
      <c r="O1825" s="2">
        <v>162514.15</v>
      </c>
      <c r="P1825" s="3">
        <v>1140.999</v>
      </c>
      <c r="Q1825" s="1">
        <v>46033</v>
      </c>
      <c r="R1825" s="1">
        <v>45992</v>
      </c>
      <c r="S1825" s="1">
        <v>46022</v>
      </c>
      <c r="V1825" s="8">
        <v>1</v>
      </c>
      <c r="W1825" t="s">
        <v>24</v>
      </c>
      <c r="X1825" t="s">
        <v>429</v>
      </c>
      <c r="Y1825" t="s">
        <v>10</v>
      </c>
      <c r="Z1825" t="s">
        <v>11</v>
      </c>
      <c r="AA1825">
        <v>62371</v>
      </c>
      <c r="AB1825">
        <v>19680216</v>
      </c>
      <c r="AC1825">
        <v>0</v>
      </c>
      <c r="AD1825" s="8"/>
    </row>
    <row r="1826" spans="1:30" x14ac:dyDescent="0.3">
      <c r="A1826" t="s">
        <v>1627</v>
      </c>
      <c r="B1826">
        <v>1412144</v>
      </c>
      <c r="D1826" t="s">
        <v>7</v>
      </c>
      <c r="E1826">
        <v>946396</v>
      </c>
      <c r="F1826">
        <v>9015884123</v>
      </c>
      <c r="G1826">
        <v>372</v>
      </c>
      <c r="H1826" t="s">
        <v>1443</v>
      </c>
      <c r="I1826">
        <v>0</v>
      </c>
      <c r="J1826" t="s">
        <v>1444</v>
      </c>
      <c r="K1826" t="s">
        <v>8</v>
      </c>
      <c r="L1826" t="s">
        <v>67</v>
      </c>
      <c r="M1826" t="s">
        <v>9</v>
      </c>
      <c r="N1826" t="s">
        <v>14</v>
      </c>
      <c r="O1826" s="2">
        <v>207544.86</v>
      </c>
      <c r="P1826" s="3">
        <v>1457.1559999999999</v>
      </c>
      <c r="Q1826" s="1">
        <v>46033</v>
      </c>
      <c r="R1826" s="1">
        <v>45992</v>
      </c>
      <c r="S1826" s="1">
        <v>46022</v>
      </c>
      <c r="V1826" s="8">
        <v>1</v>
      </c>
      <c r="W1826" t="s">
        <v>24</v>
      </c>
      <c r="X1826" t="s">
        <v>1445</v>
      </c>
      <c r="Y1826" t="s">
        <v>10</v>
      </c>
      <c r="Z1826" t="s">
        <v>11</v>
      </c>
      <c r="AA1826">
        <v>62371</v>
      </c>
      <c r="AB1826">
        <v>21245164</v>
      </c>
      <c r="AC1826">
        <v>0</v>
      </c>
      <c r="AD1826" s="8"/>
    </row>
    <row r="1827" spans="1:30" x14ac:dyDescent="0.3">
      <c r="A1827" t="s">
        <v>1627</v>
      </c>
      <c r="B1827">
        <v>1412643</v>
      </c>
      <c r="D1827" t="s">
        <v>7</v>
      </c>
      <c r="E1827">
        <v>946402</v>
      </c>
      <c r="F1827">
        <v>9015884123</v>
      </c>
      <c r="G1827">
        <v>374</v>
      </c>
      <c r="H1827" t="s">
        <v>1274</v>
      </c>
      <c r="I1827">
        <v>0</v>
      </c>
      <c r="J1827" t="s">
        <v>1275</v>
      </c>
      <c r="K1827" t="s">
        <v>8</v>
      </c>
      <c r="L1827" t="s">
        <v>18</v>
      </c>
      <c r="M1827" t="s">
        <v>9</v>
      </c>
      <c r="N1827" t="s">
        <v>14</v>
      </c>
      <c r="O1827" s="2">
        <v>0</v>
      </c>
      <c r="P1827" s="3">
        <v>0</v>
      </c>
      <c r="Q1827" s="1">
        <v>46033</v>
      </c>
      <c r="R1827" s="1">
        <v>45992</v>
      </c>
      <c r="S1827" s="1">
        <v>46022</v>
      </c>
      <c r="V1827" s="8">
        <v>1</v>
      </c>
      <c r="W1827" t="s">
        <v>24</v>
      </c>
      <c r="X1827" t="s">
        <v>1276</v>
      </c>
      <c r="Y1827" t="s">
        <v>10</v>
      </c>
      <c r="Z1827" t="s">
        <v>11</v>
      </c>
      <c r="AA1827">
        <v>62371</v>
      </c>
      <c r="AB1827">
        <v>21240554</v>
      </c>
      <c r="AC1827">
        <v>0</v>
      </c>
      <c r="AD1827" s="8"/>
    </row>
    <row r="1828" spans="1:30" x14ac:dyDescent="0.3">
      <c r="A1828" t="s">
        <v>1627</v>
      </c>
      <c r="B1828">
        <v>1413688</v>
      </c>
      <c r="D1828" t="s">
        <v>7</v>
      </c>
      <c r="E1828">
        <v>946427</v>
      </c>
      <c r="F1828">
        <v>9015884123</v>
      </c>
      <c r="G1828">
        <v>382</v>
      </c>
      <c r="H1828" t="s">
        <v>1265</v>
      </c>
      <c r="I1828">
        <v>0</v>
      </c>
      <c r="J1828" t="s">
        <v>1266</v>
      </c>
      <c r="K1828" t="s">
        <v>8</v>
      </c>
      <c r="L1828" t="s">
        <v>15</v>
      </c>
      <c r="M1828" t="s">
        <v>9</v>
      </c>
      <c r="N1828" t="s">
        <v>14</v>
      </c>
      <c r="O1828" s="2">
        <v>0</v>
      </c>
      <c r="P1828" s="3">
        <v>33692.730000000003</v>
      </c>
      <c r="Q1828" s="1">
        <v>46033</v>
      </c>
      <c r="R1828" s="1">
        <v>45992</v>
      </c>
      <c r="S1828" s="1">
        <v>46022</v>
      </c>
      <c r="V1828" s="8">
        <v>2</v>
      </c>
      <c r="W1828" t="s">
        <v>24</v>
      </c>
      <c r="X1828" t="s">
        <v>1267</v>
      </c>
      <c r="Y1828" t="s">
        <v>10</v>
      </c>
      <c r="Z1828" t="s">
        <v>11</v>
      </c>
      <c r="AA1828">
        <v>62371</v>
      </c>
      <c r="AB1828">
        <v>17185784</v>
      </c>
      <c r="AC1828">
        <v>1</v>
      </c>
      <c r="AD1828" s="8"/>
    </row>
    <row r="1829" spans="1:30" x14ac:dyDescent="0.3">
      <c r="A1829" t="s">
        <v>1627</v>
      </c>
      <c r="B1829">
        <v>1412141</v>
      </c>
      <c r="D1829" t="s">
        <v>7</v>
      </c>
      <c r="E1829">
        <v>946388</v>
      </c>
      <c r="F1829">
        <v>9015884123</v>
      </c>
      <c r="G1829">
        <v>368</v>
      </c>
      <c r="H1829" t="s">
        <v>919</v>
      </c>
      <c r="I1829">
        <v>0</v>
      </c>
      <c r="J1829" t="s">
        <v>920</v>
      </c>
      <c r="K1829" t="s">
        <v>8</v>
      </c>
      <c r="L1829" t="s">
        <v>18</v>
      </c>
      <c r="M1829" t="s">
        <v>9</v>
      </c>
      <c r="N1829" t="s">
        <v>14</v>
      </c>
      <c r="O1829" s="2">
        <v>4.7300000000000004</v>
      </c>
      <c r="P1829" s="3">
        <v>0</v>
      </c>
      <c r="Q1829" s="1">
        <v>46033</v>
      </c>
      <c r="R1829" s="1">
        <v>45992</v>
      </c>
      <c r="S1829" s="1">
        <v>46022</v>
      </c>
      <c r="V1829" s="8">
        <v>1</v>
      </c>
      <c r="W1829" t="s">
        <v>24</v>
      </c>
      <c r="X1829" t="s">
        <v>921</v>
      </c>
      <c r="Y1829" t="s">
        <v>10</v>
      </c>
      <c r="Z1829" t="s">
        <v>11</v>
      </c>
      <c r="AA1829">
        <v>62371</v>
      </c>
      <c r="AB1829">
        <v>18664152</v>
      </c>
      <c r="AC1829">
        <v>0</v>
      </c>
      <c r="AD1829" s="8"/>
    </row>
    <row r="1830" spans="1:30" x14ac:dyDescent="0.3">
      <c r="A1830" t="s">
        <v>1627</v>
      </c>
      <c r="B1830">
        <v>1415466</v>
      </c>
      <c r="D1830" t="s">
        <v>7</v>
      </c>
      <c r="E1830">
        <v>946479</v>
      </c>
      <c r="F1830">
        <v>9015884123</v>
      </c>
      <c r="G1830">
        <v>398</v>
      </c>
      <c r="H1830" t="s">
        <v>457</v>
      </c>
      <c r="I1830">
        <v>0</v>
      </c>
      <c r="J1830" t="s">
        <v>458</v>
      </c>
      <c r="K1830" t="s">
        <v>8</v>
      </c>
      <c r="L1830" t="s">
        <v>67</v>
      </c>
      <c r="M1830" t="s">
        <v>9</v>
      </c>
      <c r="N1830" t="s">
        <v>14</v>
      </c>
      <c r="O1830" s="2">
        <v>283386.33</v>
      </c>
      <c r="P1830" s="3">
        <v>1989.633</v>
      </c>
      <c r="Q1830" s="1">
        <v>46033</v>
      </c>
      <c r="R1830" s="1">
        <v>45992</v>
      </c>
      <c r="S1830" s="1">
        <v>46022</v>
      </c>
      <c r="V1830" s="8">
        <v>1</v>
      </c>
      <c r="W1830" t="s">
        <v>24</v>
      </c>
      <c r="X1830" t="s">
        <v>459</v>
      </c>
      <c r="Y1830" t="s">
        <v>10</v>
      </c>
      <c r="Z1830" t="s">
        <v>11</v>
      </c>
      <c r="AA1830">
        <v>62371</v>
      </c>
      <c r="AB1830">
        <v>17178482</v>
      </c>
      <c r="AC1830">
        <v>0</v>
      </c>
      <c r="AD1830" s="8"/>
    </row>
    <row r="1831" spans="1:30" x14ac:dyDescent="0.3">
      <c r="A1831" t="s">
        <v>1627</v>
      </c>
      <c r="B1831">
        <v>1415530</v>
      </c>
      <c r="D1831" t="s">
        <v>7</v>
      </c>
      <c r="E1831">
        <v>946525</v>
      </c>
      <c r="F1831">
        <v>9015884123</v>
      </c>
      <c r="G1831">
        <v>413</v>
      </c>
      <c r="H1831" t="s">
        <v>1280</v>
      </c>
      <c r="I1831">
        <v>0</v>
      </c>
      <c r="J1831" t="s">
        <v>1281</v>
      </c>
      <c r="K1831" t="s">
        <v>8</v>
      </c>
      <c r="L1831" t="s">
        <v>67</v>
      </c>
      <c r="M1831" t="s">
        <v>9</v>
      </c>
      <c r="N1831" t="s">
        <v>14</v>
      </c>
      <c r="O1831" s="2">
        <v>1608678.17</v>
      </c>
      <c r="P1831" s="3">
        <v>11294.402</v>
      </c>
      <c r="Q1831" s="1">
        <v>46033</v>
      </c>
      <c r="R1831" s="1">
        <v>45992</v>
      </c>
      <c r="S1831" s="1">
        <v>46022</v>
      </c>
      <c r="V1831" s="8">
        <v>1</v>
      </c>
      <c r="W1831" t="s">
        <v>24</v>
      </c>
      <c r="X1831" t="s">
        <v>1282</v>
      </c>
      <c r="Y1831" t="s">
        <v>10</v>
      </c>
      <c r="Z1831" t="s">
        <v>11</v>
      </c>
      <c r="AA1831">
        <v>62371</v>
      </c>
      <c r="AB1831">
        <v>19391536</v>
      </c>
      <c r="AC1831">
        <v>0</v>
      </c>
      <c r="AD1831" s="8"/>
    </row>
    <row r="1832" spans="1:30" x14ac:dyDescent="0.3">
      <c r="A1832" t="s">
        <v>1627</v>
      </c>
      <c r="B1832">
        <v>1415539</v>
      </c>
      <c r="D1832" t="s">
        <v>7</v>
      </c>
      <c r="E1832">
        <v>946557</v>
      </c>
      <c r="F1832">
        <v>9015884123</v>
      </c>
      <c r="G1832">
        <v>422</v>
      </c>
      <c r="H1832" t="s">
        <v>925</v>
      </c>
      <c r="I1832">
        <v>0</v>
      </c>
      <c r="J1832" t="s">
        <v>926</v>
      </c>
      <c r="K1832" t="s">
        <v>8</v>
      </c>
      <c r="L1832" t="s">
        <v>18</v>
      </c>
      <c r="M1832" t="s">
        <v>9</v>
      </c>
      <c r="N1832" t="s">
        <v>14</v>
      </c>
      <c r="O1832" s="2">
        <v>-1.95</v>
      </c>
      <c r="P1832" s="3">
        <v>0</v>
      </c>
      <c r="Q1832" s="1">
        <v>46033</v>
      </c>
      <c r="R1832" s="1">
        <v>45992</v>
      </c>
      <c r="S1832" s="1">
        <v>46022</v>
      </c>
      <c r="V1832" s="8">
        <v>2</v>
      </c>
      <c r="W1832" t="s">
        <v>24</v>
      </c>
      <c r="X1832" t="s">
        <v>927</v>
      </c>
      <c r="Y1832" t="s">
        <v>10</v>
      </c>
      <c r="Z1832" t="s">
        <v>11</v>
      </c>
      <c r="AA1832">
        <v>62371</v>
      </c>
      <c r="AB1832">
        <v>21378050</v>
      </c>
      <c r="AC1832">
        <v>1</v>
      </c>
      <c r="AD1832" s="8"/>
    </row>
    <row r="1833" spans="1:30" x14ac:dyDescent="0.3">
      <c r="A1833" t="s">
        <v>1627</v>
      </c>
      <c r="B1833">
        <v>1413683</v>
      </c>
      <c r="D1833" t="s">
        <v>7</v>
      </c>
      <c r="E1833">
        <v>946573</v>
      </c>
      <c r="F1833">
        <v>9015884123</v>
      </c>
      <c r="G1833">
        <v>427</v>
      </c>
      <c r="H1833" t="s">
        <v>466</v>
      </c>
      <c r="I1833">
        <v>0</v>
      </c>
      <c r="J1833" t="s">
        <v>467</v>
      </c>
      <c r="K1833" t="s">
        <v>8</v>
      </c>
      <c r="L1833" t="s">
        <v>15</v>
      </c>
      <c r="M1833" t="s">
        <v>9</v>
      </c>
      <c r="N1833" t="s">
        <v>14</v>
      </c>
      <c r="O1833" s="2">
        <v>0</v>
      </c>
      <c r="P1833" s="3">
        <v>2195.4430000000002</v>
      </c>
      <c r="Q1833" s="1">
        <v>46033</v>
      </c>
      <c r="R1833" s="1">
        <v>45992</v>
      </c>
      <c r="S1833" s="1">
        <v>46022</v>
      </c>
      <c r="V1833" s="8">
        <v>1</v>
      </c>
      <c r="W1833" t="s">
        <v>24</v>
      </c>
      <c r="X1833" t="s">
        <v>468</v>
      </c>
      <c r="Y1833" t="s">
        <v>10</v>
      </c>
      <c r="Z1833" t="s">
        <v>11</v>
      </c>
      <c r="AA1833">
        <v>62371</v>
      </c>
      <c r="AB1833">
        <v>17066681</v>
      </c>
      <c r="AC1833">
        <v>0</v>
      </c>
      <c r="AD1833" s="8"/>
    </row>
    <row r="1834" spans="1:30" x14ac:dyDescent="0.3">
      <c r="A1834" t="s">
        <v>1627</v>
      </c>
      <c r="B1834">
        <v>1418013</v>
      </c>
      <c r="D1834" t="s">
        <v>7</v>
      </c>
      <c r="E1834">
        <v>946628</v>
      </c>
      <c r="F1834">
        <v>9015884123</v>
      </c>
      <c r="G1834">
        <v>444</v>
      </c>
      <c r="H1834" t="s">
        <v>472</v>
      </c>
      <c r="I1834">
        <v>0</v>
      </c>
      <c r="J1834" t="s">
        <v>473</v>
      </c>
      <c r="K1834" t="s">
        <v>8</v>
      </c>
      <c r="L1834" t="s">
        <v>67</v>
      </c>
      <c r="M1834" t="s">
        <v>9</v>
      </c>
      <c r="N1834" t="s">
        <v>14</v>
      </c>
      <c r="O1834" s="2">
        <v>972249.11</v>
      </c>
      <c r="P1834" s="3">
        <v>6826.0839999999998</v>
      </c>
      <c r="Q1834" s="1">
        <v>46033</v>
      </c>
      <c r="R1834" s="1">
        <v>45992</v>
      </c>
      <c r="S1834" s="1">
        <v>46022</v>
      </c>
      <c r="V1834" s="8">
        <v>1</v>
      </c>
      <c r="W1834" t="s">
        <v>24</v>
      </c>
      <c r="X1834" t="s">
        <v>474</v>
      </c>
      <c r="Y1834" t="s">
        <v>10</v>
      </c>
      <c r="Z1834" t="s">
        <v>11</v>
      </c>
      <c r="AA1834">
        <v>62371</v>
      </c>
      <c r="AB1834">
        <v>19389799</v>
      </c>
      <c r="AC1834">
        <v>0</v>
      </c>
      <c r="AD1834" s="8"/>
    </row>
    <row r="1835" spans="1:30" x14ac:dyDescent="0.3">
      <c r="A1835" t="s">
        <v>1627</v>
      </c>
      <c r="B1835">
        <v>1418879</v>
      </c>
      <c r="D1835" t="s">
        <v>7</v>
      </c>
      <c r="E1835">
        <v>946655</v>
      </c>
      <c r="F1835">
        <v>9015884123</v>
      </c>
      <c r="G1835">
        <v>454</v>
      </c>
      <c r="H1835" t="s">
        <v>1570</v>
      </c>
      <c r="I1835">
        <v>0</v>
      </c>
      <c r="J1835" t="s">
        <v>1571</v>
      </c>
      <c r="K1835" t="s">
        <v>8</v>
      </c>
      <c r="L1835" t="s">
        <v>67</v>
      </c>
      <c r="M1835" t="s">
        <v>9</v>
      </c>
      <c r="N1835" t="s">
        <v>14</v>
      </c>
      <c r="O1835" s="2">
        <v>271818.48</v>
      </c>
      <c r="P1835" s="3">
        <v>1908.4159999999999</v>
      </c>
      <c r="Q1835" s="1">
        <v>46033</v>
      </c>
      <c r="R1835" s="1">
        <v>45992</v>
      </c>
      <c r="S1835" s="1">
        <v>46022</v>
      </c>
      <c r="V1835" s="8">
        <v>1</v>
      </c>
      <c r="W1835" t="s">
        <v>24</v>
      </c>
      <c r="X1835" t="s">
        <v>1572</v>
      </c>
      <c r="Y1835" t="s">
        <v>10</v>
      </c>
      <c r="Z1835" t="s">
        <v>11</v>
      </c>
      <c r="AA1835">
        <v>62371</v>
      </c>
      <c r="AB1835">
        <v>21185176</v>
      </c>
      <c r="AC1835">
        <v>0</v>
      </c>
      <c r="AD1835" s="8"/>
    </row>
    <row r="1836" spans="1:30" x14ac:dyDescent="0.3">
      <c r="A1836" t="s">
        <v>1627</v>
      </c>
      <c r="B1836">
        <v>1420781</v>
      </c>
      <c r="D1836" t="s">
        <v>7</v>
      </c>
      <c r="E1836">
        <v>946680</v>
      </c>
      <c r="F1836">
        <v>9015884123</v>
      </c>
      <c r="G1836">
        <v>462</v>
      </c>
      <c r="H1836" t="s">
        <v>1286</v>
      </c>
      <c r="I1836">
        <v>0</v>
      </c>
      <c r="J1836" t="s">
        <v>1287</v>
      </c>
      <c r="K1836" t="s">
        <v>8</v>
      </c>
      <c r="L1836" t="s">
        <v>67</v>
      </c>
      <c r="M1836" t="s">
        <v>9</v>
      </c>
      <c r="N1836" t="s">
        <v>14</v>
      </c>
      <c r="O1836" s="2">
        <v>559758.77</v>
      </c>
      <c r="P1836" s="3">
        <v>3930.0219999999999</v>
      </c>
      <c r="Q1836" s="1">
        <v>46033</v>
      </c>
      <c r="R1836" s="1">
        <v>45992</v>
      </c>
      <c r="S1836" s="1">
        <v>46022</v>
      </c>
      <c r="V1836" s="8">
        <v>1</v>
      </c>
      <c r="W1836" t="s">
        <v>24</v>
      </c>
      <c r="X1836" t="s">
        <v>1288</v>
      </c>
      <c r="Y1836" t="s">
        <v>10</v>
      </c>
      <c r="Z1836" t="s">
        <v>11</v>
      </c>
      <c r="AA1836">
        <v>62371</v>
      </c>
      <c r="AB1836">
        <v>20033949</v>
      </c>
      <c r="AC1836">
        <v>0</v>
      </c>
      <c r="AD1836" s="8"/>
    </row>
    <row r="1837" spans="1:30" x14ac:dyDescent="0.3">
      <c r="A1837" t="s">
        <v>1627</v>
      </c>
      <c r="B1837">
        <v>1420781</v>
      </c>
      <c r="D1837" t="s">
        <v>7</v>
      </c>
      <c r="E1837">
        <v>946680</v>
      </c>
      <c r="F1837">
        <v>9015884123</v>
      </c>
      <c r="G1837">
        <v>462</v>
      </c>
      <c r="H1837" t="s">
        <v>1286</v>
      </c>
      <c r="I1837">
        <v>0</v>
      </c>
      <c r="J1837" t="s">
        <v>1287</v>
      </c>
      <c r="K1837" t="s">
        <v>8</v>
      </c>
      <c r="L1837" t="s">
        <v>18</v>
      </c>
      <c r="M1837" t="s">
        <v>9</v>
      </c>
      <c r="N1837" t="s">
        <v>14</v>
      </c>
      <c r="O1837" s="2">
        <v>3.07</v>
      </c>
      <c r="P1837" s="3">
        <v>0</v>
      </c>
      <c r="Q1837" s="1">
        <v>46033</v>
      </c>
      <c r="R1837" s="1">
        <v>45992</v>
      </c>
      <c r="S1837" s="1">
        <v>46022</v>
      </c>
      <c r="V1837" s="8">
        <v>1</v>
      </c>
      <c r="W1837" t="s">
        <v>24</v>
      </c>
      <c r="X1837" t="s">
        <v>1288</v>
      </c>
      <c r="Y1837" t="s">
        <v>10</v>
      </c>
      <c r="Z1837" t="s">
        <v>11</v>
      </c>
      <c r="AA1837">
        <v>62371</v>
      </c>
      <c r="AB1837">
        <v>20033949</v>
      </c>
      <c r="AC1837">
        <v>0</v>
      </c>
      <c r="AD1837" s="8"/>
    </row>
    <row r="1838" spans="1:30" x14ac:dyDescent="0.3">
      <c r="A1838" t="s">
        <v>1627</v>
      </c>
      <c r="B1838">
        <v>1446204</v>
      </c>
      <c r="D1838" t="s">
        <v>7</v>
      </c>
      <c r="E1838">
        <v>946894</v>
      </c>
      <c r="F1838">
        <v>9015884123</v>
      </c>
      <c r="G1838">
        <v>529</v>
      </c>
      <c r="H1838" t="s">
        <v>979</v>
      </c>
      <c r="I1838">
        <v>0</v>
      </c>
      <c r="J1838" t="s">
        <v>980</v>
      </c>
      <c r="K1838" t="s">
        <v>8</v>
      </c>
      <c r="L1838" t="s">
        <v>67</v>
      </c>
      <c r="M1838" t="s">
        <v>9</v>
      </c>
      <c r="N1838" t="s">
        <v>14</v>
      </c>
      <c r="O1838" s="2">
        <v>851506.12</v>
      </c>
      <c r="P1838" s="3">
        <v>5978.357</v>
      </c>
      <c r="Q1838" s="1">
        <v>46033</v>
      </c>
      <c r="R1838" s="1">
        <v>45992</v>
      </c>
      <c r="S1838" s="1">
        <v>46022</v>
      </c>
      <c r="V1838" s="8">
        <v>1</v>
      </c>
      <c r="W1838" t="s">
        <v>24</v>
      </c>
      <c r="X1838" t="s">
        <v>981</v>
      </c>
      <c r="Y1838" t="s">
        <v>10</v>
      </c>
      <c r="Z1838" t="s">
        <v>11</v>
      </c>
      <c r="AA1838">
        <v>62371</v>
      </c>
      <c r="AB1838">
        <v>19389550</v>
      </c>
      <c r="AC1838">
        <v>0</v>
      </c>
      <c r="AD1838" s="8"/>
    </row>
    <row r="1839" spans="1:30" x14ac:dyDescent="0.3">
      <c r="A1839" t="s">
        <v>1627</v>
      </c>
      <c r="B1839">
        <v>1446205</v>
      </c>
      <c r="D1839" t="s">
        <v>7</v>
      </c>
      <c r="E1839">
        <v>946898</v>
      </c>
      <c r="F1839">
        <v>9015884123</v>
      </c>
      <c r="G1839">
        <v>530</v>
      </c>
      <c r="H1839" t="s">
        <v>535</v>
      </c>
      <c r="I1839">
        <v>0</v>
      </c>
      <c r="J1839" t="s">
        <v>536</v>
      </c>
      <c r="K1839" t="s">
        <v>8</v>
      </c>
      <c r="L1839" t="s">
        <v>67</v>
      </c>
      <c r="M1839" t="s">
        <v>9</v>
      </c>
      <c r="N1839" t="s">
        <v>14</v>
      </c>
      <c r="O1839" s="2">
        <v>3469862.95</v>
      </c>
      <c r="P1839" s="3">
        <v>32129.625</v>
      </c>
      <c r="Q1839" s="1">
        <v>46033</v>
      </c>
      <c r="R1839" s="1">
        <v>45992</v>
      </c>
      <c r="S1839" s="1">
        <v>46022</v>
      </c>
      <c r="V1839" s="8">
        <v>1</v>
      </c>
      <c r="W1839" t="s">
        <v>24</v>
      </c>
      <c r="X1839" t="s">
        <v>537</v>
      </c>
      <c r="Y1839" t="s">
        <v>10</v>
      </c>
      <c r="Z1839" t="s">
        <v>11</v>
      </c>
      <c r="AA1839">
        <v>62371</v>
      </c>
      <c r="AB1839">
        <v>21127206</v>
      </c>
      <c r="AC1839">
        <v>1</v>
      </c>
      <c r="AD1839" s="8"/>
    </row>
    <row r="1840" spans="1:30" x14ac:dyDescent="0.3">
      <c r="A1840" t="s">
        <v>1627</v>
      </c>
      <c r="B1840">
        <v>1297678</v>
      </c>
      <c r="D1840" t="s">
        <v>7</v>
      </c>
      <c r="E1840">
        <v>945127</v>
      </c>
      <c r="F1840">
        <v>9015884123</v>
      </c>
      <c r="G1840">
        <v>16</v>
      </c>
      <c r="H1840" t="s">
        <v>1003</v>
      </c>
      <c r="I1840">
        <v>0</v>
      </c>
      <c r="J1840" t="s">
        <v>1004</v>
      </c>
      <c r="K1840" t="s">
        <v>8</v>
      </c>
      <c r="L1840" t="s">
        <v>15</v>
      </c>
      <c r="M1840" t="s">
        <v>9</v>
      </c>
      <c r="N1840" t="s">
        <v>14</v>
      </c>
      <c r="O1840" s="2">
        <v>0</v>
      </c>
      <c r="P1840" s="3">
        <v>507.47399999999999</v>
      </c>
      <c r="Q1840" s="1">
        <v>46033</v>
      </c>
      <c r="R1840" s="1">
        <v>45992</v>
      </c>
      <c r="S1840" s="1">
        <v>46022</v>
      </c>
      <c r="V1840" s="8">
        <v>1</v>
      </c>
      <c r="W1840" t="s">
        <v>24</v>
      </c>
      <c r="X1840" t="s">
        <v>1005</v>
      </c>
      <c r="Y1840" t="s">
        <v>10</v>
      </c>
      <c r="Z1840" t="s">
        <v>11</v>
      </c>
      <c r="AA1840">
        <v>62371</v>
      </c>
      <c r="AB1840">
        <v>21394687</v>
      </c>
      <c r="AC1840">
        <v>1</v>
      </c>
      <c r="AD1840" s="8"/>
    </row>
    <row r="1841" spans="1:30" x14ac:dyDescent="0.3">
      <c r="A1841" t="s">
        <v>1627</v>
      </c>
      <c r="B1841">
        <v>1296893</v>
      </c>
      <c r="D1841" t="s">
        <v>7</v>
      </c>
      <c r="E1841">
        <v>945119</v>
      </c>
      <c r="F1841">
        <v>9015884123</v>
      </c>
      <c r="G1841">
        <v>12</v>
      </c>
      <c r="H1841" t="s">
        <v>1479</v>
      </c>
      <c r="I1841">
        <v>0</v>
      </c>
      <c r="J1841" t="s">
        <v>1480</v>
      </c>
      <c r="K1841" t="s">
        <v>8</v>
      </c>
      <c r="L1841" t="s">
        <v>18</v>
      </c>
      <c r="M1841" t="s">
        <v>9</v>
      </c>
      <c r="N1841" t="s">
        <v>14</v>
      </c>
      <c r="O1841" s="2">
        <v>-4.45</v>
      </c>
      <c r="P1841" s="3">
        <v>0</v>
      </c>
      <c r="Q1841" s="1">
        <v>46033</v>
      </c>
      <c r="R1841" s="1">
        <v>45992</v>
      </c>
      <c r="S1841" s="1">
        <v>46022</v>
      </c>
      <c r="V1841" s="8">
        <v>1</v>
      </c>
      <c r="W1841" t="s">
        <v>24</v>
      </c>
      <c r="X1841" t="s">
        <v>1481</v>
      </c>
      <c r="Y1841" t="s">
        <v>10</v>
      </c>
      <c r="Z1841" t="s">
        <v>11</v>
      </c>
      <c r="AA1841">
        <v>62371</v>
      </c>
      <c r="AB1841">
        <v>21394695</v>
      </c>
      <c r="AC1841">
        <v>1</v>
      </c>
      <c r="AD1841" s="8"/>
    </row>
    <row r="1842" spans="1:30" x14ac:dyDescent="0.3">
      <c r="A1842" t="s">
        <v>1627</v>
      </c>
      <c r="B1842">
        <v>1296899</v>
      </c>
      <c r="D1842" t="s">
        <v>7</v>
      </c>
      <c r="E1842">
        <v>945123</v>
      </c>
      <c r="F1842">
        <v>9015884123</v>
      </c>
      <c r="G1842">
        <v>14</v>
      </c>
      <c r="H1842" t="s">
        <v>988</v>
      </c>
      <c r="I1842">
        <v>0</v>
      </c>
      <c r="J1842" t="s">
        <v>989</v>
      </c>
      <c r="K1842" t="s">
        <v>8</v>
      </c>
      <c r="L1842" t="s">
        <v>15</v>
      </c>
      <c r="M1842" t="s">
        <v>9</v>
      </c>
      <c r="N1842" t="s">
        <v>14</v>
      </c>
      <c r="O1842" s="2">
        <v>0</v>
      </c>
      <c r="P1842" s="3">
        <v>400.298</v>
      </c>
      <c r="Q1842" s="1">
        <v>46033</v>
      </c>
      <c r="R1842" s="1">
        <v>45992</v>
      </c>
      <c r="S1842" s="1">
        <v>46022</v>
      </c>
      <c r="V1842" s="8">
        <v>1</v>
      </c>
      <c r="W1842" t="s">
        <v>24</v>
      </c>
      <c r="X1842" t="s">
        <v>990</v>
      </c>
      <c r="Y1842" t="s">
        <v>10</v>
      </c>
      <c r="Z1842" t="s">
        <v>11</v>
      </c>
      <c r="AA1842">
        <v>62371</v>
      </c>
      <c r="AB1842">
        <v>21394691</v>
      </c>
      <c r="AC1842">
        <v>1</v>
      </c>
      <c r="AD1842" s="8"/>
    </row>
    <row r="1843" spans="1:30" x14ac:dyDescent="0.3">
      <c r="A1843" t="s">
        <v>1627</v>
      </c>
      <c r="B1843">
        <v>1297930</v>
      </c>
      <c r="D1843" t="s">
        <v>7</v>
      </c>
      <c r="E1843">
        <v>945138</v>
      </c>
      <c r="F1843">
        <v>9015884123</v>
      </c>
      <c r="G1843">
        <v>20</v>
      </c>
      <c r="H1843" t="s">
        <v>1006</v>
      </c>
      <c r="I1843">
        <v>0</v>
      </c>
      <c r="J1843" t="s">
        <v>1007</v>
      </c>
      <c r="K1843" t="s">
        <v>8</v>
      </c>
      <c r="L1843" t="s">
        <v>19</v>
      </c>
      <c r="M1843" t="s">
        <v>9</v>
      </c>
      <c r="N1843" t="s">
        <v>14</v>
      </c>
      <c r="O1843" s="2">
        <v>195.46</v>
      </c>
      <c r="P1843" s="3">
        <v>1.198</v>
      </c>
      <c r="Q1843" s="1">
        <v>46033</v>
      </c>
      <c r="R1843" s="1">
        <v>45992</v>
      </c>
      <c r="S1843" s="1">
        <v>46022</v>
      </c>
      <c r="V1843" s="8">
        <v>1</v>
      </c>
      <c r="W1843" t="s">
        <v>24</v>
      </c>
      <c r="X1843" t="s">
        <v>1008</v>
      </c>
      <c r="Y1843" t="s">
        <v>10</v>
      </c>
      <c r="Z1843" t="s">
        <v>11</v>
      </c>
      <c r="AA1843">
        <v>62371</v>
      </c>
      <c r="AB1843">
        <v>21394684</v>
      </c>
      <c r="AC1843">
        <v>1</v>
      </c>
      <c r="AD1843" s="8"/>
    </row>
    <row r="1844" spans="1:30" x14ac:dyDescent="0.3">
      <c r="A1844" t="s">
        <v>1627</v>
      </c>
      <c r="B1844">
        <v>1428402</v>
      </c>
      <c r="D1844" t="s">
        <v>7</v>
      </c>
      <c r="E1844">
        <v>946722</v>
      </c>
      <c r="F1844">
        <v>9015884123</v>
      </c>
      <c r="G1844">
        <v>475</v>
      </c>
      <c r="H1844" t="s">
        <v>1298</v>
      </c>
      <c r="I1844">
        <v>0</v>
      </c>
      <c r="J1844" t="s">
        <v>1299</v>
      </c>
      <c r="K1844" t="s">
        <v>8</v>
      </c>
      <c r="L1844" t="s">
        <v>15</v>
      </c>
      <c r="M1844" t="s">
        <v>9</v>
      </c>
      <c r="N1844" t="s">
        <v>14</v>
      </c>
      <c r="O1844" s="2">
        <v>0</v>
      </c>
      <c r="P1844" s="3">
        <v>0</v>
      </c>
      <c r="Q1844" s="1">
        <v>46033</v>
      </c>
      <c r="R1844" s="1">
        <v>45992</v>
      </c>
      <c r="S1844" s="1">
        <v>46022</v>
      </c>
      <c r="V1844" s="8">
        <v>1</v>
      </c>
      <c r="W1844" t="s">
        <v>24</v>
      </c>
      <c r="X1844" t="s">
        <v>1300</v>
      </c>
      <c r="Y1844" t="s">
        <v>10</v>
      </c>
      <c r="Z1844" t="s">
        <v>11</v>
      </c>
      <c r="AA1844">
        <v>62371</v>
      </c>
      <c r="AB1844">
        <v>21376441</v>
      </c>
      <c r="AC1844">
        <v>1</v>
      </c>
      <c r="AD1844" s="8"/>
    </row>
    <row r="1845" spans="1:30" x14ac:dyDescent="0.3">
      <c r="A1845" t="s">
        <v>1627</v>
      </c>
      <c r="B1845">
        <v>1304933</v>
      </c>
      <c r="D1845" t="s">
        <v>7</v>
      </c>
      <c r="E1845">
        <v>945167</v>
      </c>
      <c r="F1845">
        <v>9015884123</v>
      </c>
      <c r="G1845">
        <v>36</v>
      </c>
      <c r="H1845" t="s">
        <v>1582</v>
      </c>
      <c r="I1845">
        <v>0</v>
      </c>
      <c r="J1845" t="s">
        <v>1583</v>
      </c>
      <c r="K1845" t="s">
        <v>8</v>
      </c>
      <c r="L1845" t="s">
        <v>67</v>
      </c>
      <c r="M1845" t="s">
        <v>9</v>
      </c>
      <c r="N1845" t="s">
        <v>14</v>
      </c>
      <c r="O1845" s="2">
        <v>852784.01</v>
      </c>
      <c r="P1845" s="3">
        <v>7896.4589999999998</v>
      </c>
      <c r="Q1845" s="1">
        <v>46033</v>
      </c>
      <c r="R1845" s="1">
        <v>45992</v>
      </c>
      <c r="S1845" s="1">
        <v>46022</v>
      </c>
      <c r="V1845" s="8">
        <v>1</v>
      </c>
      <c r="W1845" t="s">
        <v>24</v>
      </c>
      <c r="X1845" t="s">
        <v>1584</v>
      </c>
      <c r="Y1845" t="s">
        <v>10</v>
      </c>
      <c r="Z1845" t="s">
        <v>11</v>
      </c>
      <c r="AA1845">
        <v>62371</v>
      </c>
      <c r="AB1845">
        <v>17058905</v>
      </c>
      <c r="AC1845">
        <v>1</v>
      </c>
      <c r="AD1845" s="8"/>
    </row>
    <row r="1846" spans="1:30" x14ac:dyDescent="0.3">
      <c r="A1846" t="s">
        <v>1627</v>
      </c>
      <c r="B1846">
        <v>1425190</v>
      </c>
      <c r="D1846" t="s">
        <v>7</v>
      </c>
      <c r="E1846">
        <v>946712</v>
      </c>
      <c r="F1846">
        <v>9015884123</v>
      </c>
      <c r="G1846">
        <v>471</v>
      </c>
      <c r="H1846" t="s">
        <v>1292</v>
      </c>
      <c r="I1846">
        <v>0</v>
      </c>
      <c r="J1846" t="s">
        <v>1293</v>
      </c>
      <c r="K1846" t="s">
        <v>8</v>
      </c>
      <c r="L1846" t="s">
        <v>18</v>
      </c>
      <c r="M1846" t="s">
        <v>9</v>
      </c>
      <c r="N1846" t="s">
        <v>14</v>
      </c>
      <c r="O1846" s="2">
        <v>-4.71</v>
      </c>
      <c r="P1846" s="3">
        <v>0</v>
      </c>
      <c r="Q1846" s="1">
        <v>46033</v>
      </c>
      <c r="R1846" s="1">
        <v>45992</v>
      </c>
      <c r="S1846" s="1">
        <v>46022</v>
      </c>
      <c r="V1846" s="8">
        <v>1</v>
      </c>
      <c r="W1846" t="s">
        <v>24</v>
      </c>
      <c r="X1846" t="s">
        <v>1294</v>
      </c>
      <c r="Y1846" t="s">
        <v>10</v>
      </c>
      <c r="Z1846" t="s">
        <v>11</v>
      </c>
      <c r="AA1846">
        <v>62371</v>
      </c>
      <c r="AB1846">
        <v>18930907</v>
      </c>
      <c r="AC1846">
        <v>1</v>
      </c>
      <c r="AD1846" s="8"/>
    </row>
    <row r="1847" spans="1:30" x14ac:dyDescent="0.3">
      <c r="A1847" t="s">
        <v>1627</v>
      </c>
      <c r="B1847">
        <v>1438082</v>
      </c>
      <c r="D1847" t="s">
        <v>7</v>
      </c>
      <c r="E1847">
        <v>946816</v>
      </c>
      <c r="F1847">
        <v>9015884123</v>
      </c>
      <c r="G1847">
        <v>506</v>
      </c>
      <c r="H1847" t="s">
        <v>1573</v>
      </c>
      <c r="I1847">
        <v>0</v>
      </c>
      <c r="J1847" t="s">
        <v>1574</v>
      </c>
      <c r="K1847" t="s">
        <v>8</v>
      </c>
      <c r="L1847" t="s">
        <v>18</v>
      </c>
      <c r="M1847" t="s">
        <v>9</v>
      </c>
      <c r="N1847" t="s">
        <v>14</v>
      </c>
      <c r="O1847" s="2">
        <v>4.96</v>
      </c>
      <c r="P1847" s="3">
        <v>0</v>
      </c>
      <c r="Q1847" s="1">
        <v>46033</v>
      </c>
      <c r="R1847" s="1">
        <v>45992</v>
      </c>
      <c r="S1847" s="1">
        <v>46022</v>
      </c>
      <c r="V1847" s="8">
        <v>1</v>
      </c>
      <c r="W1847" t="s">
        <v>24</v>
      </c>
      <c r="X1847" t="s">
        <v>1575</v>
      </c>
      <c r="Y1847" t="s">
        <v>10</v>
      </c>
      <c r="Z1847" t="s">
        <v>11</v>
      </c>
      <c r="AA1847">
        <v>62371</v>
      </c>
      <c r="AB1847">
        <v>17528426</v>
      </c>
      <c r="AC1847">
        <v>0</v>
      </c>
      <c r="AD1847" s="8"/>
    </row>
    <row r="1848" spans="1:30" x14ac:dyDescent="0.3">
      <c r="A1848" t="s">
        <v>1627</v>
      </c>
      <c r="B1848">
        <v>1428528</v>
      </c>
      <c r="D1848" t="s">
        <v>7</v>
      </c>
      <c r="E1848">
        <v>946806</v>
      </c>
      <c r="F1848">
        <v>9015884123</v>
      </c>
      <c r="G1848">
        <v>503</v>
      </c>
      <c r="H1848" t="s">
        <v>487</v>
      </c>
      <c r="I1848">
        <v>0</v>
      </c>
      <c r="J1848" t="s">
        <v>488</v>
      </c>
      <c r="K1848" t="s">
        <v>8</v>
      </c>
      <c r="L1848" t="s">
        <v>67</v>
      </c>
      <c r="M1848" t="s">
        <v>9</v>
      </c>
      <c r="N1848" t="s">
        <v>14</v>
      </c>
      <c r="O1848" s="2">
        <v>273510.25</v>
      </c>
      <c r="P1848" s="3">
        <v>2532.6019999999999</v>
      </c>
      <c r="Q1848" s="1">
        <v>46033</v>
      </c>
      <c r="R1848" s="1">
        <v>45992</v>
      </c>
      <c r="S1848" s="1">
        <v>46022</v>
      </c>
      <c r="V1848" s="8">
        <v>1</v>
      </c>
      <c r="W1848" t="s">
        <v>24</v>
      </c>
      <c r="X1848" t="s">
        <v>489</v>
      </c>
      <c r="Y1848" t="s">
        <v>10</v>
      </c>
      <c r="Z1848" t="s">
        <v>11</v>
      </c>
      <c r="AA1848">
        <v>62371</v>
      </c>
      <c r="AB1848">
        <v>21376634</v>
      </c>
      <c r="AC1848">
        <v>1</v>
      </c>
      <c r="AD1848" s="8"/>
    </row>
    <row r="1849" spans="1:30" x14ac:dyDescent="0.3">
      <c r="A1849" t="s">
        <v>1627</v>
      </c>
      <c r="B1849">
        <v>1428405</v>
      </c>
      <c r="D1849" t="s">
        <v>7</v>
      </c>
      <c r="E1849">
        <v>946735</v>
      </c>
      <c r="F1849">
        <v>9015884123</v>
      </c>
      <c r="G1849">
        <v>479</v>
      </c>
      <c r="H1849" t="s">
        <v>505</v>
      </c>
      <c r="I1849">
        <v>0</v>
      </c>
      <c r="J1849" t="s">
        <v>506</v>
      </c>
      <c r="K1849" t="s">
        <v>8</v>
      </c>
      <c r="L1849" t="s">
        <v>19</v>
      </c>
      <c r="M1849" t="s">
        <v>9</v>
      </c>
      <c r="N1849" t="s">
        <v>14</v>
      </c>
      <c r="O1849" s="2">
        <v>10719.68</v>
      </c>
      <c r="P1849" s="3">
        <v>65.701999999999998</v>
      </c>
      <c r="Q1849" s="1">
        <v>46033</v>
      </c>
      <c r="R1849" s="1">
        <v>45992</v>
      </c>
      <c r="S1849" s="1">
        <v>46022</v>
      </c>
      <c r="V1849" s="8">
        <v>1</v>
      </c>
      <c r="W1849" t="s">
        <v>24</v>
      </c>
      <c r="X1849" t="s">
        <v>507</v>
      </c>
      <c r="Y1849" t="s">
        <v>10</v>
      </c>
      <c r="Z1849" t="s">
        <v>11</v>
      </c>
      <c r="AA1849">
        <v>62371</v>
      </c>
      <c r="AB1849">
        <v>21376434</v>
      </c>
      <c r="AC1849">
        <v>1</v>
      </c>
      <c r="AD1849" s="8"/>
    </row>
    <row r="1850" spans="1:30" x14ac:dyDescent="0.3">
      <c r="A1850" t="s">
        <v>1627</v>
      </c>
      <c r="B1850">
        <v>1428431</v>
      </c>
      <c r="D1850" t="s">
        <v>7</v>
      </c>
      <c r="E1850">
        <v>946744</v>
      </c>
      <c r="F1850">
        <v>9015884123</v>
      </c>
      <c r="G1850">
        <v>482</v>
      </c>
      <c r="H1850" t="s">
        <v>1464</v>
      </c>
      <c r="I1850">
        <v>0</v>
      </c>
      <c r="J1850" t="s">
        <v>1465</v>
      </c>
      <c r="K1850" t="s">
        <v>8</v>
      </c>
      <c r="L1850" t="s">
        <v>15</v>
      </c>
      <c r="M1850" t="s">
        <v>9</v>
      </c>
      <c r="N1850" t="s">
        <v>14</v>
      </c>
      <c r="O1850" s="2">
        <v>0</v>
      </c>
      <c r="P1850" s="3">
        <v>2334.6959999999999</v>
      </c>
      <c r="Q1850" s="1">
        <v>46033</v>
      </c>
      <c r="R1850" s="1">
        <v>45992</v>
      </c>
      <c r="S1850" s="1">
        <v>46022</v>
      </c>
      <c r="V1850" s="8">
        <v>1</v>
      </c>
      <c r="W1850" t="s">
        <v>24</v>
      </c>
      <c r="X1850" t="s">
        <v>1466</v>
      </c>
      <c r="Y1850" t="s">
        <v>10</v>
      </c>
      <c r="Z1850" t="s">
        <v>11</v>
      </c>
      <c r="AA1850">
        <v>62371</v>
      </c>
      <c r="AB1850">
        <v>21491303</v>
      </c>
      <c r="AC1850">
        <v>1</v>
      </c>
      <c r="AD1850" s="8"/>
    </row>
    <row r="1851" spans="1:30" x14ac:dyDescent="0.3">
      <c r="A1851" t="s">
        <v>1627</v>
      </c>
      <c r="B1851">
        <v>1428422</v>
      </c>
      <c r="D1851" t="s">
        <v>7</v>
      </c>
      <c r="E1851">
        <v>946784</v>
      </c>
      <c r="F1851">
        <v>9015884123</v>
      </c>
      <c r="G1851">
        <v>496</v>
      </c>
      <c r="H1851" t="s">
        <v>490</v>
      </c>
      <c r="I1851">
        <v>0</v>
      </c>
      <c r="J1851" t="s">
        <v>491</v>
      </c>
      <c r="K1851" t="s">
        <v>8</v>
      </c>
      <c r="L1851" t="s">
        <v>18</v>
      </c>
      <c r="M1851" t="s">
        <v>9</v>
      </c>
      <c r="N1851" t="s">
        <v>14</v>
      </c>
      <c r="O1851" s="2">
        <v>3.37</v>
      </c>
      <c r="P1851" s="3">
        <v>0</v>
      </c>
      <c r="Q1851" s="1">
        <v>46033</v>
      </c>
      <c r="R1851" s="1">
        <v>45992</v>
      </c>
      <c r="S1851" s="1">
        <v>46022</v>
      </c>
      <c r="V1851" s="8">
        <v>1</v>
      </c>
      <c r="W1851" t="s">
        <v>24</v>
      </c>
      <c r="X1851" t="s">
        <v>492</v>
      </c>
      <c r="Y1851" t="s">
        <v>10</v>
      </c>
      <c r="Z1851" t="s">
        <v>11</v>
      </c>
      <c r="AA1851">
        <v>62371</v>
      </c>
      <c r="AB1851">
        <v>21376478</v>
      </c>
      <c r="AC1851">
        <v>1</v>
      </c>
      <c r="AD1851" s="8"/>
    </row>
    <row r="1852" spans="1:30" x14ac:dyDescent="0.3">
      <c r="A1852" t="s">
        <v>1627</v>
      </c>
      <c r="B1852">
        <v>1428424</v>
      </c>
      <c r="D1852" t="s">
        <v>7</v>
      </c>
      <c r="E1852">
        <v>946791</v>
      </c>
      <c r="F1852">
        <v>9015884123</v>
      </c>
      <c r="G1852">
        <v>498</v>
      </c>
      <c r="H1852" t="s">
        <v>493</v>
      </c>
      <c r="I1852">
        <v>0</v>
      </c>
      <c r="J1852" t="s">
        <v>494</v>
      </c>
      <c r="K1852" t="s">
        <v>8</v>
      </c>
      <c r="L1852" t="s">
        <v>67</v>
      </c>
      <c r="M1852" t="s">
        <v>9</v>
      </c>
      <c r="N1852" t="s">
        <v>14</v>
      </c>
      <c r="O1852" s="2">
        <v>0</v>
      </c>
      <c r="P1852" s="3">
        <v>0</v>
      </c>
      <c r="Q1852" s="1">
        <v>46033</v>
      </c>
      <c r="R1852" s="1">
        <v>45992</v>
      </c>
      <c r="S1852" s="1">
        <v>46022</v>
      </c>
      <c r="V1852" s="8">
        <v>1</v>
      </c>
      <c r="W1852" t="s">
        <v>24</v>
      </c>
      <c r="X1852" t="s">
        <v>495</v>
      </c>
      <c r="Y1852" t="s">
        <v>10</v>
      </c>
      <c r="Z1852" t="s">
        <v>11</v>
      </c>
      <c r="AA1852">
        <v>62371</v>
      </c>
      <c r="AB1852">
        <v>21376440</v>
      </c>
      <c r="AC1852">
        <v>1</v>
      </c>
      <c r="AD1852" s="8"/>
    </row>
    <row r="1853" spans="1:30" x14ac:dyDescent="0.3">
      <c r="A1853" t="s">
        <v>1627</v>
      </c>
      <c r="B1853">
        <v>1338505</v>
      </c>
      <c r="D1853" t="s">
        <v>7</v>
      </c>
      <c r="E1853">
        <v>945200</v>
      </c>
      <c r="F1853">
        <v>9015884123</v>
      </c>
      <c r="G1853">
        <v>52</v>
      </c>
      <c r="H1853" t="s">
        <v>565</v>
      </c>
      <c r="I1853">
        <v>0</v>
      </c>
      <c r="J1853" t="s">
        <v>566</v>
      </c>
      <c r="K1853" t="s">
        <v>8</v>
      </c>
      <c r="L1853" t="s">
        <v>15</v>
      </c>
      <c r="M1853" t="s">
        <v>9</v>
      </c>
      <c r="N1853" t="s">
        <v>14</v>
      </c>
      <c r="O1853" s="2">
        <v>0</v>
      </c>
      <c r="P1853" s="3">
        <v>462.85300000000001</v>
      </c>
      <c r="Q1853" s="1">
        <v>46033</v>
      </c>
      <c r="R1853" s="1">
        <v>45992</v>
      </c>
      <c r="S1853" s="1">
        <v>46022</v>
      </c>
      <c r="V1853" s="8">
        <v>1</v>
      </c>
      <c r="W1853" t="s">
        <v>24</v>
      </c>
      <c r="X1853" t="s">
        <v>567</v>
      </c>
      <c r="Y1853" t="s">
        <v>10</v>
      </c>
      <c r="Z1853" t="s">
        <v>11</v>
      </c>
      <c r="AA1853">
        <v>62371</v>
      </c>
      <c r="AB1853">
        <v>19822337</v>
      </c>
      <c r="AC1853">
        <v>0</v>
      </c>
      <c r="AD1853" s="8"/>
    </row>
    <row r="1854" spans="1:30" x14ac:dyDescent="0.3">
      <c r="A1854" t="s">
        <v>1627</v>
      </c>
      <c r="B1854">
        <v>1338505</v>
      </c>
      <c r="D1854" t="s">
        <v>7</v>
      </c>
      <c r="E1854">
        <v>945200</v>
      </c>
      <c r="F1854">
        <v>9015884123</v>
      </c>
      <c r="G1854">
        <v>52</v>
      </c>
      <c r="H1854" t="s">
        <v>565</v>
      </c>
      <c r="I1854">
        <v>0</v>
      </c>
      <c r="J1854" t="s">
        <v>566</v>
      </c>
      <c r="K1854" t="s">
        <v>8</v>
      </c>
      <c r="L1854" t="s">
        <v>67</v>
      </c>
      <c r="M1854" t="s">
        <v>9</v>
      </c>
      <c r="N1854" t="s">
        <v>14</v>
      </c>
      <c r="O1854" s="2">
        <v>65924.83</v>
      </c>
      <c r="P1854" s="3">
        <v>462.85300000000001</v>
      </c>
      <c r="Q1854" s="1">
        <v>46033</v>
      </c>
      <c r="R1854" s="1">
        <v>45992</v>
      </c>
      <c r="S1854" s="1">
        <v>46022</v>
      </c>
      <c r="V1854" s="8">
        <v>1</v>
      </c>
      <c r="W1854" t="s">
        <v>24</v>
      </c>
      <c r="X1854" t="s">
        <v>567</v>
      </c>
      <c r="Y1854" t="s">
        <v>10</v>
      </c>
      <c r="Z1854" t="s">
        <v>11</v>
      </c>
      <c r="AA1854">
        <v>62371</v>
      </c>
      <c r="AB1854">
        <v>19822337</v>
      </c>
      <c r="AC1854">
        <v>0</v>
      </c>
      <c r="AD1854" s="8"/>
    </row>
    <row r="1855" spans="1:30" x14ac:dyDescent="0.3">
      <c r="A1855" t="s">
        <v>1627</v>
      </c>
      <c r="B1855">
        <v>1340674</v>
      </c>
      <c r="D1855" t="s">
        <v>7</v>
      </c>
      <c r="E1855">
        <v>945247</v>
      </c>
      <c r="F1855">
        <v>9015884123</v>
      </c>
      <c r="G1855">
        <v>66</v>
      </c>
      <c r="H1855" t="s">
        <v>568</v>
      </c>
      <c r="I1855">
        <v>0</v>
      </c>
      <c r="J1855" t="s">
        <v>569</v>
      </c>
      <c r="K1855" t="s">
        <v>8</v>
      </c>
      <c r="L1855" t="s">
        <v>15</v>
      </c>
      <c r="M1855" t="s">
        <v>9</v>
      </c>
      <c r="N1855" t="s">
        <v>14</v>
      </c>
      <c r="O1855" s="2">
        <v>0</v>
      </c>
      <c r="P1855" s="3">
        <v>5109.8410000000003</v>
      </c>
      <c r="Q1855" s="1">
        <v>46033</v>
      </c>
      <c r="R1855" s="1">
        <v>45992</v>
      </c>
      <c r="S1855" s="1">
        <v>46022</v>
      </c>
      <c r="V1855" s="8">
        <v>1</v>
      </c>
      <c r="W1855" t="s">
        <v>24</v>
      </c>
      <c r="X1855" t="s">
        <v>570</v>
      </c>
      <c r="Y1855" t="s">
        <v>10</v>
      </c>
      <c r="Z1855" t="s">
        <v>11</v>
      </c>
      <c r="AA1855">
        <v>62371</v>
      </c>
      <c r="AB1855">
        <v>18158545</v>
      </c>
      <c r="AC1855">
        <v>1</v>
      </c>
      <c r="AD1855" s="8"/>
    </row>
    <row r="1856" spans="1:30" x14ac:dyDescent="0.3">
      <c r="A1856" t="s">
        <v>1627</v>
      </c>
      <c r="B1856">
        <v>1329767</v>
      </c>
      <c r="D1856" t="s">
        <v>7</v>
      </c>
      <c r="E1856">
        <v>945190</v>
      </c>
      <c r="F1856">
        <v>9015884123</v>
      </c>
      <c r="G1856">
        <v>47</v>
      </c>
      <c r="H1856" t="s">
        <v>580</v>
      </c>
      <c r="I1856">
        <v>0</v>
      </c>
      <c r="J1856" t="s">
        <v>581</v>
      </c>
      <c r="K1856" t="s">
        <v>8</v>
      </c>
      <c r="L1856" t="s">
        <v>18</v>
      </c>
      <c r="M1856" t="s">
        <v>9</v>
      </c>
      <c r="N1856" t="s">
        <v>14</v>
      </c>
      <c r="O1856" s="2">
        <v>3.1</v>
      </c>
      <c r="P1856" s="3">
        <v>0</v>
      </c>
      <c r="Q1856" s="1">
        <v>46033</v>
      </c>
      <c r="R1856" s="1">
        <v>45992</v>
      </c>
      <c r="S1856" s="1">
        <v>46022</v>
      </c>
      <c r="V1856" s="8">
        <v>1</v>
      </c>
      <c r="W1856" t="s">
        <v>24</v>
      </c>
      <c r="X1856" t="s">
        <v>582</v>
      </c>
      <c r="Y1856" t="s">
        <v>10</v>
      </c>
      <c r="Z1856" t="s">
        <v>11</v>
      </c>
      <c r="AA1856">
        <v>62371</v>
      </c>
      <c r="AB1856">
        <v>19382735</v>
      </c>
      <c r="AC1856">
        <v>0</v>
      </c>
      <c r="AD1856" s="8"/>
    </row>
    <row r="1857" spans="1:30" x14ac:dyDescent="0.3">
      <c r="A1857" t="s">
        <v>1627</v>
      </c>
      <c r="B1857">
        <v>1338511</v>
      </c>
      <c r="D1857" t="s">
        <v>7</v>
      </c>
      <c r="E1857">
        <v>945203</v>
      </c>
      <c r="F1857">
        <v>9015884123</v>
      </c>
      <c r="G1857">
        <v>53</v>
      </c>
      <c r="H1857" t="s">
        <v>1000</v>
      </c>
      <c r="I1857">
        <v>0</v>
      </c>
      <c r="J1857" t="s">
        <v>1001</v>
      </c>
      <c r="K1857" t="s">
        <v>8</v>
      </c>
      <c r="L1857" t="s">
        <v>67</v>
      </c>
      <c r="M1857" t="s">
        <v>9</v>
      </c>
      <c r="N1857" t="s">
        <v>14</v>
      </c>
      <c r="O1857" s="2">
        <v>82895.38</v>
      </c>
      <c r="P1857" s="3">
        <v>767.58</v>
      </c>
      <c r="Q1857" s="1">
        <v>46033</v>
      </c>
      <c r="R1857" s="1">
        <v>45992</v>
      </c>
      <c r="S1857" s="1">
        <v>46022</v>
      </c>
      <c r="V1857" s="8">
        <v>1</v>
      </c>
      <c r="W1857" t="s">
        <v>24</v>
      </c>
      <c r="X1857" t="s">
        <v>1002</v>
      </c>
      <c r="Y1857" t="s">
        <v>10</v>
      </c>
      <c r="Z1857" t="s">
        <v>11</v>
      </c>
      <c r="AA1857">
        <v>62371</v>
      </c>
      <c r="AB1857">
        <v>18440412</v>
      </c>
      <c r="AC1857">
        <v>1</v>
      </c>
      <c r="AD1857" s="8"/>
    </row>
    <row r="1858" spans="1:30" x14ac:dyDescent="0.3">
      <c r="A1858" t="s">
        <v>1627</v>
      </c>
      <c r="B1858">
        <v>1340629</v>
      </c>
      <c r="D1858" t="s">
        <v>7</v>
      </c>
      <c r="E1858">
        <v>945229</v>
      </c>
      <c r="F1858">
        <v>9015884123</v>
      </c>
      <c r="G1858">
        <v>60</v>
      </c>
      <c r="H1858" t="s">
        <v>1624</v>
      </c>
      <c r="I1858">
        <v>0</v>
      </c>
      <c r="J1858" t="s">
        <v>1625</v>
      </c>
      <c r="K1858" t="s">
        <v>8</v>
      </c>
      <c r="L1858" t="s">
        <v>67</v>
      </c>
      <c r="M1858" t="s">
        <v>9</v>
      </c>
      <c r="N1858" t="s">
        <v>14</v>
      </c>
      <c r="O1858" s="2">
        <v>981416.85</v>
      </c>
      <c r="P1858" s="3">
        <v>6890.45</v>
      </c>
      <c r="Q1858" s="1">
        <v>46033</v>
      </c>
      <c r="R1858" s="1">
        <v>45992</v>
      </c>
      <c r="S1858" s="1">
        <v>46022</v>
      </c>
      <c r="V1858" s="8">
        <v>1</v>
      </c>
      <c r="W1858" t="s">
        <v>24</v>
      </c>
      <c r="X1858" t="s">
        <v>1626</v>
      </c>
      <c r="Y1858" t="s">
        <v>10</v>
      </c>
      <c r="Z1858" t="s">
        <v>11</v>
      </c>
      <c r="AA1858">
        <v>62371</v>
      </c>
      <c r="AB1858">
        <v>19384964</v>
      </c>
      <c r="AC1858">
        <v>0</v>
      </c>
      <c r="AD1858" s="8"/>
    </row>
    <row r="1859" spans="1:30" x14ac:dyDescent="0.3">
      <c r="A1859" t="s">
        <v>1627</v>
      </c>
      <c r="B1859">
        <v>1415374</v>
      </c>
      <c r="D1859" t="s">
        <v>7</v>
      </c>
      <c r="E1859">
        <v>946443</v>
      </c>
      <c r="F1859">
        <v>9015884123</v>
      </c>
      <c r="G1859">
        <v>387</v>
      </c>
      <c r="H1859" t="s">
        <v>1325</v>
      </c>
      <c r="I1859">
        <v>0</v>
      </c>
      <c r="J1859" t="s">
        <v>1326</v>
      </c>
      <c r="K1859" t="s">
        <v>8</v>
      </c>
      <c r="L1859" t="s">
        <v>18</v>
      </c>
      <c r="M1859" t="s">
        <v>9</v>
      </c>
      <c r="N1859" t="s">
        <v>14</v>
      </c>
      <c r="O1859" s="2">
        <v>4.6100000000000003</v>
      </c>
      <c r="P1859" s="3">
        <v>0</v>
      </c>
      <c r="Q1859" s="1">
        <v>46033</v>
      </c>
      <c r="R1859" s="1">
        <v>45992</v>
      </c>
      <c r="S1859" s="1">
        <v>46022</v>
      </c>
      <c r="V1859" s="8">
        <v>1</v>
      </c>
      <c r="W1859" t="s">
        <v>24</v>
      </c>
      <c r="X1859" t="s">
        <v>1327</v>
      </c>
      <c r="Y1859" t="s">
        <v>594</v>
      </c>
      <c r="Z1859" t="s">
        <v>11</v>
      </c>
      <c r="AA1859">
        <v>62371</v>
      </c>
      <c r="AB1859">
        <v>21423523</v>
      </c>
      <c r="AC1859">
        <v>0</v>
      </c>
      <c r="AD1859" s="8"/>
    </row>
    <row r="1860" spans="1:30" x14ac:dyDescent="0.3">
      <c r="A1860" t="s">
        <v>1627</v>
      </c>
      <c r="B1860">
        <v>1421898</v>
      </c>
      <c r="D1860" t="s">
        <v>7</v>
      </c>
      <c r="E1860">
        <v>946694</v>
      </c>
      <c r="F1860">
        <v>9015884123</v>
      </c>
      <c r="G1860">
        <v>466</v>
      </c>
      <c r="H1860" t="s">
        <v>1500</v>
      </c>
      <c r="I1860">
        <v>0</v>
      </c>
      <c r="J1860" t="s">
        <v>1501</v>
      </c>
      <c r="K1860" t="s">
        <v>8</v>
      </c>
      <c r="L1860" t="s">
        <v>15</v>
      </c>
      <c r="M1860" t="s">
        <v>9</v>
      </c>
      <c r="N1860" t="s">
        <v>14</v>
      </c>
      <c r="O1860" s="2">
        <v>0</v>
      </c>
      <c r="P1860" s="3">
        <v>1486.693</v>
      </c>
      <c r="Q1860" s="1">
        <v>46033</v>
      </c>
      <c r="R1860" s="1">
        <v>45992</v>
      </c>
      <c r="S1860" s="1">
        <v>46022</v>
      </c>
      <c r="V1860" s="8">
        <v>1</v>
      </c>
      <c r="W1860" t="s">
        <v>24</v>
      </c>
      <c r="X1860" t="s">
        <v>1502</v>
      </c>
      <c r="Y1860" t="s">
        <v>54</v>
      </c>
      <c r="Z1860" t="s">
        <v>11</v>
      </c>
      <c r="AA1860">
        <v>62371</v>
      </c>
      <c r="AB1860">
        <v>21334651</v>
      </c>
      <c r="AC1860">
        <v>0</v>
      </c>
      <c r="AD1860" s="8"/>
    </row>
    <row r="1861" spans="1:30" x14ac:dyDescent="0.3">
      <c r="A1861" t="s">
        <v>1627</v>
      </c>
      <c r="B1861">
        <v>1415118</v>
      </c>
      <c r="D1861" t="s">
        <v>7</v>
      </c>
      <c r="E1861">
        <v>946490</v>
      </c>
      <c r="F1861">
        <v>9015884123</v>
      </c>
      <c r="G1861">
        <v>401</v>
      </c>
      <c r="H1861" t="s">
        <v>611</v>
      </c>
      <c r="I1861">
        <v>0</v>
      </c>
      <c r="J1861" t="s">
        <v>612</v>
      </c>
      <c r="K1861" t="s">
        <v>8</v>
      </c>
      <c r="L1861" t="s">
        <v>67</v>
      </c>
      <c r="M1861" t="s">
        <v>9</v>
      </c>
      <c r="N1861" t="s">
        <v>14</v>
      </c>
      <c r="O1861" s="2">
        <v>436823.9</v>
      </c>
      <c r="P1861" s="3">
        <v>3066.9059999999999</v>
      </c>
      <c r="Q1861" s="1">
        <v>46033</v>
      </c>
      <c r="R1861" s="1">
        <v>45992</v>
      </c>
      <c r="S1861" s="1">
        <v>46022</v>
      </c>
      <c r="V1861" s="8">
        <v>1</v>
      </c>
      <c r="W1861" t="s">
        <v>24</v>
      </c>
      <c r="X1861" t="s">
        <v>613</v>
      </c>
      <c r="Y1861" t="s">
        <v>33</v>
      </c>
      <c r="Z1861" t="s">
        <v>11</v>
      </c>
      <c r="AA1861">
        <v>62371</v>
      </c>
      <c r="AB1861">
        <v>17756856</v>
      </c>
      <c r="AC1861">
        <v>0</v>
      </c>
      <c r="AD1861" s="8"/>
    </row>
    <row r="1862" spans="1:30" x14ac:dyDescent="0.3">
      <c r="A1862" t="s">
        <v>1627</v>
      </c>
      <c r="B1862">
        <v>1420310</v>
      </c>
      <c r="D1862" t="s">
        <v>7</v>
      </c>
      <c r="E1862">
        <v>946661</v>
      </c>
      <c r="F1862">
        <v>9015884123</v>
      </c>
      <c r="G1862">
        <v>456</v>
      </c>
      <c r="H1862" t="s">
        <v>615</v>
      </c>
      <c r="I1862">
        <v>0</v>
      </c>
      <c r="J1862" t="s">
        <v>616</v>
      </c>
      <c r="K1862" t="s">
        <v>8</v>
      </c>
      <c r="L1862" t="s">
        <v>15</v>
      </c>
      <c r="M1862" t="s">
        <v>9</v>
      </c>
      <c r="N1862" t="s">
        <v>14</v>
      </c>
      <c r="O1862" s="2">
        <v>0</v>
      </c>
      <c r="P1862" s="3">
        <v>125.774</v>
      </c>
      <c r="Q1862" s="1">
        <v>46033</v>
      </c>
      <c r="R1862" s="1">
        <v>45992</v>
      </c>
      <c r="S1862" s="1">
        <v>46022</v>
      </c>
      <c r="V1862" s="8">
        <v>1</v>
      </c>
      <c r="W1862" t="s">
        <v>24</v>
      </c>
      <c r="X1862" t="s">
        <v>617</v>
      </c>
      <c r="Y1862" t="s">
        <v>32</v>
      </c>
      <c r="Z1862" t="s">
        <v>11</v>
      </c>
      <c r="AA1862">
        <v>62371</v>
      </c>
      <c r="AB1862">
        <v>19890099</v>
      </c>
      <c r="AC1862">
        <v>0</v>
      </c>
      <c r="AD1862" s="8"/>
    </row>
    <row r="1863" spans="1:30" x14ac:dyDescent="0.3">
      <c r="A1863" t="s">
        <v>1627</v>
      </c>
      <c r="B1863">
        <v>1418675</v>
      </c>
      <c r="D1863" t="s">
        <v>7</v>
      </c>
      <c r="E1863">
        <v>946664</v>
      </c>
      <c r="F1863">
        <v>9015884123</v>
      </c>
      <c r="G1863">
        <v>457</v>
      </c>
      <c r="H1863" t="s">
        <v>1334</v>
      </c>
      <c r="I1863">
        <v>0</v>
      </c>
      <c r="J1863" t="s">
        <v>1335</v>
      </c>
      <c r="K1863" t="s">
        <v>8</v>
      </c>
      <c r="L1863" t="s">
        <v>67</v>
      </c>
      <c r="M1863" t="s">
        <v>9</v>
      </c>
      <c r="N1863" t="s">
        <v>14</v>
      </c>
      <c r="O1863" s="2">
        <v>219376.07</v>
      </c>
      <c r="P1863" s="3">
        <v>1540.222</v>
      </c>
      <c r="Q1863" s="1">
        <v>46033</v>
      </c>
      <c r="R1863" s="1">
        <v>45992</v>
      </c>
      <c r="S1863" s="1">
        <v>46022</v>
      </c>
      <c r="V1863" s="8">
        <v>1</v>
      </c>
      <c r="W1863" t="s">
        <v>24</v>
      </c>
      <c r="X1863" t="s">
        <v>1336</v>
      </c>
      <c r="Y1863" t="s">
        <v>38</v>
      </c>
      <c r="Z1863" t="s">
        <v>11</v>
      </c>
      <c r="AA1863">
        <v>62371</v>
      </c>
      <c r="AB1863">
        <v>21434378</v>
      </c>
      <c r="AC1863">
        <v>0</v>
      </c>
      <c r="AD1863" s="8"/>
    </row>
    <row r="1864" spans="1:30" x14ac:dyDescent="0.3">
      <c r="A1864" t="s">
        <v>1627</v>
      </c>
      <c r="B1864">
        <v>1353835</v>
      </c>
      <c r="D1864" t="s">
        <v>7</v>
      </c>
      <c r="E1864">
        <v>945363</v>
      </c>
      <c r="F1864">
        <v>9015884123</v>
      </c>
      <c r="G1864">
        <v>100</v>
      </c>
      <c r="H1864" t="s">
        <v>1024</v>
      </c>
      <c r="I1864">
        <v>0</v>
      </c>
      <c r="J1864" t="s">
        <v>1025</v>
      </c>
      <c r="K1864" t="s">
        <v>8</v>
      </c>
      <c r="L1864" t="s">
        <v>19</v>
      </c>
      <c r="M1864" t="s">
        <v>9</v>
      </c>
      <c r="N1864" t="s">
        <v>14</v>
      </c>
      <c r="O1864" s="2">
        <v>14806.14</v>
      </c>
      <c r="P1864" s="3">
        <v>74.933000000000007</v>
      </c>
      <c r="Q1864" s="1">
        <v>46033</v>
      </c>
      <c r="R1864" s="1">
        <v>45992</v>
      </c>
      <c r="S1864" s="1">
        <v>46022</v>
      </c>
      <c r="V1864" s="8">
        <v>1</v>
      </c>
      <c r="W1864" t="s">
        <v>24</v>
      </c>
      <c r="X1864" t="s">
        <v>1026</v>
      </c>
      <c r="Y1864" t="s">
        <v>40</v>
      </c>
      <c r="Z1864" t="s">
        <v>11</v>
      </c>
      <c r="AA1864">
        <v>62371</v>
      </c>
      <c r="AB1864">
        <v>18007323</v>
      </c>
      <c r="AC1864">
        <v>0</v>
      </c>
      <c r="AD1864" s="8"/>
    </row>
    <row r="1865" spans="1:30" x14ac:dyDescent="0.3">
      <c r="A1865" t="s">
        <v>1627</v>
      </c>
      <c r="B1865">
        <v>1353835</v>
      </c>
      <c r="D1865" t="s">
        <v>7</v>
      </c>
      <c r="E1865">
        <v>945363</v>
      </c>
      <c r="F1865">
        <v>9015884123</v>
      </c>
      <c r="G1865">
        <v>100</v>
      </c>
      <c r="H1865" t="s">
        <v>1024</v>
      </c>
      <c r="I1865">
        <v>0</v>
      </c>
      <c r="J1865" t="s">
        <v>1025</v>
      </c>
      <c r="K1865" t="s">
        <v>8</v>
      </c>
      <c r="L1865" t="s">
        <v>18</v>
      </c>
      <c r="M1865" t="s">
        <v>9</v>
      </c>
      <c r="N1865" t="s">
        <v>14</v>
      </c>
      <c r="O1865" s="2">
        <v>-0.56000000000000005</v>
      </c>
      <c r="P1865" s="3">
        <v>0</v>
      </c>
      <c r="Q1865" s="1">
        <v>46033</v>
      </c>
      <c r="R1865" s="1">
        <v>45992</v>
      </c>
      <c r="S1865" s="1">
        <v>46022</v>
      </c>
      <c r="V1865" s="8">
        <v>1</v>
      </c>
      <c r="W1865" t="s">
        <v>24</v>
      </c>
      <c r="X1865" t="s">
        <v>1026</v>
      </c>
      <c r="Y1865" t="s">
        <v>40</v>
      </c>
      <c r="Z1865" t="s">
        <v>11</v>
      </c>
      <c r="AA1865">
        <v>62371</v>
      </c>
      <c r="AB1865">
        <v>18007323</v>
      </c>
      <c r="AC1865">
        <v>0</v>
      </c>
      <c r="AD1865" s="8"/>
    </row>
    <row r="1866" spans="1:30" x14ac:dyDescent="0.3">
      <c r="A1866" t="s">
        <v>1627</v>
      </c>
      <c r="B1866">
        <v>1356301</v>
      </c>
      <c r="D1866" t="s">
        <v>7</v>
      </c>
      <c r="E1866">
        <v>945388</v>
      </c>
      <c r="F1866">
        <v>9015884123</v>
      </c>
      <c r="G1866">
        <v>108</v>
      </c>
      <c r="H1866" t="s">
        <v>643</v>
      </c>
      <c r="I1866">
        <v>0</v>
      </c>
      <c r="J1866" t="s">
        <v>644</v>
      </c>
      <c r="K1866" t="s">
        <v>8</v>
      </c>
      <c r="L1866" t="s">
        <v>18</v>
      </c>
      <c r="M1866" t="s">
        <v>9</v>
      </c>
      <c r="N1866" t="s">
        <v>14</v>
      </c>
      <c r="O1866" s="2">
        <v>-3.11</v>
      </c>
      <c r="P1866" s="3">
        <v>0</v>
      </c>
      <c r="Q1866" s="1">
        <v>46033</v>
      </c>
      <c r="R1866" s="1">
        <v>45992</v>
      </c>
      <c r="S1866" s="1">
        <v>46022</v>
      </c>
      <c r="V1866" s="8">
        <v>1</v>
      </c>
      <c r="W1866" t="s">
        <v>24</v>
      </c>
      <c r="X1866" t="s">
        <v>645</v>
      </c>
      <c r="Y1866" t="s">
        <v>40</v>
      </c>
      <c r="Z1866" t="s">
        <v>11</v>
      </c>
      <c r="AA1866">
        <v>62371</v>
      </c>
      <c r="AB1866">
        <v>21106442</v>
      </c>
      <c r="AC1866">
        <v>1</v>
      </c>
      <c r="AD1866" s="8"/>
    </row>
    <row r="1867" spans="1:30" x14ac:dyDescent="0.3">
      <c r="A1867" t="s">
        <v>1627</v>
      </c>
      <c r="B1867">
        <v>1380293</v>
      </c>
      <c r="D1867" t="s">
        <v>7</v>
      </c>
      <c r="E1867">
        <v>945991</v>
      </c>
      <c r="F1867">
        <v>9015884123</v>
      </c>
      <c r="G1867">
        <v>214</v>
      </c>
      <c r="H1867" t="s">
        <v>1036</v>
      </c>
      <c r="I1867">
        <v>0</v>
      </c>
      <c r="J1867" t="s">
        <v>1037</v>
      </c>
      <c r="K1867" t="s">
        <v>8</v>
      </c>
      <c r="L1867" t="s">
        <v>18</v>
      </c>
      <c r="M1867" t="s">
        <v>9</v>
      </c>
      <c r="N1867" t="s">
        <v>14</v>
      </c>
      <c r="O1867" s="2">
        <v>1.81</v>
      </c>
      <c r="P1867" s="3">
        <v>0</v>
      </c>
      <c r="Q1867" s="1">
        <v>46033</v>
      </c>
      <c r="R1867" s="1">
        <v>45992</v>
      </c>
      <c r="S1867" s="1">
        <v>46022</v>
      </c>
      <c r="V1867" s="8">
        <v>1</v>
      </c>
      <c r="W1867" t="s">
        <v>24</v>
      </c>
      <c r="X1867" t="s">
        <v>1038</v>
      </c>
      <c r="Y1867" t="s">
        <v>40</v>
      </c>
      <c r="Z1867" t="s">
        <v>11</v>
      </c>
      <c r="AA1867">
        <v>62371</v>
      </c>
      <c r="AB1867">
        <v>19853293</v>
      </c>
      <c r="AC1867">
        <v>1</v>
      </c>
      <c r="AD1867" s="8"/>
    </row>
    <row r="1868" spans="1:30" x14ac:dyDescent="0.3">
      <c r="A1868" t="s">
        <v>1627</v>
      </c>
      <c r="B1868">
        <v>1402283</v>
      </c>
      <c r="D1868" t="s">
        <v>7</v>
      </c>
      <c r="E1868">
        <v>946104</v>
      </c>
      <c r="F1868">
        <v>9015884123</v>
      </c>
      <c r="G1868">
        <v>255</v>
      </c>
      <c r="H1868" t="s">
        <v>1346</v>
      </c>
      <c r="I1868">
        <v>0</v>
      </c>
      <c r="J1868" t="s">
        <v>1347</v>
      </c>
      <c r="K1868" t="s">
        <v>8</v>
      </c>
      <c r="L1868" t="s">
        <v>18</v>
      </c>
      <c r="M1868" t="s">
        <v>9</v>
      </c>
      <c r="N1868" t="s">
        <v>14</v>
      </c>
      <c r="O1868" s="2">
        <v>4.58</v>
      </c>
      <c r="P1868" s="3">
        <v>0</v>
      </c>
      <c r="Q1868" s="1">
        <v>46033</v>
      </c>
      <c r="R1868" s="1">
        <v>45992</v>
      </c>
      <c r="S1868" s="1">
        <v>46022</v>
      </c>
      <c r="V1868" s="8">
        <v>1</v>
      </c>
      <c r="W1868" t="s">
        <v>24</v>
      </c>
      <c r="X1868" t="s">
        <v>1348</v>
      </c>
      <c r="Y1868" t="s">
        <v>655</v>
      </c>
      <c r="Z1868" t="s">
        <v>11</v>
      </c>
      <c r="AA1868">
        <v>62371</v>
      </c>
      <c r="AB1868">
        <v>18889309</v>
      </c>
      <c r="AC1868">
        <v>1</v>
      </c>
      <c r="AD1868" s="8"/>
    </row>
    <row r="1869" spans="1:30" x14ac:dyDescent="0.3">
      <c r="A1869" t="s">
        <v>1627</v>
      </c>
      <c r="B1869">
        <v>1418629</v>
      </c>
      <c r="D1869" t="s">
        <v>7</v>
      </c>
      <c r="E1869">
        <v>946632</v>
      </c>
      <c r="F1869">
        <v>9015884123</v>
      </c>
      <c r="G1869">
        <v>445</v>
      </c>
      <c r="H1869" t="s">
        <v>1367</v>
      </c>
      <c r="I1869">
        <v>0</v>
      </c>
      <c r="J1869" t="s">
        <v>1368</v>
      </c>
      <c r="K1869" t="s">
        <v>8</v>
      </c>
      <c r="L1869" t="s">
        <v>18</v>
      </c>
      <c r="M1869" t="s">
        <v>9</v>
      </c>
      <c r="N1869" t="s">
        <v>14</v>
      </c>
      <c r="O1869" s="2">
        <v>3.8</v>
      </c>
      <c r="P1869" s="3">
        <v>0</v>
      </c>
      <c r="Q1869" s="1">
        <v>46033</v>
      </c>
      <c r="R1869" s="1">
        <v>45992</v>
      </c>
      <c r="S1869" s="1">
        <v>46022</v>
      </c>
      <c r="V1869" s="8">
        <v>1</v>
      </c>
      <c r="W1869" t="s">
        <v>24</v>
      </c>
      <c r="X1869" t="s">
        <v>1369</v>
      </c>
      <c r="Y1869" t="s">
        <v>614</v>
      </c>
      <c r="Z1869" t="s">
        <v>11</v>
      </c>
      <c r="AA1869">
        <v>62371</v>
      </c>
      <c r="AB1869">
        <v>17859717</v>
      </c>
      <c r="AC1869">
        <v>0</v>
      </c>
      <c r="AD1869" s="8"/>
    </row>
    <row r="1870" spans="1:30" x14ac:dyDescent="0.3">
      <c r="A1870" t="s">
        <v>1627</v>
      </c>
      <c r="B1870">
        <v>1428548</v>
      </c>
      <c r="D1870" t="s">
        <v>7</v>
      </c>
      <c r="E1870">
        <v>946800</v>
      </c>
      <c r="F1870">
        <v>9015884123</v>
      </c>
      <c r="G1870">
        <v>501</v>
      </c>
      <c r="H1870" t="s">
        <v>1057</v>
      </c>
      <c r="I1870">
        <v>0</v>
      </c>
      <c r="J1870" t="s">
        <v>1058</v>
      </c>
      <c r="K1870" t="s">
        <v>8</v>
      </c>
      <c r="L1870" t="s">
        <v>15</v>
      </c>
      <c r="M1870" t="s">
        <v>9</v>
      </c>
      <c r="N1870" t="s">
        <v>14</v>
      </c>
      <c r="O1870" s="2">
        <v>0</v>
      </c>
      <c r="P1870" s="3">
        <v>1274.373</v>
      </c>
      <c r="Q1870" s="1">
        <v>46033</v>
      </c>
      <c r="R1870" s="1">
        <v>45992</v>
      </c>
      <c r="S1870" s="1">
        <v>46022</v>
      </c>
      <c r="V1870" s="8">
        <v>1</v>
      </c>
      <c r="W1870" t="s">
        <v>24</v>
      </c>
      <c r="X1870" t="s">
        <v>1059</v>
      </c>
      <c r="Y1870" t="s">
        <v>40</v>
      </c>
      <c r="Z1870" t="s">
        <v>11</v>
      </c>
      <c r="AA1870">
        <v>62371</v>
      </c>
      <c r="AB1870">
        <v>18688758</v>
      </c>
      <c r="AC1870">
        <v>1</v>
      </c>
      <c r="AD1870" s="8"/>
    </row>
    <row r="1871" spans="1:30" x14ac:dyDescent="0.3">
      <c r="A1871" t="s">
        <v>1627</v>
      </c>
      <c r="B1871">
        <v>1428548</v>
      </c>
      <c r="D1871" t="s">
        <v>7</v>
      </c>
      <c r="E1871">
        <v>946800</v>
      </c>
      <c r="F1871">
        <v>9015884123</v>
      </c>
      <c r="G1871">
        <v>501</v>
      </c>
      <c r="H1871" t="s">
        <v>1057</v>
      </c>
      <c r="I1871">
        <v>0</v>
      </c>
      <c r="J1871" t="s">
        <v>1058</v>
      </c>
      <c r="K1871" t="s">
        <v>8</v>
      </c>
      <c r="L1871" t="s">
        <v>67</v>
      </c>
      <c r="M1871" t="s">
        <v>9</v>
      </c>
      <c r="N1871" t="s">
        <v>14</v>
      </c>
      <c r="O1871" s="2">
        <v>137626.87</v>
      </c>
      <c r="P1871" s="3">
        <v>1274.373</v>
      </c>
      <c r="Q1871" s="1">
        <v>46033</v>
      </c>
      <c r="R1871" s="1">
        <v>45992</v>
      </c>
      <c r="S1871" s="1">
        <v>46022</v>
      </c>
      <c r="V1871" s="8">
        <v>1</v>
      </c>
      <c r="W1871" t="s">
        <v>24</v>
      </c>
      <c r="X1871" t="s">
        <v>1059</v>
      </c>
      <c r="Y1871" t="s">
        <v>40</v>
      </c>
      <c r="Z1871" t="s">
        <v>11</v>
      </c>
      <c r="AA1871">
        <v>62371</v>
      </c>
      <c r="AB1871">
        <v>18688758</v>
      </c>
      <c r="AC1871">
        <v>1</v>
      </c>
      <c r="AD1871" s="8"/>
    </row>
    <row r="1872" spans="1:30" x14ac:dyDescent="0.3">
      <c r="A1872" t="s">
        <v>1627</v>
      </c>
      <c r="B1872">
        <v>1428549</v>
      </c>
      <c r="D1872" t="s">
        <v>7</v>
      </c>
      <c r="E1872">
        <v>946803</v>
      </c>
      <c r="F1872">
        <v>9015884123</v>
      </c>
      <c r="G1872">
        <v>502</v>
      </c>
      <c r="H1872" t="s">
        <v>640</v>
      </c>
      <c r="I1872">
        <v>0</v>
      </c>
      <c r="J1872" t="s">
        <v>641</v>
      </c>
      <c r="K1872" t="s">
        <v>8</v>
      </c>
      <c r="L1872" t="s">
        <v>18</v>
      </c>
      <c r="M1872" t="s">
        <v>9</v>
      </c>
      <c r="N1872" t="s">
        <v>14</v>
      </c>
      <c r="O1872" s="2">
        <v>4.38</v>
      </c>
      <c r="P1872" s="3">
        <v>0</v>
      </c>
      <c r="Q1872" s="1">
        <v>46033</v>
      </c>
      <c r="R1872" s="1">
        <v>45992</v>
      </c>
      <c r="S1872" s="1">
        <v>46022</v>
      </c>
      <c r="V1872" s="8">
        <v>1</v>
      </c>
      <c r="W1872" t="s">
        <v>24</v>
      </c>
      <c r="X1872" t="s">
        <v>642</v>
      </c>
      <c r="Y1872" t="s">
        <v>40</v>
      </c>
      <c r="Z1872" t="s">
        <v>11</v>
      </c>
      <c r="AA1872">
        <v>62371</v>
      </c>
      <c r="AB1872">
        <v>18766493</v>
      </c>
      <c r="AC1872">
        <v>1</v>
      </c>
      <c r="AD1872" s="8"/>
    </row>
    <row r="1873" spans="1:30" x14ac:dyDescent="0.3">
      <c r="A1873" t="s">
        <v>1627</v>
      </c>
      <c r="B1873">
        <v>1420744</v>
      </c>
      <c r="D1873" t="s">
        <v>7</v>
      </c>
      <c r="E1873">
        <v>946687</v>
      </c>
      <c r="F1873">
        <v>9015884123</v>
      </c>
      <c r="G1873">
        <v>464</v>
      </c>
      <c r="H1873" t="s">
        <v>1084</v>
      </c>
      <c r="I1873">
        <v>0</v>
      </c>
      <c r="J1873" t="s">
        <v>1085</v>
      </c>
      <c r="K1873" t="s">
        <v>8</v>
      </c>
      <c r="L1873" t="s">
        <v>18</v>
      </c>
      <c r="M1873" t="s">
        <v>9</v>
      </c>
      <c r="N1873" t="s">
        <v>14</v>
      </c>
      <c r="O1873" s="2">
        <v>2.63</v>
      </c>
      <c r="P1873" s="3">
        <v>0</v>
      </c>
      <c r="Q1873" s="1">
        <v>46033</v>
      </c>
      <c r="R1873" s="1">
        <v>45992</v>
      </c>
      <c r="S1873" s="1">
        <v>46022</v>
      </c>
      <c r="V1873" s="8">
        <v>1</v>
      </c>
      <c r="W1873" t="s">
        <v>24</v>
      </c>
      <c r="X1873" t="s">
        <v>1086</v>
      </c>
      <c r="Y1873" t="s">
        <v>99</v>
      </c>
      <c r="Z1873" t="s">
        <v>11</v>
      </c>
      <c r="AA1873">
        <v>62371</v>
      </c>
      <c r="AB1873">
        <v>18758141</v>
      </c>
      <c r="AC1873">
        <v>0</v>
      </c>
      <c r="AD1873" s="8"/>
    </row>
    <row r="1874" spans="1:30" x14ac:dyDescent="0.3">
      <c r="A1874" t="s">
        <v>1627</v>
      </c>
      <c r="B1874">
        <v>1420744</v>
      </c>
      <c r="D1874" t="s">
        <v>7</v>
      </c>
      <c r="E1874">
        <v>946687</v>
      </c>
      <c r="F1874">
        <v>9015884123</v>
      </c>
      <c r="G1874">
        <v>464</v>
      </c>
      <c r="H1874" t="s">
        <v>1084</v>
      </c>
      <c r="I1874">
        <v>0</v>
      </c>
      <c r="J1874" t="s">
        <v>1085</v>
      </c>
      <c r="K1874" t="s">
        <v>8</v>
      </c>
      <c r="L1874" t="s">
        <v>67</v>
      </c>
      <c r="M1874" t="s">
        <v>9</v>
      </c>
      <c r="N1874" t="s">
        <v>14</v>
      </c>
      <c r="O1874" s="2">
        <v>316786.51</v>
      </c>
      <c r="P1874" s="3">
        <v>2224.1329999999998</v>
      </c>
      <c r="Q1874" s="1">
        <v>46033</v>
      </c>
      <c r="R1874" s="1">
        <v>45992</v>
      </c>
      <c r="S1874" s="1">
        <v>46022</v>
      </c>
      <c r="V1874" s="8">
        <v>1</v>
      </c>
      <c r="W1874" t="s">
        <v>24</v>
      </c>
      <c r="X1874" t="s">
        <v>1086</v>
      </c>
      <c r="Y1874" t="s">
        <v>99</v>
      </c>
      <c r="Z1874" t="s">
        <v>11</v>
      </c>
      <c r="AA1874">
        <v>62371</v>
      </c>
      <c r="AB1874">
        <v>18758141</v>
      </c>
      <c r="AC1874">
        <v>0</v>
      </c>
      <c r="AD1874" s="8"/>
    </row>
    <row r="1875" spans="1:30" x14ac:dyDescent="0.3">
      <c r="A1875" t="s">
        <v>1627</v>
      </c>
      <c r="B1875">
        <v>1415113</v>
      </c>
      <c r="D1875" t="s">
        <v>7</v>
      </c>
      <c r="E1875">
        <v>946539</v>
      </c>
      <c r="F1875">
        <v>9015884123</v>
      </c>
      <c r="G1875">
        <v>417</v>
      </c>
      <c r="H1875" t="s">
        <v>1087</v>
      </c>
      <c r="I1875">
        <v>0</v>
      </c>
      <c r="J1875" t="s">
        <v>1088</v>
      </c>
      <c r="K1875" t="s">
        <v>8</v>
      </c>
      <c r="L1875" t="s">
        <v>67</v>
      </c>
      <c r="M1875" t="s">
        <v>9</v>
      </c>
      <c r="N1875" t="s">
        <v>14</v>
      </c>
      <c r="O1875" s="2">
        <v>265898.03000000003</v>
      </c>
      <c r="P1875" s="3">
        <v>1866.8489999999999</v>
      </c>
      <c r="Q1875" s="1">
        <v>46033</v>
      </c>
      <c r="R1875" s="1">
        <v>45992</v>
      </c>
      <c r="S1875" s="1">
        <v>46022</v>
      </c>
      <c r="V1875" s="8">
        <v>1</v>
      </c>
      <c r="W1875" t="s">
        <v>24</v>
      </c>
      <c r="X1875" t="s">
        <v>1089</v>
      </c>
      <c r="Y1875" t="s">
        <v>82</v>
      </c>
      <c r="Z1875" t="s">
        <v>11</v>
      </c>
      <c r="AA1875">
        <v>62371</v>
      </c>
      <c r="AB1875">
        <v>19453501</v>
      </c>
      <c r="AC1875">
        <v>0</v>
      </c>
      <c r="AD1875" s="8"/>
    </row>
    <row r="1876" spans="1:30" x14ac:dyDescent="0.3">
      <c r="A1876" t="s">
        <v>1627</v>
      </c>
      <c r="B1876">
        <v>1446206</v>
      </c>
      <c r="D1876" t="s">
        <v>7</v>
      </c>
      <c r="E1876">
        <v>946901</v>
      </c>
      <c r="F1876">
        <v>9015884123</v>
      </c>
      <c r="G1876">
        <v>531</v>
      </c>
      <c r="H1876" t="s">
        <v>1612</v>
      </c>
      <c r="I1876">
        <v>0</v>
      </c>
      <c r="J1876" t="s">
        <v>1613</v>
      </c>
      <c r="K1876" t="s">
        <v>8</v>
      </c>
      <c r="L1876" t="s">
        <v>15</v>
      </c>
      <c r="M1876" t="s">
        <v>9</v>
      </c>
      <c r="N1876" t="s">
        <v>14</v>
      </c>
      <c r="O1876" s="2">
        <v>0</v>
      </c>
      <c r="P1876" s="3">
        <v>6197.6689999999999</v>
      </c>
      <c r="Q1876" s="1">
        <v>46033</v>
      </c>
      <c r="R1876" s="1">
        <v>45992</v>
      </c>
      <c r="S1876" s="1">
        <v>46022</v>
      </c>
      <c r="V1876" s="8">
        <v>1</v>
      </c>
      <c r="W1876" t="s">
        <v>24</v>
      </c>
      <c r="X1876" t="s">
        <v>1614</v>
      </c>
      <c r="Y1876" t="s">
        <v>10</v>
      </c>
      <c r="Z1876" t="s">
        <v>11</v>
      </c>
      <c r="AA1876">
        <v>62371</v>
      </c>
      <c r="AB1876">
        <v>19594784</v>
      </c>
      <c r="AC1876">
        <v>1</v>
      </c>
      <c r="AD1876" s="8"/>
    </row>
    <row r="1877" spans="1:30" x14ac:dyDescent="0.3">
      <c r="A1877" t="s">
        <v>1627</v>
      </c>
      <c r="B1877">
        <v>1446206</v>
      </c>
      <c r="D1877" t="s">
        <v>7</v>
      </c>
      <c r="E1877">
        <v>946901</v>
      </c>
      <c r="F1877">
        <v>9015884123</v>
      </c>
      <c r="G1877">
        <v>531</v>
      </c>
      <c r="H1877" t="s">
        <v>1612</v>
      </c>
      <c r="I1877">
        <v>0</v>
      </c>
      <c r="J1877" t="s">
        <v>1613</v>
      </c>
      <c r="K1877" t="s">
        <v>8</v>
      </c>
      <c r="L1877" t="s">
        <v>67</v>
      </c>
      <c r="M1877" t="s">
        <v>9</v>
      </c>
      <c r="N1877" t="s">
        <v>14</v>
      </c>
      <c r="O1877" s="2">
        <v>669321.91</v>
      </c>
      <c r="P1877" s="3">
        <v>6197.6689999999999</v>
      </c>
      <c r="Q1877" s="1">
        <v>46033</v>
      </c>
      <c r="R1877" s="1">
        <v>45992</v>
      </c>
      <c r="S1877" s="1">
        <v>46022</v>
      </c>
      <c r="V1877" s="8">
        <v>1</v>
      </c>
      <c r="W1877" t="s">
        <v>24</v>
      </c>
      <c r="X1877" t="s">
        <v>1614</v>
      </c>
      <c r="Y1877" t="s">
        <v>10</v>
      </c>
      <c r="Z1877" t="s">
        <v>11</v>
      </c>
      <c r="AA1877">
        <v>62371</v>
      </c>
      <c r="AB1877">
        <v>19594784</v>
      </c>
      <c r="AC1877">
        <v>1</v>
      </c>
      <c r="AD1877" s="8"/>
    </row>
    <row r="1878" spans="1:30" x14ac:dyDescent="0.3">
      <c r="A1878" t="s">
        <v>1627</v>
      </c>
      <c r="B1878">
        <v>1449296</v>
      </c>
      <c r="D1878" t="s">
        <v>7</v>
      </c>
      <c r="E1878">
        <v>949192</v>
      </c>
      <c r="F1878">
        <v>9015884123</v>
      </c>
      <c r="G1878">
        <v>535</v>
      </c>
      <c r="H1878" t="s">
        <v>991</v>
      </c>
      <c r="I1878">
        <v>0</v>
      </c>
      <c r="J1878" t="s">
        <v>992</v>
      </c>
      <c r="K1878" t="s">
        <v>8</v>
      </c>
      <c r="L1878" t="s">
        <v>15</v>
      </c>
      <c r="M1878" t="s">
        <v>9</v>
      </c>
      <c r="N1878" t="s">
        <v>14</v>
      </c>
      <c r="O1878" s="2">
        <v>0</v>
      </c>
      <c r="P1878" s="3">
        <v>4775.348</v>
      </c>
      <c r="Q1878" s="1">
        <v>46035</v>
      </c>
      <c r="R1878" s="1">
        <v>46011</v>
      </c>
      <c r="S1878" s="1">
        <v>46022</v>
      </c>
      <c r="V1878" s="8">
        <v>1</v>
      </c>
      <c r="W1878" t="s">
        <v>24</v>
      </c>
      <c r="X1878" t="s">
        <v>993</v>
      </c>
      <c r="Y1878" t="s">
        <v>10</v>
      </c>
      <c r="Z1878" t="s">
        <v>11</v>
      </c>
      <c r="AA1878">
        <v>62371</v>
      </c>
      <c r="AB1878">
        <v>21537707</v>
      </c>
      <c r="AC1878">
        <v>1</v>
      </c>
      <c r="AD1878" s="8"/>
    </row>
    <row r="1879" spans="1:30" x14ac:dyDescent="0.3">
      <c r="A1879" t="s">
        <v>1627</v>
      </c>
      <c r="B1879">
        <v>1303720</v>
      </c>
      <c r="D1879" t="s">
        <v>7</v>
      </c>
      <c r="E1879">
        <v>945156</v>
      </c>
      <c r="F1879">
        <v>9015884123</v>
      </c>
      <c r="G1879">
        <v>30</v>
      </c>
      <c r="H1879" t="s">
        <v>1476</v>
      </c>
      <c r="I1879">
        <v>0</v>
      </c>
      <c r="J1879" t="s">
        <v>1477</v>
      </c>
      <c r="K1879" t="s">
        <v>8</v>
      </c>
      <c r="L1879" t="s">
        <v>67</v>
      </c>
      <c r="M1879" t="s">
        <v>9</v>
      </c>
      <c r="N1879" t="s">
        <v>14</v>
      </c>
      <c r="O1879" s="2">
        <v>671679.56</v>
      </c>
      <c r="P1879" s="3">
        <v>4715.8090000000002</v>
      </c>
      <c r="Q1879" s="1">
        <v>46033</v>
      </c>
      <c r="R1879" s="1">
        <v>45992</v>
      </c>
      <c r="S1879" s="1">
        <v>46022</v>
      </c>
      <c r="V1879" s="8">
        <v>1</v>
      </c>
      <c r="W1879" t="s">
        <v>24</v>
      </c>
      <c r="X1879" t="s">
        <v>1478</v>
      </c>
      <c r="Y1879" t="s">
        <v>10</v>
      </c>
      <c r="Z1879" t="s">
        <v>11</v>
      </c>
      <c r="AA1879">
        <v>62371</v>
      </c>
      <c r="AB1879">
        <v>19402714</v>
      </c>
      <c r="AC1879">
        <v>0</v>
      </c>
      <c r="AD1879" s="8"/>
    </row>
    <row r="1880" spans="1:30" x14ac:dyDescent="0.3">
      <c r="A1880" t="s">
        <v>1627</v>
      </c>
      <c r="B1880">
        <v>1296893</v>
      </c>
      <c r="D1880" t="s">
        <v>7</v>
      </c>
      <c r="E1880">
        <v>945119</v>
      </c>
      <c r="F1880">
        <v>9015884123</v>
      </c>
      <c r="G1880">
        <v>12</v>
      </c>
      <c r="H1880" t="s">
        <v>1479</v>
      </c>
      <c r="I1880">
        <v>0</v>
      </c>
      <c r="J1880" t="s">
        <v>1480</v>
      </c>
      <c r="K1880" t="s">
        <v>8</v>
      </c>
      <c r="L1880" t="s">
        <v>67</v>
      </c>
      <c r="M1880" t="s">
        <v>9</v>
      </c>
      <c r="N1880" t="s">
        <v>14</v>
      </c>
      <c r="O1880" s="2">
        <v>11154.45</v>
      </c>
      <c r="P1880" s="3">
        <v>103.286</v>
      </c>
      <c r="Q1880" s="1">
        <v>46033</v>
      </c>
      <c r="R1880" s="1">
        <v>45992</v>
      </c>
      <c r="S1880" s="1">
        <v>46022</v>
      </c>
      <c r="V1880" s="8">
        <v>1</v>
      </c>
      <c r="W1880" t="s">
        <v>24</v>
      </c>
      <c r="X1880" t="s">
        <v>1481</v>
      </c>
      <c r="Y1880" t="s">
        <v>10</v>
      </c>
      <c r="Z1880" t="s">
        <v>11</v>
      </c>
      <c r="AA1880">
        <v>62371</v>
      </c>
      <c r="AB1880">
        <v>21394695</v>
      </c>
      <c r="AC1880">
        <v>1</v>
      </c>
      <c r="AD1880" s="8"/>
    </row>
    <row r="1881" spans="1:30" x14ac:dyDescent="0.3">
      <c r="A1881" t="s">
        <v>1627</v>
      </c>
      <c r="B1881">
        <v>1296990</v>
      </c>
      <c r="D1881" t="s">
        <v>7</v>
      </c>
      <c r="E1881">
        <v>945129</v>
      </c>
      <c r="F1881">
        <v>9015884123</v>
      </c>
      <c r="G1881">
        <v>17</v>
      </c>
      <c r="H1881" t="s">
        <v>553</v>
      </c>
      <c r="I1881">
        <v>0</v>
      </c>
      <c r="J1881" t="s">
        <v>554</v>
      </c>
      <c r="K1881" t="s">
        <v>8</v>
      </c>
      <c r="L1881" t="s">
        <v>18</v>
      </c>
      <c r="M1881" t="s">
        <v>9</v>
      </c>
      <c r="N1881" t="s">
        <v>14</v>
      </c>
      <c r="O1881" s="2">
        <v>-2.9</v>
      </c>
      <c r="P1881" s="3">
        <v>0</v>
      </c>
      <c r="Q1881" s="1">
        <v>46033</v>
      </c>
      <c r="R1881" s="1">
        <v>45992</v>
      </c>
      <c r="S1881" s="1">
        <v>46022</v>
      </c>
      <c r="V1881" s="8">
        <v>1</v>
      </c>
      <c r="W1881" t="s">
        <v>24</v>
      </c>
      <c r="X1881" t="s">
        <v>555</v>
      </c>
      <c r="Y1881" t="s">
        <v>10</v>
      </c>
      <c r="Z1881" t="s">
        <v>11</v>
      </c>
      <c r="AA1881">
        <v>62371</v>
      </c>
      <c r="AB1881">
        <v>21394670</v>
      </c>
      <c r="AC1881">
        <v>1</v>
      </c>
      <c r="AD1881" s="8"/>
    </row>
    <row r="1882" spans="1:30" x14ac:dyDescent="0.3">
      <c r="A1882" t="s">
        <v>1627</v>
      </c>
      <c r="B1882">
        <v>1303717</v>
      </c>
      <c r="D1882" t="s">
        <v>7</v>
      </c>
      <c r="E1882">
        <v>945154</v>
      </c>
      <c r="F1882">
        <v>9015884123</v>
      </c>
      <c r="G1882">
        <v>29</v>
      </c>
      <c r="H1882" t="s">
        <v>1331</v>
      </c>
      <c r="I1882">
        <v>0</v>
      </c>
      <c r="J1882" t="s">
        <v>1332</v>
      </c>
      <c r="K1882" t="s">
        <v>8</v>
      </c>
      <c r="L1882" t="s">
        <v>18</v>
      </c>
      <c r="M1882" t="s">
        <v>9</v>
      </c>
      <c r="N1882" t="s">
        <v>14</v>
      </c>
      <c r="O1882" s="2">
        <v>-0.18</v>
      </c>
      <c r="P1882" s="3">
        <v>0</v>
      </c>
      <c r="Q1882" s="1">
        <v>46033</v>
      </c>
      <c r="R1882" s="1">
        <v>45992</v>
      </c>
      <c r="S1882" s="1">
        <v>46022</v>
      </c>
      <c r="V1882" s="8">
        <v>1</v>
      </c>
      <c r="W1882" t="s">
        <v>24</v>
      </c>
      <c r="X1882" t="s">
        <v>1333</v>
      </c>
      <c r="Y1882" t="s">
        <v>10</v>
      </c>
      <c r="Z1882" t="s">
        <v>11</v>
      </c>
      <c r="AA1882">
        <v>62371</v>
      </c>
      <c r="AB1882">
        <v>17198482</v>
      </c>
      <c r="AC1882">
        <v>1</v>
      </c>
      <c r="AD1882" s="8"/>
    </row>
    <row r="1883" spans="1:30" x14ac:dyDescent="0.3">
      <c r="A1883" t="s">
        <v>1627</v>
      </c>
      <c r="B1883">
        <v>1340622</v>
      </c>
      <c r="D1883" t="s">
        <v>7</v>
      </c>
      <c r="E1883">
        <v>945212</v>
      </c>
      <c r="F1883">
        <v>9015884123</v>
      </c>
      <c r="G1883">
        <v>56</v>
      </c>
      <c r="H1883" t="s">
        <v>1012</v>
      </c>
      <c r="I1883">
        <v>0</v>
      </c>
      <c r="J1883" t="s">
        <v>1013</v>
      </c>
      <c r="K1883" t="s">
        <v>8</v>
      </c>
      <c r="L1883" t="s">
        <v>19</v>
      </c>
      <c r="M1883" t="s">
        <v>9</v>
      </c>
      <c r="N1883" t="s">
        <v>14</v>
      </c>
      <c r="O1883" s="2">
        <v>14.68</v>
      </c>
      <c r="P1883" s="3">
        <v>0.09</v>
      </c>
      <c r="Q1883" s="1">
        <v>46033</v>
      </c>
      <c r="R1883" s="1">
        <v>45992</v>
      </c>
      <c r="S1883" s="1">
        <v>46022</v>
      </c>
      <c r="V1883" s="8">
        <v>1</v>
      </c>
      <c r="W1883" t="s">
        <v>24</v>
      </c>
      <c r="X1883" t="s">
        <v>1014</v>
      </c>
      <c r="Y1883" t="s">
        <v>10</v>
      </c>
      <c r="Z1883" t="s">
        <v>11</v>
      </c>
      <c r="AA1883">
        <v>62371</v>
      </c>
      <c r="AB1883">
        <v>18470868</v>
      </c>
      <c r="AC1883">
        <v>1</v>
      </c>
      <c r="AD1883" s="8"/>
    </row>
    <row r="1884" spans="1:30" x14ac:dyDescent="0.3">
      <c r="A1884" t="s">
        <v>1627</v>
      </c>
      <c r="B1884">
        <v>1340623</v>
      </c>
      <c r="D1884" t="s">
        <v>7</v>
      </c>
      <c r="E1884">
        <v>945215</v>
      </c>
      <c r="F1884">
        <v>9015884123</v>
      </c>
      <c r="G1884">
        <v>57</v>
      </c>
      <c r="H1884" t="s">
        <v>574</v>
      </c>
      <c r="I1884">
        <v>0</v>
      </c>
      <c r="J1884" t="s">
        <v>575</v>
      </c>
      <c r="K1884" t="s">
        <v>8</v>
      </c>
      <c r="L1884" t="s">
        <v>19</v>
      </c>
      <c r="M1884" t="s">
        <v>9</v>
      </c>
      <c r="N1884" t="s">
        <v>14</v>
      </c>
      <c r="O1884" s="2">
        <v>46835.08</v>
      </c>
      <c r="P1884" s="3">
        <v>287.05700000000002</v>
      </c>
      <c r="Q1884" s="1">
        <v>46033</v>
      </c>
      <c r="R1884" s="1">
        <v>45992</v>
      </c>
      <c r="S1884" s="1">
        <v>46022</v>
      </c>
      <c r="V1884" s="8">
        <v>1</v>
      </c>
      <c r="W1884" t="s">
        <v>24</v>
      </c>
      <c r="X1884" t="s">
        <v>576</v>
      </c>
      <c r="Y1884" t="s">
        <v>10</v>
      </c>
      <c r="Z1884" t="s">
        <v>11</v>
      </c>
      <c r="AA1884">
        <v>62371</v>
      </c>
      <c r="AB1884">
        <v>18158547</v>
      </c>
      <c r="AC1884">
        <v>1</v>
      </c>
      <c r="AD1884" s="8"/>
    </row>
    <row r="1885" spans="1:30" x14ac:dyDescent="0.3">
      <c r="A1885" t="s">
        <v>1627</v>
      </c>
      <c r="B1885">
        <v>1338515</v>
      </c>
      <c r="D1885" t="s">
        <v>7</v>
      </c>
      <c r="E1885">
        <v>945206</v>
      </c>
      <c r="F1885">
        <v>9015884123</v>
      </c>
      <c r="G1885">
        <v>54</v>
      </c>
      <c r="H1885" t="s">
        <v>1015</v>
      </c>
      <c r="I1885">
        <v>0</v>
      </c>
      <c r="J1885" t="s">
        <v>1016</v>
      </c>
      <c r="K1885" t="s">
        <v>8</v>
      </c>
      <c r="L1885" t="s">
        <v>67</v>
      </c>
      <c r="M1885" t="s">
        <v>9</v>
      </c>
      <c r="N1885" t="s">
        <v>14</v>
      </c>
      <c r="O1885" s="2">
        <v>797479.6</v>
      </c>
      <c r="P1885" s="3">
        <v>7384.3609999999999</v>
      </c>
      <c r="Q1885" s="1">
        <v>46033</v>
      </c>
      <c r="R1885" s="1">
        <v>45992</v>
      </c>
      <c r="S1885" s="1">
        <v>46022</v>
      </c>
      <c r="V1885" s="8">
        <v>1</v>
      </c>
      <c r="W1885" t="s">
        <v>24</v>
      </c>
      <c r="X1885" t="s">
        <v>1017</v>
      </c>
      <c r="Y1885" t="s">
        <v>10</v>
      </c>
      <c r="Z1885" t="s">
        <v>11</v>
      </c>
      <c r="AA1885">
        <v>62371</v>
      </c>
      <c r="AB1885">
        <v>17068603</v>
      </c>
      <c r="AC1885">
        <v>1</v>
      </c>
      <c r="AD1885" s="8"/>
    </row>
    <row r="1886" spans="1:30" x14ac:dyDescent="0.3">
      <c r="A1886" t="s">
        <v>1627</v>
      </c>
      <c r="B1886">
        <v>1338515</v>
      </c>
      <c r="D1886" t="s">
        <v>7</v>
      </c>
      <c r="E1886">
        <v>945206</v>
      </c>
      <c r="F1886">
        <v>9015884123</v>
      </c>
      <c r="G1886">
        <v>54</v>
      </c>
      <c r="H1886" t="s">
        <v>1015</v>
      </c>
      <c r="I1886">
        <v>0</v>
      </c>
      <c r="J1886" t="s">
        <v>1016</v>
      </c>
      <c r="K1886" t="s">
        <v>8</v>
      </c>
      <c r="L1886" t="s">
        <v>19</v>
      </c>
      <c r="M1886" t="s">
        <v>9</v>
      </c>
      <c r="N1886" t="s">
        <v>14</v>
      </c>
      <c r="O1886" s="2">
        <v>64678.64</v>
      </c>
      <c r="P1886" s="3">
        <v>396.42200000000003</v>
      </c>
      <c r="Q1886" s="1">
        <v>46033</v>
      </c>
      <c r="R1886" s="1">
        <v>45992</v>
      </c>
      <c r="S1886" s="1">
        <v>46022</v>
      </c>
      <c r="V1886" s="8">
        <v>1</v>
      </c>
      <c r="W1886" t="s">
        <v>24</v>
      </c>
      <c r="X1886" t="s">
        <v>1017</v>
      </c>
      <c r="Y1886" t="s">
        <v>10</v>
      </c>
      <c r="Z1886" t="s">
        <v>11</v>
      </c>
      <c r="AA1886">
        <v>62371</v>
      </c>
      <c r="AB1886">
        <v>17068603</v>
      </c>
      <c r="AC1886">
        <v>1</v>
      </c>
      <c r="AD1886" s="8"/>
    </row>
    <row r="1887" spans="1:30" x14ac:dyDescent="0.3">
      <c r="A1887" t="s">
        <v>1627</v>
      </c>
      <c r="B1887">
        <v>1340629</v>
      </c>
      <c r="D1887" t="s">
        <v>7</v>
      </c>
      <c r="E1887">
        <v>945229</v>
      </c>
      <c r="F1887">
        <v>9015884123</v>
      </c>
      <c r="G1887">
        <v>60</v>
      </c>
      <c r="H1887" t="s">
        <v>1624</v>
      </c>
      <c r="I1887">
        <v>0</v>
      </c>
      <c r="J1887" t="s">
        <v>1625</v>
      </c>
      <c r="K1887" t="s">
        <v>8</v>
      </c>
      <c r="L1887" t="s">
        <v>15</v>
      </c>
      <c r="M1887" t="s">
        <v>9</v>
      </c>
      <c r="N1887" t="s">
        <v>14</v>
      </c>
      <c r="O1887" s="2">
        <v>0</v>
      </c>
      <c r="P1887" s="3">
        <v>6890.45</v>
      </c>
      <c r="Q1887" s="1">
        <v>46033</v>
      </c>
      <c r="R1887" s="1">
        <v>45992</v>
      </c>
      <c r="S1887" s="1">
        <v>46022</v>
      </c>
      <c r="V1887" s="8">
        <v>1</v>
      </c>
      <c r="W1887" t="s">
        <v>24</v>
      </c>
      <c r="X1887" t="s">
        <v>1626</v>
      </c>
      <c r="Y1887" t="s">
        <v>10</v>
      </c>
      <c r="Z1887" t="s">
        <v>11</v>
      </c>
      <c r="AA1887">
        <v>62371</v>
      </c>
      <c r="AB1887">
        <v>19384964</v>
      </c>
      <c r="AC1887">
        <v>0</v>
      </c>
      <c r="AD1887" s="8"/>
    </row>
    <row r="1888" spans="1:30" x14ac:dyDescent="0.3">
      <c r="A1888" t="s">
        <v>1627</v>
      </c>
      <c r="B1888">
        <v>1421898</v>
      </c>
      <c r="D1888" t="s">
        <v>7</v>
      </c>
      <c r="E1888">
        <v>946694</v>
      </c>
      <c r="F1888">
        <v>9015884123</v>
      </c>
      <c r="G1888">
        <v>466</v>
      </c>
      <c r="H1888" t="s">
        <v>1500</v>
      </c>
      <c r="I1888">
        <v>0</v>
      </c>
      <c r="J1888" t="s">
        <v>1501</v>
      </c>
      <c r="K1888" t="s">
        <v>8</v>
      </c>
      <c r="L1888" t="s">
        <v>67</v>
      </c>
      <c r="M1888" t="s">
        <v>9</v>
      </c>
      <c r="N1888" t="s">
        <v>14</v>
      </c>
      <c r="O1888" s="2">
        <v>211751.85</v>
      </c>
      <c r="P1888" s="3">
        <v>1486.693</v>
      </c>
      <c r="Q1888" s="1">
        <v>46033</v>
      </c>
      <c r="R1888" s="1">
        <v>45992</v>
      </c>
      <c r="S1888" s="1">
        <v>46022</v>
      </c>
      <c r="V1888" s="8">
        <v>1</v>
      </c>
      <c r="W1888" t="s">
        <v>24</v>
      </c>
      <c r="X1888" t="s">
        <v>1502</v>
      </c>
      <c r="Y1888" t="s">
        <v>54</v>
      </c>
      <c r="Z1888" t="s">
        <v>11</v>
      </c>
      <c r="AA1888">
        <v>62371</v>
      </c>
      <c r="AB1888">
        <v>21334651</v>
      </c>
      <c r="AC1888">
        <v>0</v>
      </c>
      <c r="AD1888" s="8"/>
    </row>
    <row r="1889" spans="1:30" x14ac:dyDescent="0.3">
      <c r="A1889" t="s">
        <v>1627</v>
      </c>
      <c r="B1889">
        <v>1412076</v>
      </c>
      <c r="D1889" t="s">
        <v>7</v>
      </c>
      <c r="E1889">
        <v>946379</v>
      </c>
      <c r="F1889">
        <v>9015884123</v>
      </c>
      <c r="G1889">
        <v>363</v>
      </c>
      <c r="H1889" t="s">
        <v>1506</v>
      </c>
      <c r="I1889">
        <v>0</v>
      </c>
      <c r="J1889" t="s">
        <v>1507</v>
      </c>
      <c r="K1889" t="s">
        <v>8</v>
      </c>
      <c r="L1889" t="s">
        <v>67</v>
      </c>
      <c r="M1889" t="s">
        <v>9</v>
      </c>
      <c r="N1889" t="s">
        <v>14</v>
      </c>
      <c r="O1889" s="2">
        <v>494873.69</v>
      </c>
      <c r="P1889" s="3">
        <v>3474.4690000000001</v>
      </c>
      <c r="Q1889" s="1">
        <v>46033</v>
      </c>
      <c r="R1889" s="1">
        <v>45992</v>
      </c>
      <c r="S1889" s="1">
        <v>46022</v>
      </c>
      <c r="V1889" s="8">
        <v>1</v>
      </c>
      <c r="W1889" t="s">
        <v>24</v>
      </c>
      <c r="X1889" t="s">
        <v>1508</v>
      </c>
      <c r="Y1889" t="s">
        <v>35</v>
      </c>
      <c r="Z1889" t="s">
        <v>11</v>
      </c>
      <c r="AA1889">
        <v>62371</v>
      </c>
      <c r="AB1889">
        <v>21342604</v>
      </c>
      <c r="AC1889">
        <v>0</v>
      </c>
      <c r="AD1889" s="8"/>
    </row>
    <row r="1890" spans="1:30" x14ac:dyDescent="0.3">
      <c r="A1890" t="s">
        <v>1627</v>
      </c>
      <c r="B1890">
        <v>1353827</v>
      </c>
      <c r="D1890" t="s">
        <v>7</v>
      </c>
      <c r="E1890">
        <v>945346</v>
      </c>
      <c r="F1890">
        <v>9015884123</v>
      </c>
      <c r="G1890">
        <v>95</v>
      </c>
      <c r="H1890" t="s">
        <v>1352</v>
      </c>
      <c r="I1890">
        <v>0</v>
      </c>
      <c r="J1890" t="s">
        <v>1353</v>
      </c>
      <c r="K1890" t="s">
        <v>8</v>
      </c>
      <c r="L1890" t="s">
        <v>19</v>
      </c>
      <c r="M1890" t="s">
        <v>9</v>
      </c>
      <c r="N1890" t="s">
        <v>14</v>
      </c>
      <c r="O1890" s="2">
        <v>9876.82</v>
      </c>
      <c r="P1890" s="3">
        <v>49.985999999999997</v>
      </c>
      <c r="Q1890" s="1">
        <v>46033</v>
      </c>
      <c r="R1890" s="1">
        <v>45992</v>
      </c>
      <c r="S1890" s="1">
        <v>46022</v>
      </c>
      <c r="V1890" s="8">
        <v>1</v>
      </c>
      <c r="W1890" t="s">
        <v>24</v>
      </c>
      <c r="X1890" t="s">
        <v>1354</v>
      </c>
      <c r="Y1890" t="s">
        <v>36</v>
      </c>
      <c r="Z1890" t="s">
        <v>11</v>
      </c>
      <c r="AA1890">
        <v>62371</v>
      </c>
      <c r="AB1890">
        <v>18109993</v>
      </c>
      <c r="AC1890">
        <v>0</v>
      </c>
      <c r="AD1890" s="8"/>
    </row>
    <row r="1891" spans="1:30" x14ac:dyDescent="0.3">
      <c r="A1891" t="s">
        <v>1627</v>
      </c>
      <c r="B1891">
        <v>1415110</v>
      </c>
      <c r="D1891" t="s">
        <v>7</v>
      </c>
      <c r="E1891">
        <v>946483</v>
      </c>
      <c r="F1891">
        <v>9015884123</v>
      </c>
      <c r="G1891">
        <v>399</v>
      </c>
      <c r="H1891" t="s">
        <v>1488</v>
      </c>
      <c r="I1891">
        <v>0</v>
      </c>
      <c r="J1891" t="s">
        <v>1489</v>
      </c>
      <c r="K1891" t="s">
        <v>8</v>
      </c>
      <c r="L1891" t="s">
        <v>18</v>
      </c>
      <c r="M1891" t="s">
        <v>9</v>
      </c>
      <c r="N1891" t="s">
        <v>14</v>
      </c>
      <c r="O1891" s="2">
        <v>0.67</v>
      </c>
      <c r="P1891" s="3">
        <v>0</v>
      </c>
      <c r="Q1891" s="1">
        <v>46033</v>
      </c>
      <c r="R1891" s="1">
        <v>45992</v>
      </c>
      <c r="S1891" s="1">
        <v>46022</v>
      </c>
      <c r="V1891" s="8">
        <v>1</v>
      </c>
      <c r="W1891" t="s">
        <v>24</v>
      </c>
      <c r="X1891" t="s">
        <v>1490</v>
      </c>
      <c r="Y1891" t="s">
        <v>38</v>
      </c>
      <c r="Z1891" t="s">
        <v>11</v>
      </c>
      <c r="AA1891">
        <v>62371</v>
      </c>
      <c r="AB1891">
        <v>19536914</v>
      </c>
      <c r="AC1891">
        <v>0</v>
      </c>
      <c r="AD1891" s="8"/>
    </row>
    <row r="1892" spans="1:30" x14ac:dyDescent="0.3">
      <c r="A1892" t="s">
        <v>1627</v>
      </c>
      <c r="B1892">
        <v>1415110</v>
      </c>
      <c r="D1892" t="s">
        <v>7</v>
      </c>
      <c r="E1892">
        <v>946483</v>
      </c>
      <c r="F1892">
        <v>9015884123</v>
      </c>
      <c r="G1892">
        <v>399</v>
      </c>
      <c r="H1892" t="s">
        <v>1488</v>
      </c>
      <c r="I1892">
        <v>0</v>
      </c>
      <c r="J1892" t="s">
        <v>1489</v>
      </c>
      <c r="K1892" t="s">
        <v>8</v>
      </c>
      <c r="L1892" t="s">
        <v>67</v>
      </c>
      <c r="M1892" t="s">
        <v>9</v>
      </c>
      <c r="N1892" t="s">
        <v>14</v>
      </c>
      <c r="O1892" s="2">
        <v>165530.85</v>
      </c>
      <c r="P1892" s="3">
        <v>1162.1790000000001</v>
      </c>
      <c r="Q1892" s="1">
        <v>46033</v>
      </c>
      <c r="R1892" s="1">
        <v>45992</v>
      </c>
      <c r="S1892" s="1">
        <v>46022</v>
      </c>
      <c r="V1892" s="8">
        <v>1</v>
      </c>
      <c r="W1892" t="s">
        <v>24</v>
      </c>
      <c r="X1892" t="s">
        <v>1490</v>
      </c>
      <c r="Y1892" t="s">
        <v>38</v>
      </c>
      <c r="Z1892" t="s">
        <v>11</v>
      </c>
      <c r="AA1892">
        <v>62371</v>
      </c>
      <c r="AB1892">
        <v>19536914</v>
      </c>
      <c r="AC1892">
        <v>0</v>
      </c>
      <c r="AD1892" s="8"/>
    </row>
    <row r="1893" spans="1:30" x14ac:dyDescent="0.3">
      <c r="A1893" t="s">
        <v>1627</v>
      </c>
      <c r="B1893">
        <v>1415110</v>
      </c>
      <c r="D1893" t="s">
        <v>7</v>
      </c>
      <c r="E1893">
        <v>946483</v>
      </c>
      <c r="F1893">
        <v>9015884123</v>
      </c>
      <c r="G1893">
        <v>399</v>
      </c>
      <c r="H1893" t="s">
        <v>1488</v>
      </c>
      <c r="I1893">
        <v>0</v>
      </c>
      <c r="J1893" t="s">
        <v>1489</v>
      </c>
      <c r="K1893" t="s">
        <v>8</v>
      </c>
      <c r="L1893" t="s">
        <v>15</v>
      </c>
      <c r="M1893" t="s">
        <v>9</v>
      </c>
      <c r="N1893" t="s">
        <v>14</v>
      </c>
      <c r="O1893" s="2">
        <v>0</v>
      </c>
      <c r="P1893" s="3">
        <v>1162.1790000000001</v>
      </c>
      <c r="Q1893" s="1">
        <v>46033</v>
      </c>
      <c r="R1893" s="1">
        <v>45992</v>
      </c>
      <c r="S1893" s="1">
        <v>46022</v>
      </c>
      <c r="V1893" s="8">
        <v>1</v>
      </c>
      <c r="W1893" t="s">
        <v>24</v>
      </c>
      <c r="X1893" t="s">
        <v>1490</v>
      </c>
      <c r="Y1893" t="s">
        <v>38</v>
      </c>
      <c r="Z1893" t="s">
        <v>11</v>
      </c>
      <c r="AA1893">
        <v>62371</v>
      </c>
      <c r="AB1893">
        <v>19536914</v>
      </c>
      <c r="AC1893">
        <v>0</v>
      </c>
      <c r="AD1893" s="8"/>
    </row>
    <row r="1894" spans="1:30" x14ac:dyDescent="0.3">
      <c r="A1894" t="s">
        <v>1627</v>
      </c>
      <c r="B1894">
        <v>1406226</v>
      </c>
      <c r="D1894" t="s">
        <v>7</v>
      </c>
      <c r="E1894">
        <v>946291</v>
      </c>
      <c r="F1894">
        <v>9015884123</v>
      </c>
      <c r="G1894">
        <v>318</v>
      </c>
      <c r="H1894" t="s">
        <v>1042</v>
      </c>
      <c r="I1894">
        <v>0</v>
      </c>
      <c r="J1894" t="s">
        <v>1043</v>
      </c>
      <c r="K1894" t="s">
        <v>8</v>
      </c>
      <c r="L1894" t="s">
        <v>19</v>
      </c>
      <c r="M1894" t="s">
        <v>9</v>
      </c>
      <c r="N1894" t="s">
        <v>14</v>
      </c>
      <c r="O1894" s="2">
        <v>8.3000000000000007</v>
      </c>
      <c r="P1894" s="3">
        <v>4.2000000000000003E-2</v>
      </c>
      <c r="Q1894" s="1">
        <v>46033</v>
      </c>
      <c r="R1894" s="1">
        <v>45992</v>
      </c>
      <c r="S1894" s="1">
        <v>46022</v>
      </c>
      <c r="V1894" s="8">
        <v>1</v>
      </c>
      <c r="W1894" t="s">
        <v>24</v>
      </c>
      <c r="X1894" t="s">
        <v>1044</v>
      </c>
      <c r="Y1894" t="s">
        <v>38</v>
      </c>
      <c r="Z1894" t="s">
        <v>11</v>
      </c>
      <c r="AA1894">
        <v>62371</v>
      </c>
      <c r="AB1894">
        <v>19832881</v>
      </c>
      <c r="AC1894">
        <v>0</v>
      </c>
      <c r="AD1894" s="8"/>
    </row>
    <row r="1895" spans="1:30" x14ac:dyDescent="0.3">
      <c r="A1895" t="s">
        <v>1627</v>
      </c>
      <c r="B1895">
        <v>1406226</v>
      </c>
      <c r="D1895" t="s">
        <v>7</v>
      </c>
      <c r="E1895">
        <v>946291</v>
      </c>
      <c r="F1895">
        <v>9015884123</v>
      </c>
      <c r="G1895">
        <v>318</v>
      </c>
      <c r="H1895" t="s">
        <v>1042</v>
      </c>
      <c r="I1895">
        <v>0</v>
      </c>
      <c r="J1895" t="s">
        <v>1043</v>
      </c>
      <c r="K1895" t="s">
        <v>8</v>
      </c>
      <c r="L1895" t="s">
        <v>67</v>
      </c>
      <c r="M1895" t="s">
        <v>9</v>
      </c>
      <c r="N1895" t="s">
        <v>14</v>
      </c>
      <c r="O1895" s="2">
        <v>530288.71</v>
      </c>
      <c r="P1895" s="3">
        <v>3723.1149999999998</v>
      </c>
      <c r="Q1895" s="1">
        <v>46033</v>
      </c>
      <c r="R1895" s="1">
        <v>45992</v>
      </c>
      <c r="S1895" s="1">
        <v>46022</v>
      </c>
      <c r="V1895" s="8">
        <v>1</v>
      </c>
      <c r="W1895" t="s">
        <v>24</v>
      </c>
      <c r="X1895" t="s">
        <v>1044</v>
      </c>
      <c r="Y1895" t="s">
        <v>38</v>
      </c>
      <c r="Z1895" t="s">
        <v>11</v>
      </c>
      <c r="AA1895">
        <v>62371</v>
      </c>
      <c r="AB1895">
        <v>19832881</v>
      </c>
      <c r="AC1895">
        <v>0</v>
      </c>
      <c r="AD1895" s="8"/>
    </row>
    <row r="1896" spans="1:30" x14ac:dyDescent="0.3">
      <c r="A1896" t="s">
        <v>1627</v>
      </c>
      <c r="B1896">
        <v>1353830</v>
      </c>
      <c r="D1896" t="s">
        <v>7</v>
      </c>
      <c r="E1896">
        <v>945350</v>
      </c>
      <c r="F1896">
        <v>9015884123</v>
      </c>
      <c r="G1896">
        <v>96</v>
      </c>
      <c r="H1896" t="s">
        <v>633</v>
      </c>
      <c r="I1896">
        <v>0</v>
      </c>
      <c r="J1896" t="s">
        <v>634</v>
      </c>
      <c r="K1896" t="s">
        <v>8</v>
      </c>
      <c r="L1896" t="s">
        <v>67</v>
      </c>
      <c r="M1896" t="s">
        <v>9</v>
      </c>
      <c r="N1896" t="s">
        <v>14</v>
      </c>
      <c r="O1896" s="2">
        <v>406547.39</v>
      </c>
      <c r="P1896" s="3">
        <v>2854.337</v>
      </c>
      <c r="Q1896" s="1">
        <v>46033</v>
      </c>
      <c r="R1896" s="1">
        <v>45992</v>
      </c>
      <c r="S1896" s="1">
        <v>46022</v>
      </c>
      <c r="V1896" s="8">
        <v>1</v>
      </c>
      <c r="W1896" t="s">
        <v>24</v>
      </c>
      <c r="X1896" t="s">
        <v>635</v>
      </c>
      <c r="Y1896" t="s">
        <v>40</v>
      </c>
      <c r="Z1896" t="s">
        <v>11</v>
      </c>
      <c r="AA1896">
        <v>62371</v>
      </c>
      <c r="AB1896">
        <v>19816310</v>
      </c>
      <c r="AC1896">
        <v>0</v>
      </c>
      <c r="AD1896" s="8"/>
    </row>
    <row r="1897" spans="1:30" x14ac:dyDescent="0.3">
      <c r="A1897" t="s">
        <v>1627</v>
      </c>
      <c r="B1897">
        <v>1353835</v>
      </c>
      <c r="D1897" t="s">
        <v>7</v>
      </c>
      <c r="E1897">
        <v>945363</v>
      </c>
      <c r="F1897">
        <v>9015884123</v>
      </c>
      <c r="G1897">
        <v>100</v>
      </c>
      <c r="H1897" t="s">
        <v>1024</v>
      </c>
      <c r="I1897">
        <v>0</v>
      </c>
      <c r="J1897" t="s">
        <v>1025</v>
      </c>
      <c r="K1897" t="s">
        <v>8</v>
      </c>
      <c r="L1897" t="s">
        <v>67</v>
      </c>
      <c r="M1897" t="s">
        <v>9</v>
      </c>
      <c r="N1897" t="s">
        <v>14</v>
      </c>
      <c r="O1897" s="2">
        <v>413754.42</v>
      </c>
      <c r="P1897" s="3">
        <v>2904.9369999999999</v>
      </c>
      <c r="Q1897" s="1">
        <v>46033</v>
      </c>
      <c r="R1897" s="1">
        <v>45992</v>
      </c>
      <c r="S1897" s="1">
        <v>46022</v>
      </c>
      <c r="V1897" s="8">
        <v>1</v>
      </c>
      <c r="W1897" t="s">
        <v>24</v>
      </c>
      <c r="X1897" t="s">
        <v>1026</v>
      </c>
      <c r="Y1897" t="s">
        <v>40</v>
      </c>
      <c r="Z1897" t="s">
        <v>11</v>
      </c>
      <c r="AA1897">
        <v>62371</v>
      </c>
      <c r="AB1897">
        <v>18007323</v>
      </c>
      <c r="AC1897">
        <v>0</v>
      </c>
      <c r="AD1897" s="8"/>
    </row>
    <row r="1898" spans="1:30" x14ac:dyDescent="0.3">
      <c r="A1898" t="s">
        <v>1627</v>
      </c>
      <c r="B1898">
        <v>1356333</v>
      </c>
      <c r="D1898" t="s">
        <v>7</v>
      </c>
      <c r="E1898">
        <v>945465</v>
      </c>
      <c r="F1898">
        <v>9015884123</v>
      </c>
      <c r="G1898">
        <v>134</v>
      </c>
      <c r="H1898" t="s">
        <v>1615</v>
      </c>
      <c r="I1898">
        <v>0</v>
      </c>
      <c r="J1898" t="s">
        <v>1616</v>
      </c>
      <c r="K1898" t="s">
        <v>8</v>
      </c>
      <c r="L1898" t="s">
        <v>15</v>
      </c>
      <c r="M1898" t="s">
        <v>9</v>
      </c>
      <c r="N1898" t="s">
        <v>14</v>
      </c>
      <c r="O1898" s="2">
        <v>0</v>
      </c>
      <c r="P1898" s="3">
        <v>2100.7489999999998</v>
      </c>
      <c r="Q1898" s="1">
        <v>46033</v>
      </c>
      <c r="R1898" s="1">
        <v>45992</v>
      </c>
      <c r="S1898" s="1">
        <v>46022</v>
      </c>
      <c r="V1898" s="8">
        <v>1</v>
      </c>
      <c r="W1898" t="s">
        <v>24</v>
      </c>
      <c r="X1898" t="s">
        <v>1617</v>
      </c>
      <c r="Y1898" t="s">
        <v>40</v>
      </c>
      <c r="Z1898" t="s">
        <v>11</v>
      </c>
      <c r="AA1898">
        <v>62371</v>
      </c>
      <c r="AB1898">
        <v>19752666</v>
      </c>
      <c r="AC1898">
        <v>1</v>
      </c>
      <c r="AD1898" s="8"/>
    </row>
    <row r="1899" spans="1:30" x14ac:dyDescent="0.3">
      <c r="A1899" t="s">
        <v>1627</v>
      </c>
      <c r="B1899">
        <v>1356333</v>
      </c>
      <c r="D1899" t="s">
        <v>7</v>
      </c>
      <c r="E1899">
        <v>945465</v>
      </c>
      <c r="F1899">
        <v>9015884123</v>
      </c>
      <c r="G1899">
        <v>134</v>
      </c>
      <c r="H1899" t="s">
        <v>1615</v>
      </c>
      <c r="I1899">
        <v>0</v>
      </c>
      <c r="J1899" t="s">
        <v>1616</v>
      </c>
      <c r="K1899" t="s">
        <v>8</v>
      </c>
      <c r="L1899" t="s">
        <v>19</v>
      </c>
      <c r="M1899" t="s">
        <v>9</v>
      </c>
      <c r="N1899" t="s">
        <v>14</v>
      </c>
      <c r="O1899" s="2">
        <v>9414.27</v>
      </c>
      <c r="P1899" s="3">
        <v>57.701000000000001</v>
      </c>
      <c r="Q1899" s="1">
        <v>46033</v>
      </c>
      <c r="R1899" s="1">
        <v>45992</v>
      </c>
      <c r="S1899" s="1">
        <v>46022</v>
      </c>
      <c r="V1899" s="8">
        <v>1</v>
      </c>
      <c r="W1899" t="s">
        <v>24</v>
      </c>
      <c r="X1899" t="s">
        <v>1617</v>
      </c>
      <c r="Y1899" t="s">
        <v>40</v>
      </c>
      <c r="Z1899" t="s">
        <v>11</v>
      </c>
      <c r="AA1899">
        <v>62371</v>
      </c>
      <c r="AB1899">
        <v>19752666</v>
      </c>
      <c r="AC1899">
        <v>1</v>
      </c>
      <c r="AD1899" s="8"/>
    </row>
    <row r="1900" spans="1:30" x14ac:dyDescent="0.3">
      <c r="A1900" t="s">
        <v>1627</v>
      </c>
      <c r="B1900">
        <v>1356300</v>
      </c>
      <c r="D1900" t="s">
        <v>7</v>
      </c>
      <c r="E1900">
        <v>945385</v>
      </c>
      <c r="F1900">
        <v>9015884123</v>
      </c>
      <c r="G1900">
        <v>107</v>
      </c>
      <c r="H1900" t="s">
        <v>1509</v>
      </c>
      <c r="I1900">
        <v>0</v>
      </c>
      <c r="J1900" t="s">
        <v>1510</v>
      </c>
      <c r="K1900" t="s">
        <v>8</v>
      </c>
      <c r="L1900" t="s">
        <v>15</v>
      </c>
      <c r="M1900" t="s">
        <v>9</v>
      </c>
      <c r="N1900" t="s">
        <v>14</v>
      </c>
      <c r="O1900" s="2">
        <v>0</v>
      </c>
      <c r="P1900" s="3">
        <v>1287.875</v>
      </c>
      <c r="Q1900" s="1">
        <v>46033</v>
      </c>
      <c r="R1900" s="1">
        <v>45992</v>
      </c>
      <c r="S1900" s="1">
        <v>46022</v>
      </c>
      <c r="V1900" s="8">
        <v>1</v>
      </c>
      <c r="W1900" t="s">
        <v>24</v>
      </c>
      <c r="X1900" t="s">
        <v>1511</v>
      </c>
      <c r="Y1900" t="s">
        <v>40</v>
      </c>
      <c r="Z1900" t="s">
        <v>11</v>
      </c>
      <c r="AA1900">
        <v>62371</v>
      </c>
      <c r="AB1900">
        <v>21106441</v>
      </c>
      <c r="AC1900">
        <v>1</v>
      </c>
      <c r="AD1900" s="8"/>
    </row>
    <row r="1901" spans="1:30" x14ac:dyDescent="0.3">
      <c r="A1901" t="s">
        <v>1627</v>
      </c>
      <c r="B1901">
        <v>1363374</v>
      </c>
      <c r="D1901" t="s">
        <v>7</v>
      </c>
      <c r="E1901">
        <v>945915</v>
      </c>
      <c r="F1901">
        <v>9015884123</v>
      </c>
      <c r="G1901">
        <v>166</v>
      </c>
      <c r="H1901" t="s">
        <v>649</v>
      </c>
      <c r="I1901">
        <v>0</v>
      </c>
      <c r="J1901" t="s">
        <v>650</v>
      </c>
      <c r="K1901" t="s">
        <v>8</v>
      </c>
      <c r="L1901" t="s">
        <v>15</v>
      </c>
      <c r="M1901" t="s">
        <v>9</v>
      </c>
      <c r="N1901" t="s">
        <v>14</v>
      </c>
      <c r="O1901" s="2">
        <v>0</v>
      </c>
      <c r="P1901" s="3">
        <v>8429.36</v>
      </c>
      <c r="Q1901" s="1">
        <v>46033</v>
      </c>
      <c r="R1901" s="1">
        <v>45992</v>
      </c>
      <c r="S1901" s="1">
        <v>46022</v>
      </c>
      <c r="V1901" s="8">
        <v>1</v>
      </c>
      <c r="W1901" t="s">
        <v>24</v>
      </c>
      <c r="X1901" t="s">
        <v>651</v>
      </c>
      <c r="Y1901" t="s">
        <v>40</v>
      </c>
      <c r="Z1901" t="s">
        <v>11</v>
      </c>
      <c r="AA1901">
        <v>62371</v>
      </c>
      <c r="AB1901">
        <v>19645158</v>
      </c>
      <c r="AC1901">
        <v>0</v>
      </c>
      <c r="AD1901" s="8"/>
    </row>
    <row r="1902" spans="1:30" x14ac:dyDescent="0.3">
      <c r="A1902" t="s">
        <v>1627</v>
      </c>
      <c r="B1902">
        <v>1379575</v>
      </c>
      <c r="D1902" t="s">
        <v>7</v>
      </c>
      <c r="E1902">
        <v>945974</v>
      </c>
      <c r="F1902">
        <v>9015884123</v>
      </c>
      <c r="G1902">
        <v>205</v>
      </c>
      <c r="H1902" t="s">
        <v>656</v>
      </c>
      <c r="I1902">
        <v>0</v>
      </c>
      <c r="J1902" t="s">
        <v>657</v>
      </c>
      <c r="K1902" t="s">
        <v>8</v>
      </c>
      <c r="L1902" t="s">
        <v>19</v>
      </c>
      <c r="M1902" t="s">
        <v>9</v>
      </c>
      <c r="N1902" t="s">
        <v>14</v>
      </c>
      <c r="O1902" s="2">
        <v>10874.35</v>
      </c>
      <c r="P1902" s="3">
        <v>66.650000000000006</v>
      </c>
      <c r="Q1902" s="1">
        <v>46033</v>
      </c>
      <c r="R1902" s="1">
        <v>45992</v>
      </c>
      <c r="S1902" s="1">
        <v>46022</v>
      </c>
      <c r="V1902" s="8">
        <v>1</v>
      </c>
      <c r="W1902" t="s">
        <v>24</v>
      </c>
      <c r="X1902" t="s">
        <v>658</v>
      </c>
      <c r="Y1902" t="s">
        <v>40</v>
      </c>
      <c r="Z1902" t="s">
        <v>11</v>
      </c>
      <c r="AA1902">
        <v>62371</v>
      </c>
      <c r="AB1902">
        <v>19752769</v>
      </c>
      <c r="AC1902">
        <v>1</v>
      </c>
      <c r="AD1902" s="8"/>
    </row>
    <row r="1903" spans="1:30" x14ac:dyDescent="0.3">
      <c r="A1903" t="s">
        <v>1627</v>
      </c>
      <c r="B1903">
        <v>1399954</v>
      </c>
      <c r="D1903" t="s">
        <v>7</v>
      </c>
      <c r="E1903">
        <v>946093</v>
      </c>
      <c r="F1903">
        <v>9015884123</v>
      </c>
      <c r="G1903">
        <v>251</v>
      </c>
      <c r="H1903" t="s">
        <v>1343</v>
      </c>
      <c r="I1903">
        <v>0</v>
      </c>
      <c r="J1903" t="s">
        <v>1344</v>
      </c>
      <c r="K1903" t="s">
        <v>8</v>
      </c>
      <c r="L1903" t="s">
        <v>18</v>
      </c>
      <c r="M1903" t="s">
        <v>9</v>
      </c>
      <c r="N1903" t="s">
        <v>14</v>
      </c>
      <c r="O1903" s="2">
        <v>-2.5499999999999998</v>
      </c>
      <c r="P1903" s="3">
        <v>0</v>
      </c>
      <c r="Q1903" s="1">
        <v>46033</v>
      </c>
      <c r="R1903" s="1">
        <v>45992</v>
      </c>
      <c r="S1903" s="1">
        <v>46022</v>
      </c>
      <c r="V1903" s="8">
        <v>1</v>
      </c>
      <c r="W1903" t="s">
        <v>24</v>
      </c>
      <c r="X1903" t="s">
        <v>1345</v>
      </c>
      <c r="Y1903" t="s">
        <v>40</v>
      </c>
      <c r="Z1903" t="s">
        <v>11</v>
      </c>
      <c r="AA1903">
        <v>62371</v>
      </c>
      <c r="AB1903">
        <v>18673828</v>
      </c>
      <c r="AC1903">
        <v>1</v>
      </c>
      <c r="AD1903" s="8"/>
    </row>
    <row r="1904" spans="1:30" x14ac:dyDescent="0.3">
      <c r="A1904" t="s">
        <v>1627</v>
      </c>
      <c r="B1904">
        <v>1403688</v>
      </c>
      <c r="D1904" t="s">
        <v>7</v>
      </c>
      <c r="E1904">
        <v>946211</v>
      </c>
      <c r="F1904">
        <v>9015884123</v>
      </c>
      <c r="G1904">
        <v>289</v>
      </c>
      <c r="H1904" t="s">
        <v>1361</v>
      </c>
      <c r="I1904">
        <v>0</v>
      </c>
      <c r="J1904" t="s">
        <v>1362</v>
      </c>
      <c r="K1904" t="s">
        <v>8</v>
      </c>
      <c r="L1904" t="s">
        <v>18</v>
      </c>
      <c r="M1904" t="s">
        <v>9</v>
      </c>
      <c r="N1904" t="s">
        <v>14</v>
      </c>
      <c r="O1904" s="2">
        <v>0.95</v>
      </c>
      <c r="P1904" s="3">
        <v>0</v>
      </c>
      <c r="Q1904" s="1">
        <v>46033</v>
      </c>
      <c r="R1904" s="1">
        <v>45992</v>
      </c>
      <c r="S1904" s="1">
        <v>46022</v>
      </c>
      <c r="V1904" s="8">
        <v>1</v>
      </c>
      <c r="W1904" t="s">
        <v>24</v>
      </c>
      <c r="X1904" t="s">
        <v>1363</v>
      </c>
      <c r="Y1904" t="s">
        <v>40</v>
      </c>
      <c r="Z1904" t="s">
        <v>11</v>
      </c>
      <c r="AA1904">
        <v>62371</v>
      </c>
      <c r="AB1904">
        <v>18554428</v>
      </c>
      <c r="AC1904">
        <v>0</v>
      </c>
      <c r="AD1904" s="8"/>
    </row>
    <row r="1905" spans="1:30" x14ac:dyDescent="0.3">
      <c r="A1905" t="s">
        <v>1627</v>
      </c>
      <c r="B1905">
        <v>1403632</v>
      </c>
      <c r="D1905" t="s">
        <v>7</v>
      </c>
      <c r="E1905">
        <v>946107</v>
      </c>
      <c r="F1905">
        <v>9015884123</v>
      </c>
      <c r="G1905">
        <v>256</v>
      </c>
      <c r="H1905" t="s">
        <v>1045</v>
      </c>
      <c r="I1905">
        <v>0</v>
      </c>
      <c r="J1905" t="s">
        <v>1046</v>
      </c>
      <c r="K1905" t="s">
        <v>8</v>
      </c>
      <c r="L1905" t="s">
        <v>67</v>
      </c>
      <c r="M1905" t="s">
        <v>9</v>
      </c>
      <c r="N1905" t="s">
        <v>14</v>
      </c>
      <c r="O1905" s="2">
        <v>196921.83</v>
      </c>
      <c r="P1905" s="3">
        <v>1823.422</v>
      </c>
      <c r="Q1905" s="1">
        <v>46033</v>
      </c>
      <c r="R1905" s="1">
        <v>45992</v>
      </c>
      <c r="S1905" s="1">
        <v>46022</v>
      </c>
      <c r="V1905" s="8">
        <v>1</v>
      </c>
      <c r="W1905" t="s">
        <v>24</v>
      </c>
      <c r="X1905" t="s">
        <v>1047</v>
      </c>
      <c r="Y1905" t="s">
        <v>40</v>
      </c>
      <c r="Z1905" t="s">
        <v>11</v>
      </c>
      <c r="AA1905">
        <v>62371</v>
      </c>
      <c r="AB1905">
        <v>18766882</v>
      </c>
      <c r="AC1905">
        <v>1</v>
      </c>
      <c r="AD1905" s="8"/>
    </row>
    <row r="1906" spans="1:30" x14ac:dyDescent="0.3">
      <c r="A1906" t="s">
        <v>1627</v>
      </c>
      <c r="B1906">
        <v>1403635</v>
      </c>
      <c r="D1906" t="s">
        <v>7</v>
      </c>
      <c r="E1906">
        <v>946158</v>
      </c>
      <c r="F1906">
        <v>9015884123</v>
      </c>
      <c r="G1906">
        <v>271</v>
      </c>
      <c r="H1906" t="s">
        <v>668</v>
      </c>
      <c r="I1906">
        <v>0</v>
      </c>
      <c r="J1906" t="s">
        <v>669</v>
      </c>
      <c r="K1906" t="s">
        <v>8</v>
      </c>
      <c r="L1906" t="s">
        <v>19</v>
      </c>
      <c r="M1906" t="s">
        <v>9</v>
      </c>
      <c r="N1906" t="s">
        <v>14</v>
      </c>
      <c r="O1906" s="2">
        <v>94655.63</v>
      </c>
      <c r="P1906" s="3">
        <v>580.154</v>
      </c>
      <c r="Q1906" s="1">
        <v>46033</v>
      </c>
      <c r="R1906" s="1">
        <v>45992</v>
      </c>
      <c r="S1906" s="1">
        <v>46022</v>
      </c>
      <c r="V1906" s="8">
        <v>1</v>
      </c>
      <c r="W1906" t="s">
        <v>24</v>
      </c>
      <c r="X1906" t="s">
        <v>670</v>
      </c>
      <c r="Y1906" t="s">
        <v>40</v>
      </c>
      <c r="Z1906" t="s">
        <v>11</v>
      </c>
      <c r="AA1906">
        <v>62371</v>
      </c>
      <c r="AB1906">
        <v>20066211</v>
      </c>
      <c r="AC1906">
        <v>1</v>
      </c>
      <c r="AD1906" s="8"/>
    </row>
    <row r="1907" spans="1:30" x14ac:dyDescent="0.3">
      <c r="A1907" t="s">
        <v>1627</v>
      </c>
      <c r="B1907">
        <v>1403714</v>
      </c>
      <c r="D1907" t="s">
        <v>7</v>
      </c>
      <c r="E1907">
        <v>946238</v>
      </c>
      <c r="F1907">
        <v>9015884123</v>
      </c>
      <c r="G1907">
        <v>298</v>
      </c>
      <c r="H1907" t="s">
        <v>1364</v>
      </c>
      <c r="I1907">
        <v>0</v>
      </c>
      <c r="J1907" t="s">
        <v>1365</v>
      </c>
      <c r="K1907" t="s">
        <v>8</v>
      </c>
      <c r="L1907" t="s">
        <v>15</v>
      </c>
      <c r="M1907" t="s">
        <v>9</v>
      </c>
      <c r="N1907" t="s">
        <v>14</v>
      </c>
      <c r="O1907" s="2">
        <v>0</v>
      </c>
      <c r="P1907" s="3">
        <v>3369.9070000000002</v>
      </c>
      <c r="Q1907" s="1">
        <v>46033</v>
      </c>
      <c r="R1907" s="1">
        <v>45992</v>
      </c>
      <c r="S1907" s="1">
        <v>46022</v>
      </c>
      <c r="V1907" s="8">
        <v>1</v>
      </c>
      <c r="W1907" t="s">
        <v>24</v>
      </c>
      <c r="X1907" t="s">
        <v>1366</v>
      </c>
      <c r="Y1907" t="s">
        <v>40</v>
      </c>
      <c r="Z1907" t="s">
        <v>11</v>
      </c>
      <c r="AA1907">
        <v>62371</v>
      </c>
      <c r="AB1907">
        <v>18369182</v>
      </c>
      <c r="AC1907">
        <v>1</v>
      </c>
      <c r="AD1907" s="8"/>
    </row>
    <row r="1908" spans="1:30" x14ac:dyDescent="0.3">
      <c r="A1908" t="s">
        <v>1627</v>
      </c>
      <c r="B1908">
        <v>1445868</v>
      </c>
      <c r="D1908" t="s">
        <v>7</v>
      </c>
      <c r="E1908">
        <v>946906</v>
      </c>
      <c r="F1908">
        <v>9015884123</v>
      </c>
      <c r="G1908">
        <v>532</v>
      </c>
      <c r="H1908" t="s">
        <v>1066</v>
      </c>
      <c r="I1908">
        <v>0</v>
      </c>
      <c r="J1908" t="s">
        <v>1067</v>
      </c>
      <c r="K1908" t="s">
        <v>8</v>
      </c>
      <c r="L1908" t="s">
        <v>15</v>
      </c>
      <c r="M1908" t="s">
        <v>9</v>
      </c>
      <c r="N1908" t="s">
        <v>14</v>
      </c>
      <c r="O1908" s="2">
        <v>0</v>
      </c>
      <c r="P1908" s="3">
        <v>3867.06</v>
      </c>
      <c r="Q1908" s="1">
        <v>46033</v>
      </c>
      <c r="R1908" s="1">
        <v>45992</v>
      </c>
      <c r="S1908" s="1">
        <v>46022</v>
      </c>
      <c r="V1908" s="8">
        <v>1</v>
      </c>
      <c r="W1908" t="s">
        <v>24</v>
      </c>
      <c r="X1908" t="s">
        <v>1068</v>
      </c>
      <c r="Y1908" t="s">
        <v>40</v>
      </c>
      <c r="Z1908" t="s">
        <v>11</v>
      </c>
      <c r="AA1908">
        <v>62371</v>
      </c>
      <c r="AB1908">
        <v>21106539</v>
      </c>
      <c r="AC1908">
        <v>1</v>
      </c>
      <c r="AD1908" s="8"/>
    </row>
    <row r="1909" spans="1:30" x14ac:dyDescent="0.3">
      <c r="A1909" t="s">
        <v>1627</v>
      </c>
      <c r="B1909">
        <v>1303762</v>
      </c>
      <c r="D1909" t="s">
        <v>7</v>
      </c>
      <c r="E1909">
        <v>945142</v>
      </c>
      <c r="F1909">
        <v>9015884123</v>
      </c>
      <c r="G1909">
        <v>22</v>
      </c>
      <c r="H1909" t="s">
        <v>659</v>
      </c>
      <c r="I1909">
        <v>0</v>
      </c>
      <c r="J1909" t="s">
        <v>660</v>
      </c>
      <c r="K1909" t="s">
        <v>8</v>
      </c>
      <c r="L1909" t="s">
        <v>19</v>
      </c>
      <c r="M1909" t="s">
        <v>9</v>
      </c>
      <c r="N1909" t="s">
        <v>14</v>
      </c>
      <c r="O1909" s="2">
        <v>17083.419999999998</v>
      </c>
      <c r="P1909" s="3">
        <v>104.706</v>
      </c>
      <c r="Q1909" s="1">
        <v>46033</v>
      </c>
      <c r="R1909" s="1">
        <v>45992</v>
      </c>
      <c r="S1909" s="1">
        <v>46022</v>
      </c>
      <c r="V1909" s="8">
        <v>1</v>
      </c>
      <c r="W1909" t="s">
        <v>24</v>
      </c>
      <c r="X1909" t="s">
        <v>661</v>
      </c>
      <c r="Y1909" t="s">
        <v>40</v>
      </c>
      <c r="Z1909" t="s">
        <v>11</v>
      </c>
      <c r="AA1909">
        <v>62371</v>
      </c>
      <c r="AB1909">
        <v>19752927</v>
      </c>
      <c r="AC1909">
        <v>1</v>
      </c>
      <c r="AD1909" s="8"/>
    </row>
    <row r="1910" spans="1:30" x14ac:dyDescent="0.3">
      <c r="A1910" t="s">
        <v>1627</v>
      </c>
      <c r="B1910">
        <v>1419801</v>
      </c>
      <c r="D1910" t="s">
        <v>7</v>
      </c>
      <c r="E1910">
        <v>946674</v>
      </c>
      <c r="F1910">
        <v>9015884123</v>
      </c>
      <c r="G1910">
        <v>460</v>
      </c>
      <c r="H1910" t="s">
        <v>1075</v>
      </c>
      <c r="I1910">
        <v>0</v>
      </c>
      <c r="J1910" t="s">
        <v>1076</v>
      </c>
      <c r="K1910" t="s">
        <v>8</v>
      </c>
      <c r="L1910" t="s">
        <v>67</v>
      </c>
      <c r="M1910" t="s">
        <v>9</v>
      </c>
      <c r="N1910" t="s">
        <v>14</v>
      </c>
      <c r="O1910" s="2">
        <v>194739.13</v>
      </c>
      <c r="P1910" s="3">
        <v>1367.248</v>
      </c>
      <c r="Q1910" s="1">
        <v>46033</v>
      </c>
      <c r="R1910" s="1">
        <v>45992</v>
      </c>
      <c r="S1910" s="1">
        <v>46022</v>
      </c>
      <c r="V1910" s="8">
        <v>1</v>
      </c>
      <c r="W1910" t="s">
        <v>24</v>
      </c>
      <c r="X1910" t="s">
        <v>1077</v>
      </c>
      <c r="Y1910" t="s">
        <v>678</v>
      </c>
      <c r="Z1910" t="s">
        <v>11</v>
      </c>
      <c r="AA1910">
        <v>62371</v>
      </c>
      <c r="AB1910">
        <v>21411268</v>
      </c>
      <c r="AC1910">
        <v>0</v>
      </c>
      <c r="AD1910" s="8"/>
    </row>
  </sheetData>
  <autoFilter ref="A1:AD1910" xr:uid="{F94747AE-17E7-4BC4-96A4-FB9E714B66A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FACT PEAJES</vt:lpstr>
      <vt:lpstr>CONSOLIDADO PEAJES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EMIRO RAFAEL SERRANO ROMERO</dc:creator>
  <cp:lastModifiedBy>Customer Experience</cp:lastModifiedBy>
  <dcterms:created xsi:type="dcterms:W3CDTF">2026-01-15T01:30:14Z</dcterms:created>
  <dcterms:modified xsi:type="dcterms:W3CDTF">2026-01-16T23:19:07Z</dcterms:modified>
</cp:coreProperties>
</file>