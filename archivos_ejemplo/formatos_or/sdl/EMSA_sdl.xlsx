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LIQUIDACIONES\PRELIQUIDACIONES SDL\13. Consumos Diciembre\"/>
    </mc:Choice>
  </mc:AlternateContent>
  <xr:revisionPtr revIDLastSave="0" documentId="8_{C96C9C37-67C9-4668-A2E5-DEF7EB750AF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DL-BIAC-15" sheetId="3" r:id="rId1"/>
    <sheet name="SDL-BIAC-INDUCTIVA" sheetId="1" r:id="rId2"/>
    <sheet name="SDL-CMMC-CAPACITIVA" sheetId="2" r:id="rId3"/>
  </sheets>
  <definedNames>
    <definedName name="_xlnm._FilterDatabase" localSheetId="0" hidden="1">'SDL-BIAC-15'!$A$1:$M$33</definedName>
    <definedName name="_xlnm._FilterDatabase" localSheetId="1" hidden="1">'SDL-BIAC-INDUCTIVA'!$A$1:$M$1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3" l="1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M33" i="3"/>
  <c r="J33" i="3"/>
  <c r="I33" i="3"/>
  <c r="M32" i="3"/>
  <c r="J32" i="3"/>
  <c r="I32" i="3"/>
  <c r="M31" i="3"/>
  <c r="J31" i="3"/>
  <c r="I31" i="3"/>
  <c r="M30" i="3"/>
  <c r="J30" i="3"/>
  <c r="I30" i="3"/>
  <c r="M29" i="3"/>
  <c r="J29" i="3"/>
  <c r="I29" i="3"/>
  <c r="M28" i="3"/>
  <c r="M27" i="3"/>
  <c r="M26" i="3"/>
  <c r="J26" i="3"/>
  <c r="I26" i="3"/>
  <c r="M25" i="3"/>
  <c r="J25" i="3"/>
  <c r="I25" i="3"/>
  <c r="M24" i="3"/>
  <c r="J24" i="3"/>
  <c r="I24" i="3"/>
  <c r="M23" i="3"/>
  <c r="M22" i="3"/>
  <c r="J22" i="3"/>
  <c r="I22" i="3"/>
  <c r="M21" i="3"/>
  <c r="J21" i="3"/>
  <c r="I21" i="3"/>
  <c r="M20" i="3"/>
  <c r="J20" i="3"/>
  <c r="I20" i="3"/>
  <c r="M19" i="3"/>
  <c r="J19" i="3"/>
  <c r="I19" i="3"/>
  <c r="M18" i="3"/>
  <c r="J18" i="3"/>
  <c r="I18" i="3"/>
  <c r="M17" i="3"/>
  <c r="J17" i="3"/>
  <c r="I17" i="3"/>
  <c r="M16" i="3"/>
  <c r="J16" i="3"/>
  <c r="I16" i="3"/>
  <c r="M15" i="3"/>
  <c r="J15" i="3"/>
  <c r="I15" i="3"/>
  <c r="M14" i="3"/>
  <c r="J14" i="3"/>
  <c r="I14" i="3"/>
  <c r="M13" i="3"/>
  <c r="J13" i="3"/>
  <c r="I13" i="3"/>
  <c r="M12" i="3"/>
  <c r="J12" i="3"/>
  <c r="I12" i="3"/>
  <c r="M11" i="3"/>
  <c r="J11" i="3"/>
  <c r="I11" i="3"/>
  <c r="M10" i="3"/>
  <c r="J10" i="3"/>
  <c r="I10" i="3"/>
  <c r="M9" i="3"/>
  <c r="J9" i="3"/>
  <c r="I9" i="3"/>
  <c r="M8" i="3"/>
  <c r="J8" i="3"/>
  <c r="I8" i="3"/>
  <c r="M7" i="3"/>
  <c r="J7" i="3"/>
  <c r="I7" i="3"/>
  <c r="M6" i="3"/>
  <c r="J6" i="3"/>
  <c r="I6" i="3"/>
  <c r="M5" i="3"/>
  <c r="J5" i="3"/>
  <c r="I5" i="3"/>
  <c r="M4" i="3"/>
  <c r="J4" i="3"/>
  <c r="I4" i="3"/>
  <c r="M3" i="3"/>
  <c r="J3" i="3"/>
  <c r="I3" i="3"/>
  <c r="M2" i="3"/>
  <c r="J2" i="3"/>
  <c r="I2" i="3"/>
</calcChain>
</file>

<file path=xl/sharedStrings.xml><?xml version="1.0" encoding="utf-8"?>
<sst xmlns="http://schemas.openxmlformats.org/spreadsheetml/2006/main" count="253" uniqueCount="89">
  <si>
    <t>ANO</t>
  </si>
  <si>
    <t>MES</t>
  </si>
  <si>
    <t>CODIGO</t>
  </si>
  <si>
    <t>Nombre Frontera (KWH)</t>
  </si>
  <si>
    <t>AGENTE COMERCIAL QUE IMPORTA</t>
  </si>
  <si>
    <t>Nivel</t>
  </si>
  <si>
    <t>TotalInduc</t>
  </si>
  <si>
    <t>M</t>
  </si>
  <si>
    <t>VlrConsumo</t>
  </si>
  <si>
    <t>COSTO_DISTRIBUCION</t>
  </si>
  <si>
    <t>Cobro</t>
  </si>
  <si>
    <t>Nombre</t>
  </si>
  <si>
    <t>Frt26947</t>
  </si>
  <si>
    <t>ALMACENES MAXIMO ( PEPEGANGA)</t>
  </si>
  <si>
    <t>BIAC</t>
  </si>
  <si>
    <t>BIA ENERGY</t>
  </si>
  <si>
    <t>Frt42718</t>
  </si>
  <si>
    <t>BANCO DAVIVIENDA SA</t>
  </si>
  <si>
    <t>Frt42745</t>
  </si>
  <si>
    <t>Frt42746</t>
  </si>
  <si>
    <t>Frt42749</t>
  </si>
  <si>
    <t>Frt42827</t>
  </si>
  <si>
    <t>Frt43114</t>
  </si>
  <si>
    <t>BANCO DAVIVIENDA - BARZAL -</t>
  </si>
  <si>
    <t>Frt43115</t>
  </si>
  <si>
    <t>BANCO DAVIVIENDA - C.C. PRIMAVERA URBANA -</t>
  </si>
  <si>
    <t>Frt43693</t>
  </si>
  <si>
    <t>BANCO DAVIVIENDA - CENTRO -</t>
  </si>
  <si>
    <t>Frt60060</t>
  </si>
  <si>
    <t>FRUTOS DEL MAR PYM - EL CAIRO -</t>
  </si>
  <si>
    <t>Frt60061</t>
  </si>
  <si>
    <t>FRUTOS DEL MAR PYM - LA GRAMA -</t>
  </si>
  <si>
    <t>Frt60157</t>
  </si>
  <si>
    <t>CAIMED S. A. S.</t>
  </si>
  <si>
    <t>Frt60627</t>
  </si>
  <si>
    <t>FRUTOS DEL MAR PYM  (BUGANVILES)</t>
  </si>
  <si>
    <t>Frt60683</t>
  </si>
  <si>
    <t>FRUTOS DEL MAR PYM  (DOSMIL ALTO 1)</t>
  </si>
  <si>
    <t>Frt60684</t>
  </si>
  <si>
    <t>FRUTOS DEL MAR PYM  (DOSMIL ALTO)</t>
  </si>
  <si>
    <t>Frt60925</t>
  </si>
  <si>
    <t>DE MODA S.A.S.</t>
  </si>
  <si>
    <t>Frt64022</t>
  </si>
  <si>
    <t>ANGIOGRAFIA DE COLOMBIA</t>
  </si>
  <si>
    <t>Frt67664</t>
  </si>
  <si>
    <t>NUTRESA HAMBURGUESAS EL CORRAL</t>
  </si>
  <si>
    <t>Frt72545</t>
  </si>
  <si>
    <t>ASOCIADOS GARCIA CASTRO</t>
  </si>
  <si>
    <t>Frt74123</t>
  </si>
  <si>
    <t>Frt75810</t>
  </si>
  <si>
    <t>CUNANDES  BODEGA 6</t>
  </si>
  <si>
    <t>Frt77045</t>
  </si>
  <si>
    <t>GRUPO LA COMARCA. LOCAL 159. C.C. PRIMAVERA URBANA</t>
  </si>
  <si>
    <t>Frt77046</t>
  </si>
  <si>
    <t>GRUPO LA COMARCA. CALLE 15 No. 39 A - 32. PISO 2. BARRIO BALATA.</t>
  </si>
  <si>
    <t>Frt77047</t>
  </si>
  <si>
    <t>GRUPO LA COMARCA. LOCAL 160. C.C. PRIMAVERA URBANA</t>
  </si>
  <si>
    <t>Frt78160</t>
  </si>
  <si>
    <t>VECOBA SAS.  ESTACION DE SERVICIO AGRICOLA 2 PUNTA BRAVA</t>
  </si>
  <si>
    <t>Frt78262</t>
  </si>
  <si>
    <t>GRUPO LA COMARCA. LOCAL 225. C.C. PRIMAVERA URBANA</t>
  </si>
  <si>
    <t>Frt78290</t>
  </si>
  <si>
    <t>ASOCIADOS GARCIA CASTRO 3 (GRANADA)</t>
  </si>
  <si>
    <t>Frt80609</t>
  </si>
  <si>
    <t>BANCO POPULAR C. C. LLANOCENTRO</t>
  </si>
  <si>
    <t>Frt83728</t>
  </si>
  <si>
    <t>BANCO POPULAR  CENTRO</t>
  </si>
  <si>
    <t/>
  </si>
  <si>
    <t>NO-COBRAR</t>
  </si>
  <si>
    <t>CARIBEMAR DE LA COSTA S.A.S. E.S.P.</t>
  </si>
  <si>
    <t>CMMC</t>
  </si>
  <si>
    <t>HOTELES ESTELAR SA</t>
  </si>
  <si>
    <t>Frt24258</t>
  </si>
  <si>
    <t>COLOMBIA TELECOMUNICACIONES VILLAVICENCIO</t>
  </si>
  <si>
    <t>Frt05976</t>
  </si>
  <si>
    <t>AplicaCREG</t>
  </si>
  <si>
    <t>D</t>
  </si>
  <si>
    <t>SumaCapacitiva</t>
  </si>
  <si>
    <t>Frt77769</t>
  </si>
  <si>
    <t>Frt77574</t>
  </si>
  <si>
    <t>Frt76605</t>
  </si>
  <si>
    <t>kWhR</t>
  </si>
  <si>
    <t>kWhD</t>
  </si>
  <si>
    <t>kVarhR</t>
  </si>
  <si>
    <t>kVarhD</t>
  </si>
  <si>
    <t>INDUC</t>
  </si>
  <si>
    <t>TARIFA ACTIVA</t>
  </si>
  <si>
    <t>TARIFA REACTIVA</t>
  </si>
  <si>
    <t>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</si>
</sst>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\$\ #,##0;\-\$\ #,##0"/>
  </numFmts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8" fillId="7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right" vertical="center" wrapText="1"/>
    </xf>
    <xf numFmtId="4" fontId="6" fillId="6" borderId="5" xfId="0" applyNumberFormat="1" applyFont="1" applyFill="1" applyBorder="1" applyAlignment="1">
      <alignment horizontal="right" vertical="center" wrapText="1"/>
    </xf>
    <xf numFmtId="164" fontId="7" fillId="7" borderId="6" xfId="0" applyNumberFormat="1" applyFont="1" applyFill="1" applyBorder="1" applyAlignment="1">
      <alignment horizontal="right" vertical="center" wrapText="1"/>
    </xf>
    <xf numFmtId="0" fontId="8" fillId="7" borderId="0" xfId="2"/>
    <xf numFmtId="0" fontId="2" fillId="7" borderId="6" xfId="2" applyFont="1" applyBorder="1" applyAlignment="1">
      <alignment vertical="center" wrapText="1"/>
    </xf>
    <xf numFmtId="164" fontId="2" fillId="7" borderId="6" xfId="2" applyNumberFormat="1" applyFont="1" applyBorder="1" applyAlignment="1">
      <alignment horizontal="right" vertical="center" wrapText="1"/>
    </xf>
    <xf numFmtId="0" fontId="2" fillId="7" borderId="6" xfId="2" applyFont="1" applyBorder="1" applyAlignment="1">
      <alignment horizontal="right" vertical="center" wrapText="1"/>
    </xf>
    <xf numFmtId="4" fontId="2" fillId="7" borderId="6" xfId="2" applyNumberFormat="1" applyFont="1" applyBorder="1" applyAlignment="1">
      <alignment horizontal="right" vertical="center" wrapText="1"/>
    </xf>
    <xf numFmtId="0" fontId="1" fillId="2" borderId="1" xfId="2" applyFont="1" applyFill="1" applyBorder="1" applyAlignment="1">
      <alignment horizontal="center" vertical="center"/>
    </xf>
    <xf numFmtId="43" fontId="0" fillId="0" borderId="0" xfId="1" applyFont="1"/>
  </cellXfs>
  <cellStyles count="3">
    <cellStyle name="Millares" xfId="1" builtinId="3"/>
    <cellStyle name="Normal" xfId="0" builtinId="0"/>
    <cellStyle name="Normal 2" xfId="2" xr:uid="{D1F2B774-B2F7-401C-92FF-1FD3D6C606D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0EB6-73C5-4526-8E88-B1F5B24BC0DE}">
  <sheetPr filterMode="1"/>
  <dimension ref="A1:M33"/>
  <sheetViews>
    <sheetView topLeftCell="E1" workbookViewId="0">
      <selection activeCell="J36" sqref="J36"/>
    </sheetView>
  </sheetViews>
  <sheetFormatPr baseColWidth="10" defaultColWidth="8.7265625" defaultRowHeight="14.5" x14ac:dyDescent="0.35"/>
  <cols>
    <col min="1" max="3" width="13.81640625" style="7" customWidth="1"/>
    <col min="4" max="4" width="34.7265625" style="7" customWidth="1"/>
    <col min="5" max="5" width="13.6328125" style="7" customWidth="1"/>
    <col min="6" max="6" width="14.6328125" style="7" customWidth="1"/>
    <col min="7" max="7" width="13.6328125" style="7" customWidth="1"/>
    <col min="8" max="8" width="16.26953125" style="7" customWidth="1"/>
    <col min="9" max="16384" width="8.7265625" style="7"/>
  </cols>
  <sheetData>
    <row r="1" spans="1:13" x14ac:dyDescent="0.35">
      <c r="A1" s="12" t="s">
        <v>0</v>
      </c>
      <c r="B1" s="12" t="s">
        <v>1</v>
      </c>
      <c r="C1" s="12" t="s">
        <v>2</v>
      </c>
      <c r="D1" s="12" t="s">
        <v>4</v>
      </c>
      <c r="E1" s="12" t="s">
        <v>84</v>
      </c>
      <c r="F1" s="12" t="s">
        <v>83</v>
      </c>
      <c r="G1" s="12" t="s">
        <v>82</v>
      </c>
      <c r="H1" s="12" t="s">
        <v>81</v>
      </c>
      <c r="I1" s="7" t="s">
        <v>85</v>
      </c>
      <c r="J1" s="7" t="s">
        <v>7</v>
      </c>
      <c r="K1" s="7" t="s">
        <v>88</v>
      </c>
      <c r="L1" s="7" t="s">
        <v>86</v>
      </c>
      <c r="M1" s="7" t="s">
        <v>87</v>
      </c>
    </row>
    <row r="2" spans="1:13" hidden="1" x14ac:dyDescent="0.35">
      <c r="A2" s="10">
        <v>2025</v>
      </c>
      <c r="B2" s="10">
        <v>12</v>
      </c>
      <c r="C2" s="8" t="s">
        <v>12</v>
      </c>
      <c r="D2" s="8" t="s">
        <v>14</v>
      </c>
      <c r="F2" s="11">
        <v>2686.6</v>
      </c>
      <c r="H2" s="11">
        <v>7083.17</v>
      </c>
      <c r="I2" s="7">
        <f>_xlfn.XLOOKUP(C2,'SDL-BIAC-INDUCTIVA'!C:C,'SDL-BIAC-INDUCTIVA'!G:G)</f>
        <v>71.97</v>
      </c>
      <c r="J2" s="7">
        <f>_xlfn.XLOOKUP(C2,'SDL-BIAC-INDUCTIVA'!C:C,'SDL-BIAC-INDUCTIVA'!H:H)</f>
        <v>12</v>
      </c>
      <c r="K2" s="7">
        <f>_xlfn.XLOOKUP(C2,'SDL-BIAC-INDUCTIVA'!C:C,'SDL-BIAC-INDUCTIVA'!F:F)</f>
        <v>1</v>
      </c>
      <c r="M2" s="7">
        <f>_xlfn.XLOOKUP(C2,'SDL-BIAC-INDUCTIVA'!C:C,'SDL-BIAC-INDUCTIVA'!J:J)</f>
        <v>230.87</v>
      </c>
    </row>
    <row r="3" spans="1:13" hidden="1" x14ac:dyDescent="0.35">
      <c r="A3" s="10">
        <v>2025</v>
      </c>
      <c r="B3" s="10">
        <v>12</v>
      </c>
      <c r="C3" s="8" t="s">
        <v>16</v>
      </c>
      <c r="D3" s="8" t="s">
        <v>14</v>
      </c>
      <c r="E3" s="11">
        <v>0</v>
      </c>
      <c r="F3" s="11">
        <v>2157.19</v>
      </c>
      <c r="G3" s="11">
        <v>0</v>
      </c>
      <c r="H3" s="11">
        <v>4176.49</v>
      </c>
      <c r="I3" s="7">
        <f>_xlfn.XLOOKUP(C3,'SDL-BIAC-INDUCTIVA'!C:C,'SDL-BIAC-INDUCTIVA'!G:G)</f>
        <v>295.85000000000002</v>
      </c>
      <c r="J3" s="7">
        <f>_xlfn.XLOOKUP(C3,'SDL-BIAC-INDUCTIVA'!C:C,'SDL-BIAC-INDUCTIVA'!H:H)</f>
        <v>7</v>
      </c>
      <c r="K3" s="7">
        <f>_xlfn.XLOOKUP(C3,'SDL-BIAC-INDUCTIVA'!C:C,'SDL-BIAC-INDUCTIVA'!F:F)</f>
        <v>1</v>
      </c>
      <c r="M3" s="7">
        <f>_xlfn.XLOOKUP(C3,'SDL-BIAC-INDUCTIVA'!C:C,'SDL-BIAC-INDUCTIVA'!J:J)</f>
        <v>230.87</v>
      </c>
    </row>
    <row r="4" spans="1:13" hidden="1" x14ac:dyDescent="0.35">
      <c r="A4" s="10">
        <v>2025</v>
      </c>
      <c r="B4" s="10">
        <v>12</v>
      </c>
      <c r="C4" s="8" t="s">
        <v>18</v>
      </c>
      <c r="D4" s="8" t="s">
        <v>14</v>
      </c>
      <c r="E4" s="11">
        <v>302.42</v>
      </c>
      <c r="F4" s="11">
        <v>2004.49</v>
      </c>
      <c r="H4" s="11">
        <v>4332.6499999999996</v>
      </c>
      <c r="I4" s="7">
        <f>_xlfn.XLOOKUP(C4,'SDL-BIAC-INDUCTIVA'!C:C,'SDL-BIAC-INDUCTIVA'!G:G)</f>
        <v>376.72500000000002</v>
      </c>
      <c r="J4" s="7">
        <f>_xlfn.XLOOKUP(C4,'SDL-BIAC-INDUCTIVA'!C:C,'SDL-BIAC-INDUCTIVA'!H:H)</f>
        <v>12</v>
      </c>
      <c r="K4" s="7">
        <f>_xlfn.XLOOKUP(C4,'SDL-BIAC-INDUCTIVA'!C:C,'SDL-BIAC-INDUCTIVA'!F:F)</f>
        <v>1</v>
      </c>
      <c r="M4" s="7">
        <f>_xlfn.XLOOKUP(C4,'SDL-BIAC-INDUCTIVA'!C:C,'SDL-BIAC-INDUCTIVA'!J:J)</f>
        <v>230.87</v>
      </c>
    </row>
    <row r="5" spans="1:13" hidden="1" x14ac:dyDescent="0.35">
      <c r="A5" s="10">
        <v>2025</v>
      </c>
      <c r="B5" s="10">
        <v>12</v>
      </c>
      <c r="C5" s="8" t="s">
        <v>19</v>
      </c>
      <c r="D5" s="8" t="s">
        <v>14</v>
      </c>
      <c r="E5" s="11">
        <v>0.18</v>
      </c>
      <c r="F5" s="11">
        <v>1469.7429999999999</v>
      </c>
      <c r="G5" s="11">
        <v>0</v>
      </c>
      <c r="H5" s="11">
        <v>4381.701</v>
      </c>
      <c r="I5" s="7">
        <f>_xlfn.XLOOKUP(C5,'SDL-BIAC-INDUCTIVA'!C:C,'SDL-BIAC-INDUCTIVA'!G:G)</f>
        <v>0.03</v>
      </c>
      <c r="J5" s="7">
        <f>_xlfn.XLOOKUP(C5,'SDL-BIAC-INDUCTIVA'!C:C,'SDL-BIAC-INDUCTIVA'!H:H)</f>
        <v>1</v>
      </c>
      <c r="K5" s="7">
        <f>_xlfn.XLOOKUP(C5,'SDL-BIAC-INDUCTIVA'!C:C,'SDL-BIAC-INDUCTIVA'!F:F)</f>
        <v>1</v>
      </c>
      <c r="M5" s="7">
        <f>_xlfn.XLOOKUP(C5,'SDL-BIAC-INDUCTIVA'!C:C,'SDL-BIAC-INDUCTIVA'!J:J)</f>
        <v>230.87</v>
      </c>
    </row>
    <row r="6" spans="1:13" hidden="1" x14ac:dyDescent="0.35">
      <c r="A6" s="10">
        <v>2025</v>
      </c>
      <c r="B6" s="10">
        <v>12</v>
      </c>
      <c r="C6" s="8" t="s">
        <v>20</v>
      </c>
      <c r="D6" s="8" t="s">
        <v>14</v>
      </c>
      <c r="E6" s="11">
        <v>30.41</v>
      </c>
      <c r="F6" s="11">
        <v>256.02999999999997</v>
      </c>
      <c r="G6" s="11">
        <v>0</v>
      </c>
      <c r="H6" s="11">
        <v>6102.53</v>
      </c>
      <c r="I6" s="7">
        <f>_xlfn.XLOOKUP(C6,'SDL-BIAC-INDUCTIVA'!C:C,'SDL-BIAC-INDUCTIVA'!G:G)</f>
        <v>0</v>
      </c>
      <c r="J6" s="7">
        <f>_xlfn.XLOOKUP(C6,'SDL-BIAC-INDUCTIVA'!C:C,'SDL-BIAC-INDUCTIVA'!H:H)</f>
        <v>1</v>
      </c>
      <c r="K6" s="7">
        <f>_xlfn.XLOOKUP(C6,'SDL-BIAC-INDUCTIVA'!C:C,'SDL-BIAC-INDUCTIVA'!F:F)</f>
        <v>1</v>
      </c>
      <c r="M6" s="7">
        <f>_xlfn.XLOOKUP(C6,'SDL-BIAC-INDUCTIVA'!C:C,'SDL-BIAC-INDUCTIVA'!J:J)</f>
        <v>230.87</v>
      </c>
    </row>
    <row r="7" spans="1:13" hidden="1" x14ac:dyDescent="0.35">
      <c r="A7" s="10">
        <v>2025</v>
      </c>
      <c r="B7" s="10">
        <v>12</v>
      </c>
      <c r="C7" s="8" t="s">
        <v>21</v>
      </c>
      <c r="D7" s="8" t="s">
        <v>14</v>
      </c>
      <c r="E7" s="11">
        <v>287.32589999999999</v>
      </c>
      <c r="F7" s="11">
        <v>621.33900000000006</v>
      </c>
      <c r="G7" s="11">
        <v>0</v>
      </c>
      <c r="H7" s="11">
        <v>4381.9898999999996</v>
      </c>
      <c r="I7" s="7">
        <f>_xlfn.XLOOKUP(C7,'SDL-BIAC-INDUCTIVA'!C:C,'SDL-BIAC-INDUCTIVA'!G:G)</f>
        <v>0</v>
      </c>
      <c r="J7" s="7">
        <f>_xlfn.XLOOKUP(C7,'SDL-BIAC-INDUCTIVA'!C:C,'SDL-BIAC-INDUCTIVA'!H:H)</f>
        <v>1</v>
      </c>
      <c r="K7" s="7">
        <f>_xlfn.XLOOKUP(C7,'SDL-BIAC-INDUCTIVA'!C:C,'SDL-BIAC-INDUCTIVA'!F:F)</f>
        <v>1</v>
      </c>
      <c r="M7" s="7">
        <f>_xlfn.XLOOKUP(C7,'SDL-BIAC-INDUCTIVA'!C:C,'SDL-BIAC-INDUCTIVA'!J:J)</f>
        <v>230.87</v>
      </c>
    </row>
    <row r="8" spans="1:13" hidden="1" x14ac:dyDescent="0.35">
      <c r="A8" s="10">
        <v>2025</v>
      </c>
      <c r="B8" s="10">
        <v>12</v>
      </c>
      <c r="C8" s="8" t="s">
        <v>22</v>
      </c>
      <c r="D8" s="8" t="s">
        <v>14</v>
      </c>
      <c r="E8" s="11">
        <v>136.77199999999999</v>
      </c>
      <c r="F8" s="11">
        <v>82.043999999999997</v>
      </c>
      <c r="G8" s="11">
        <v>0</v>
      </c>
      <c r="H8" s="11">
        <v>1105.992</v>
      </c>
      <c r="I8" s="7">
        <f>_xlfn.XLOOKUP(C8,'SDL-BIAC-INDUCTIVA'!C:C,'SDL-BIAC-INDUCTIVA'!G:G)</f>
        <v>0</v>
      </c>
      <c r="J8" s="7">
        <f>_xlfn.XLOOKUP(C8,'SDL-BIAC-INDUCTIVA'!C:C,'SDL-BIAC-INDUCTIVA'!H:H)</f>
        <v>1</v>
      </c>
      <c r="K8" s="7">
        <f>_xlfn.XLOOKUP(C8,'SDL-BIAC-INDUCTIVA'!C:C,'SDL-BIAC-INDUCTIVA'!F:F)</f>
        <v>1</v>
      </c>
      <c r="M8" s="7">
        <f>_xlfn.XLOOKUP(C8,'SDL-BIAC-INDUCTIVA'!C:C,'SDL-BIAC-INDUCTIVA'!J:J)</f>
        <v>230.87</v>
      </c>
    </row>
    <row r="9" spans="1:13" hidden="1" x14ac:dyDescent="0.35">
      <c r="A9" s="10">
        <v>2025</v>
      </c>
      <c r="B9" s="10">
        <v>12</v>
      </c>
      <c r="C9" s="8" t="s">
        <v>24</v>
      </c>
      <c r="D9" s="8" t="s">
        <v>14</v>
      </c>
      <c r="E9" s="11">
        <v>309.27</v>
      </c>
      <c r="F9" s="11">
        <v>596.91999999999996</v>
      </c>
      <c r="G9" s="11">
        <v>0</v>
      </c>
      <c r="H9" s="11">
        <v>5950.82</v>
      </c>
      <c r="I9" s="7">
        <f>_xlfn.XLOOKUP(C9,'SDL-BIAC-INDUCTIVA'!C:C,'SDL-BIAC-INDUCTIVA'!G:G)</f>
        <v>0</v>
      </c>
      <c r="J9" s="7">
        <f>_xlfn.XLOOKUP(C9,'SDL-BIAC-INDUCTIVA'!C:C,'SDL-BIAC-INDUCTIVA'!H:H)</f>
        <v>1</v>
      </c>
      <c r="K9" s="7">
        <f>_xlfn.XLOOKUP(C9,'SDL-BIAC-INDUCTIVA'!C:C,'SDL-BIAC-INDUCTIVA'!F:F)</f>
        <v>1</v>
      </c>
      <c r="M9" s="7">
        <f>_xlfn.XLOOKUP(C9,'SDL-BIAC-INDUCTIVA'!C:C,'SDL-BIAC-INDUCTIVA'!J:J)</f>
        <v>230.87</v>
      </c>
    </row>
    <row r="10" spans="1:13" hidden="1" x14ac:dyDescent="0.35">
      <c r="A10" s="10">
        <v>2025</v>
      </c>
      <c r="B10" s="10">
        <v>12</v>
      </c>
      <c r="C10" s="8" t="s">
        <v>26</v>
      </c>
      <c r="D10" s="8" t="s">
        <v>14</v>
      </c>
      <c r="E10" s="11">
        <v>0</v>
      </c>
      <c r="F10" s="11">
        <v>3361.07</v>
      </c>
      <c r="G10" s="11">
        <v>0</v>
      </c>
      <c r="H10" s="11">
        <v>5874.1</v>
      </c>
      <c r="I10" s="7">
        <f>_xlfn.XLOOKUP(C10,'SDL-BIAC-INDUCTIVA'!C:C,'SDL-BIAC-INDUCTIVA'!G:G)</f>
        <v>510.94499999999999</v>
      </c>
      <c r="J10" s="7">
        <f>_xlfn.XLOOKUP(C10,'SDL-BIAC-INDUCTIVA'!C:C,'SDL-BIAC-INDUCTIVA'!H:H)</f>
        <v>12</v>
      </c>
      <c r="K10" s="7">
        <f>_xlfn.XLOOKUP(C10,'SDL-BIAC-INDUCTIVA'!C:C,'SDL-BIAC-INDUCTIVA'!F:F)</f>
        <v>1</v>
      </c>
      <c r="M10" s="7">
        <f>_xlfn.XLOOKUP(C10,'SDL-BIAC-INDUCTIVA'!C:C,'SDL-BIAC-INDUCTIVA'!J:J)</f>
        <v>230.87</v>
      </c>
    </row>
    <row r="11" spans="1:13" hidden="1" x14ac:dyDescent="0.35">
      <c r="A11" s="10">
        <v>2025</v>
      </c>
      <c r="B11" s="10">
        <v>12</v>
      </c>
      <c r="C11" s="8" t="s">
        <v>28</v>
      </c>
      <c r="D11" s="8" t="s">
        <v>14</v>
      </c>
      <c r="E11" s="11">
        <v>25.93</v>
      </c>
      <c r="F11" s="11">
        <v>39.770000000000003</v>
      </c>
      <c r="G11" s="11">
        <v>0</v>
      </c>
      <c r="H11" s="11">
        <v>505.83</v>
      </c>
      <c r="I11" s="7">
        <f>_xlfn.XLOOKUP(C11,'SDL-BIAC-INDUCTIVA'!C:C,'SDL-BIAC-INDUCTIVA'!G:G)</f>
        <v>10.734999999999999</v>
      </c>
      <c r="J11" s="7">
        <f>_xlfn.XLOOKUP(C11,'SDL-BIAC-INDUCTIVA'!C:C,'SDL-BIAC-INDUCTIVA'!H:H)</f>
        <v>1</v>
      </c>
      <c r="K11" s="7">
        <f>_xlfn.XLOOKUP(C11,'SDL-BIAC-INDUCTIVA'!C:C,'SDL-BIAC-INDUCTIVA'!F:F)</f>
        <v>1</v>
      </c>
      <c r="M11" s="7">
        <f>_xlfn.XLOOKUP(C11,'SDL-BIAC-INDUCTIVA'!C:C,'SDL-BIAC-INDUCTIVA'!J:J)</f>
        <v>230.87</v>
      </c>
    </row>
    <row r="12" spans="1:13" hidden="1" x14ac:dyDescent="0.35">
      <c r="A12" s="10">
        <v>2025</v>
      </c>
      <c r="B12" s="10">
        <v>12</v>
      </c>
      <c r="C12" s="8" t="s">
        <v>30</v>
      </c>
      <c r="D12" s="8" t="s">
        <v>14</v>
      </c>
      <c r="E12" s="11">
        <v>0</v>
      </c>
      <c r="F12" s="11">
        <v>1525.23</v>
      </c>
      <c r="G12" s="11">
        <v>0</v>
      </c>
      <c r="H12" s="11">
        <v>4227.92</v>
      </c>
      <c r="I12" s="7">
        <f>_xlfn.XLOOKUP(C12,'SDL-BIAC-INDUCTIVA'!C:C,'SDL-BIAC-INDUCTIVA'!G:G)</f>
        <v>5.5449999999999999</v>
      </c>
      <c r="J12" s="7">
        <f>_xlfn.XLOOKUP(C12,'SDL-BIAC-INDUCTIVA'!C:C,'SDL-BIAC-INDUCTIVA'!H:H)</f>
        <v>1</v>
      </c>
      <c r="K12" s="7">
        <f>_xlfn.XLOOKUP(C12,'SDL-BIAC-INDUCTIVA'!C:C,'SDL-BIAC-INDUCTIVA'!F:F)</f>
        <v>1</v>
      </c>
      <c r="M12" s="7">
        <f>_xlfn.XLOOKUP(C12,'SDL-BIAC-INDUCTIVA'!C:C,'SDL-BIAC-INDUCTIVA'!J:J)</f>
        <v>230.87</v>
      </c>
    </row>
    <row r="13" spans="1:13" hidden="1" x14ac:dyDescent="0.35">
      <c r="A13" s="10">
        <v>2025</v>
      </c>
      <c r="B13" s="10">
        <v>12</v>
      </c>
      <c r="C13" s="8" t="s">
        <v>32</v>
      </c>
      <c r="D13" s="8" t="s">
        <v>14</v>
      </c>
      <c r="E13" s="11">
        <v>279.67</v>
      </c>
      <c r="F13" s="11">
        <v>0.75</v>
      </c>
      <c r="G13" s="11">
        <v>0</v>
      </c>
      <c r="H13" s="11">
        <v>972.8</v>
      </c>
      <c r="I13" s="7">
        <f>_xlfn.XLOOKUP(C13,'SDL-BIAC-INDUCTIVA'!C:C,'SDL-BIAC-INDUCTIVA'!G:G)</f>
        <v>0</v>
      </c>
      <c r="J13" s="7">
        <f>_xlfn.XLOOKUP(C13,'SDL-BIAC-INDUCTIVA'!C:C,'SDL-BIAC-INDUCTIVA'!H:H)</f>
        <v>1</v>
      </c>
      <c r="K13" s="7">
        <f>_xlfn.XLOOKUP(C13,'SDL-BIAC-INDUCTIVA'!C:C,'SDL-BIAC-INDUCTIVA'!F:F)</f>
        <v>1</v>
      </c>
      <c r="M13" s="7">
        <f>_xlfn.XLOOKUP(C13,'SDL-BIAC-INDUCTIVA'!C:C,'SDL-BIAC-INDUCTIVA'!J:J)</f>
        <v>230.87</v>
      </c>
    </row>
    <row r="14" spans="1:13" hidden="1" x14ac:dyDescent="0.35">
      <c r="A14" s="10">
        <v>2025</v>
      </c>
      <c r="B14" s="10">
        <v>12</v>
      </c>
      <c r="C14" s="8" t="s">
        <v>34</v>
      </c>
      <c r="D14" s="8" t="s">
        <v>14</v>
      </c>
      <c r="E14" s="11">
        <v>8.84</v>
      </c>
      <c r="F14" s="11">
        <v>96.76</v>
      </c>
      <c r="G14" s="11">
        <v>0</v>
      </c>
      <c r="H14" s="11">
        <v>647.64</v>
      </c>
      <c r="I14" s="7">
        <f>_xlfn.XLOOKUP(C14,'SDL-BIAC-INDUCTIVA'!C:C,'SDL-BIAC-INDUCTIVA'!G:G)</f>
        <v>1.405</v>
      </c>
      <c r="J14" s="7">
        <f>_xlfn.XLOOKUP(C14,'SDL-BIAC-INDUCTIVA'!C:C,'SDL-BIAC-INDUCTIVA'!H:H)</f>
        <v>1</v>
      </c>
      <c r="K14" s="7">
        <f>_xlfn.XLOOKUP(C14,'SDL-BIAC-INDUCTIVA'!C:C,'SDL-BIAC-INDUCTIVA'!F:F)</f>
        <v>1</v>
      </c>
      <c r="M14" s="7">
        <f>_xlfn.XLOOKUP(C14,'SDL-BIAC-INDUCTIVA'!C:C,'SDL-BIAC-INDUCTIVA'!J:J)</f>
        <v>230.87</v>
      </c>
    </row>
    <row r="15" spans="1:13" hidden="1" x14ac:dyDescent="0.35">
      <c r="A15" s="10">
        <v>2025</v>
      </c>
      <c r="B15" s="10">
        <v>12</v>
      </c>
      <c r="C15" s="8" t="s">
        <v>36</v>
      </c>
      <c r="D15" s="8" t="s">
        <v>14</v>
      </c>
      <c r="E15" s="11">
        <v>40.159999999999997</v>
      </c>
      <c r="F15" s="11">
        <v>1730.47</v>
      </c>
      <c r="G15" s="11">
        <v>0</v>
      </c>
      <c r="H15" s="11">
        <v>10202.25</v>
      </c>
      <c r="I15" s="7">
        <f>_xlfn.XLOOKUP(C15,'SDL-BIAC-INDUCTIVA'!C:C,'SDL-BIAC-INDUCTIVA'!G:G)</f>
        <v>0</v>
      </c>
      <c r="J15" s="7">
        <f>_xlfn.XLOOKUP(C15,'SDL-BIAC-INDUCTIVA'!C:C,'SDL-BIAC-INDUCTIVA'!H:H)</f>
        <v>1</v>
      </c>
      <c r="K15" s="7">
        <f>_xlfn.XLOOKUP(C15,'SDL-BIAC-INDUCTIVA'!C:C,'SDL-BIAC-INDUCTIVA'!F:F)</f>
        <v>1</v>
      </c>
      <c r="M15" s="7">
        <f>_xlfn.XLOOKUP(C15,'SDL-BIAC-INDUCTIVA'!C:C,'SDL-BIAC-INDUCTIVA'!J:J)</f>
        <v>230.87</v>
      </c>
    </row>
    <row r="16" spans="1:13" hidden="1" x14ac:dyDescent="0.35">
      <c r="A16" s="10">
        <v>2025</v>
      </c>
      <c r="B16" s="10">
        <v>12</v>
      </c>
      <c r="C16" s="8" t="s">
        <v>38</v>
      </c>
      <c r="D16" s="8" t="s">
        <v>14</v>
      </c>
      <c r="E16" s="11">
        <v>3.11</v>
      </c>
      <c r="F16" s="11">
        <v>177.35</v>
      </c>
      <c r="G16" s="11">
        <v>0</v>
      </c>
      <c r="H16" s="11">
        <v>316.58999999999997</v>
      </c>
      <c r="I16" s="7">
        <f>_xlfn.XLOOKUP(C16,'SDL-BIAC-INDUCTIVA'!C:C,'SDL-BIAC-INDUCTIVA'!G:G)</f>
        <v>64.084999999999994</v>
      </c>
      <c r="J16" s="7">
        <f>_xlfn.XLOOKUP(C16,'SDL-BIAC-INDUCTIVA'!C:C,'SDL-BIAC-INDUCTIVA'!H:H)</f>
        <v>1</v>
      </c>
      <c r="K16" s="7">
        <f>_xlfn.XLOOKUP(C16,'SDL-BIAC-INDUCTIVA'!C:C,'SDL-BIAC-INDUCTIVA'!F:F)</f>
        <v>1</v>
      </c>
      <c r="M16" s="7">
        <f>_xlfn.XLOOKUP(C16,'SDL-BIAC-INDUCTIVA'!C:C,'SDL-BIAC-INDUCTIVA'!J:J)</f>
        <v>230.87</v>
      </c>
    </row>
    <row r="17" spans="1:13" hidden="1" x14ac:dyDescent="0.35">
      <c r="A17" s="10">
        <v>2025</v>
      </c>
      <c r="B17" s="10">
        <v>12</v>
      </c>
      <c r="C17" s="8" t="s">
        <v>40</v>
      </c>
      <c r="D17" s="8" t="s">
        <v>14</v>
      </c>
      <c r="E17" s="11">
        <v>104.89</v>
      </c>
      <c r="F17" s="11">
        <v>17.77</v>
      </c>
      <c r="G17" s="11">
        <v>0</v>
      </c>
      <c r="H17" s="11">
        <v>7155.49</v>
      </c>
      <c r="I17" s="7">
        <f>_xlfn.XLOOKUP(C17,'SDL-BIAC-INDUCTIVA'!C:C,'SDL-BIAC-INDUCTIVA'!G:G)</f>
        <v>0</v>
      </c>
      <c r="J17" s="7">
        <f>_xlfn.XLOOKUP(C17,'SDL-BIAC-INDUCTIVA'!C:C,'SDL-BIAC-INDUCTIVA'!H:H)</f>
        <v>1</v>
      </c>
      <c r="K17" s="7">
        <f>_xlfn.XLOOKUP(C17,'SDL-BIAC-INDUCTIVA'!C:C,'SDL-BIAC-INDUCTIVA'!F:F)</f>
        <v>1</v>
      </c>
      <c r="M17" s="7">
        <f>_xlfn.XLOOKUP(C17,'SDL-BIAC-INDUCTIVA'!C:C,'SDL-BIAC-INDUCTIVA'!J:J)</f>
        <v>230.87</v>
      </c>
    </row>
    <row r="18" spans="1:13" hidden="1" x14ac:dyDescent="0.35">
      <c r="A18" s="10">
        <v>2025</v>
      </c>
      <c r="B18" s="10">
        <v>12</v>
      </c>
      <c r="C18" s="8" t="s">
        <v>42</v>
      </c>
      <c r="D18" s="8" t="s">
        <v>14</v>
      </c>
      <c r="E18" s="11">
        <v>0</v>
      </c>
      <c r="F18" s="11">
        <v>24629.55</v>
      </c>
      <c r="G18" s="11">
        <v>0</v>
      </c>
      <c r="H18" s="11">
        <v>79754.512499999997</v>
      </c>
      <c r="I18" s="7">
        <f>_xlfn.XLOOKUP(C18,'SDL-BIAC-INDUCTIVA'!C:C,'SDL-BIAC-INDUCTIVA'!G:G)</f>
        <v>0</v>
      </c>
      <c r="J18" s="7">
        <f>_xlfn.XLOOKUP(C18,'SDL-BIAC-INDUCTIVA'!C:C,'SDL-BIAC-INDUCTIVA'!H:H)</f>
        <v>1</v>
      </c>
      <c r="K18" s="7">
        <f>_xlfn.XLOOKUP(C18,'SDL-BIAC-INDUCTIVA'!C:C,'SDL-BIAC-INDUCTIVA'!F:F)</f>
        <v>3</v>
      </c>
      <c r="M18" s="7">
        <f>_xlfn.XLOOKUP(C18,'SDL-BIAC-INDUCTIVA'!C:C,'SDL-BIAC-INDUCTIVA'!J:J)</f>
        <v>93.7</v>
      </c>
    </row>
    <row r="19" spans="1:13" hidden="1" x14ac:dyDescent="0.35">
      <c r="A19" s="10">
        <v>2025</v>
      </c>
      <c r="B19" s="10">
        <v>12</v>
      </c>
      <c r="C19" s="8" t="s">
        <v>44</v>
      </c>
      <c r="D19" s="8" t="s">
        <v>14</v>
      </c>
      <c r="E19" s="11">
        <v>0</v>
      </c>
      <c r="F19" s="11">
        <v>13456.74</v>
      </c>
      <c r="G19" s="11">
        <v>0</v>
      </c>
      <c r="H19" s="11">
        <v>16060.35</v>
      </c>
      <c r="I19" s="7">
        <f>_xlfn.XLOOKUP(C19,'SDL-BIAC-INDUCTIVA'!C:C,'SDL-BIAC-INDUCTIVA'!G:G)</f>
        <v>5426.5649999999996</v>
      </c>
      <c r="J19" s="7">
        <f>_xlfn.XLOOKUP(C19,'SDL-BIAC-INDUCTIVA'!C:C,'SDL-BIAC-INDUCTIVA'!H:H)</f>
        <v>1</v>
      </c>
      <c r="K19" s="7">
        <f>_xlfn.XLOOKUP(C19,'SDL-BIAC-INDUCTIVA'!C:C,'SDL-BIAC-INDUCTIVA'!F:F)</f>
        <v>1</v>
      </c>
      <c r="M19" s="7">
        <f>_xlfn.XLOOKUP(C19,'SDL-BIAC-INDUCTIVA'!C:C,'SDL-BIAC-INDUCTIVA'!J:J)</f>
        <v>230.87</v>
      </c>
    </row>
    <row r="20" spans="1:13" hidden="1" x14ac:dyDescent="0.35">
      <c r="A20" s="10">
        <v>2025</v>
      </c>
      <c r="B20" s="10">
        <v>12</v>
      </c>
      <c r="C20" s="8" t="s">
        <v>46</v>
      </c>
      <c r="D20" s="8" t="s">
        <v>14</v>
      </c>
      <c r="E20" s="11">
        <v>47.606000000000002</v>
      </c>
      <c r="F20" s="11">
        <v>10.101000000000001</v>
      </c>
      <c r="G20" s="11">
        <v>0</v>
      </c>
      <c r="H20" s="11">
        <v>2374.2060000000001</v>
      </c>
      <c r="I20" s="7">
        <f>_xlfn.XLOOKUP(C20,'SDL-BIAC-INDUCTIVA'!C:C,'SDL-BIAC-INDUCTIVA'!G:G)</f>
        <v>0</v>
      </c>
      <c r="J20" s="7">
        <f>_xlfn.XLOOKUP(C20,'SDL-BIAC-INDUCTIVA'!C:C,'SDL-BIAC-INDUCTIVA'!H:H)</f>
        <v>1</v>
      </c>
      <c r="K20" s="7">
        <f>_xlfn.XLOOKUP(C20,'SDL-BIAC-INDUCTIVA'!C:C,'SDL-BIAC-INDUCTIVA'!F:F)</f>
        <v>1</v>
      </c>
      <c r="M20" s="7">
        <f>_xlfn.XLOOKUP(C20,'SDL-BIAC-INDUCTIVA'!C:C,'SDL-BIAC-INDUCTIVA'!J:J)</f>
        <v>230.87</v>
      </c>
    </row>
    <row r="21" spans="1:13" hidden="1" x14ac:dyDescent="0.35">
      <c r="A21" s="10">
        <v>2025</v>
      </c>
      <c r="B21" s="10">
        <v>12</v>
      </c>
      <c r="C21" s="8" t="s">
        <v>48</v>
      </c>
      <c r="D21" s="8" t="s">
        <v>14</v>
      </c>
      <c r="E21" s="11">
        <v>424.45</v>
      </c>
      <c r="F21" s="11">
        <v>1.1599999999999999</v>
      </c>
      <c r="G21" s="11">
        <v>0</v>
      </c>
      <c r="H21" s="11">
        <v>3836.67</v>
      </c>
      <c r="I21" s="7">
        <f>_xlfn.XLOOKUP(C21,'SDL-BIAC-INDUCTIVA'!C:C,'SDL-BIAC-INDUCTIVA'!G:G)</f>
        <v>0</v>
      </c>
      <c r="J21" s="7">
        <f>_xlfn.XLOOKUP(C21,'SDL-BIAC-INDUCTIVA'!C:C,'SDL-BIAC-INDUCTIVA'!H:H)</f>
        <v>1</v>
      </c>
      <c r="K21" s="7">
        <f>_xlfn.XLOOKUP(C21,'SDL-BIAC-INDUCTIVA'!C:C,'SDL-BIAC-INDUCTIVA'!F:F)</f>
        <v>1</v>
      </c>
      <c r="M21" s="7">
        <f>_xlfn.XLOOKUP(C21,'SDL-BIAC-INDUCTIVA'!C:C,'SDL-BIAC-INDUCTIVA'!J:J)</f>
        <v>230.87</v>
      </c>
    </row>
    <row r="22" spans="1:13" hidden="1" x14ac:dyDescent="0.35">
      <c r="A22" s="10">
        <v>2025</v>
      </c>
      <c r="B22" s="10">
        <v>12</v>
      </c>
      <c r="C22" s="8" t="s">
        <v>49</v>
      </c>
      <c r="D22" s="8" t="s">
        <v>14</v>
      </c>
      <c r="E22" s="11">
        <v>174.66</v>
      </c>
      <c r="F22" s="11">
        <v>897.84</v>
      </c>
      <c r="G22" s="11">
        <v>0</v>
      </c>
      <c r="H22" s="11">
        <v>3355.26</v>
      </c>
      <c r="I22" s="7">
        <f>_xlfn.XLOOKUP(C22,'SDL-BIAC-INDUCTIVA'!C:C,'SDL-BIAC-INDUCTIVA'!G:G)</f>
        <v>0</v>
      </c>
      <c r="J22" s="7">
        <f>_xlfn.XLOOKUP(C22,'SDL-BIAC-INDUCTIVA'!C:C,'SDL-BIAC-INDUCTIVA'!H:H)</f>
        <v>1</v>
      </c>
      <c r="K22" s="7">
        <f>_xlfn.XLOOKUP(C22,'SDL-BIAC-INDUCTIVA'!C:C,'SDL-BIAC-INDUCTIVA'!F:F)</f>
        <v>1</v>
      </c>
      <c r="M22" s="7">
        <f>_xlfn.XLOOKUP(C22,'SDL-BIAC-INDUCTIVA'!C:C,'SDL-BIAC-INDUCTIVA'!J:J)</f>
        <v>230.87</v>
      </c>
    </row>
    <row r="23" spans="1:13" x14ac:dyDescent="0.35">
      <c r="A23" s="10">
        <v>2025</v>
      </c>
      <c r="B23" s="10">
        <v>12</v>
      </c>
      <c r="C23" s="8" t="s">
        <v>80</v>
      </c>
      <c r="D23" s="8" t="s">
        <v>14</v>
      </c>
      <c r="E23" s="11">
        <v>28.706</v>
      </c>
      <c r="F23" s="11">
        <v>245.43799999999999</v>
      </c>
      <c r="G23" s="11">
        <v>0</v>
      </c>
      <c r="H23" s="11">
        <v>1286.999</v>
      </c>
      <c r="I23" s="7">
        <v>0</v>
      </c>
      <c r="J23" s="7">
        <v>1</v>
      </c>
      <c r="K23" s="7" t="e">
        <f>_xlfn.XLOOKUP(C23,'SDL-BIAC-INDUCTIVA'!C:C,'SDL-BIAC-INDUCTIVA'!F:F)</f>
        <v>#N/A</v>
      </c>
      <c r="M23" s="7" t="e">
        <f>_xlfn.XLOOKUP(C23,'SDL-BIAC-INDUCTIVA'!C:C,'SDL-BIAC-INDUCTIVA'!J:J)</f>
        <v>#N/A</v>
      </c>
    </row>
    <row r="24" spans="1:13" hidden="1" x14ac:dyDescent="0.35">
      <c r="A24" s="10">
        <v>2025</v>
      </c>
      <c r="B24" s="10">
        <v>12</v>
      </c>
      <c r="C24" s="8" t="s">
        <v>51</v>
      </c>
      <c r="D24" s="8" t="s">
        <v>14</v>
      </c>
      <c r="E24" s="11">
        <v>252.12</v>
      </c>
      <c r="F24" s="11">
        <v>19.96</v>
      </c>
      <c r="G24" s="11">
        <v>0</v>
      </c>
      <c r="H24" s="11">
        <v>5488.19</v>
      </c>
      <c r="I24" s="7">
        <f>_xlfn.XLOOKUP(C24,'SDL-BIAC-INDUCTIVA'!C:C,'SDL-BIAC-INDUCTIVA'!G:G)</f>
        <v>0</v>
      </c>
      <c r="J24" s="7">
        <f>_xlfn.XLOOKUP(C24,'SDL-BIAC-INDUCTIVA'!C:C,'SDL-BIAC-INDUCTIVA'!H:H)</f>
        <v>1</v>
      </c>
      <c r="K24" s="7">
        <f>_xlfn.XLOOKUP(C24,'SDL-BIAC-INDUCTIVA'!C:C,'SDL-BIAC-INDUCTIVA'!F:F)</f>
        <v>1</v>
      </c>
      <c r="M24" s="7">
        <f>_xlfn.XLOOKUP(C24,'SDL-BIAC-INDUCTIVA'!C:C,'SDL-BIAC-INDUCTIVA'!J:J)</f>
        <v>230.87</v>
      </c>
    </row>
    <row r="25" spans="1:13" hidden="1" x14ac:dyDescent="0.35">
      <c r="A25" s="10">
        <v>2025</v>
      </c>
      <c r="B25" s="10">
        <v>12</v>
      </c>
      <c r="C25" s="8" t="s">
        <v>53</v>
      </c>
      <c r="D25" s="8" t="s">
        <v>14</v>
      </c>
      <c r="E25" s="11">
        <v>3.7999999999999999E-2</v>
      </c>
      <c r="F25" s="11">
        <v>301.86500000000001</v>
      </c>
      <c r="G25" s="11">
        <v>0</v>
      </c>
      <c r="H25" s="11">
        <v>1310.105</v>
      </c>
      <c r="I25" s="7">
        <f>_xlfn.XLOOKUP(C25,'SDL-BIAC-INDUCTIVA'!C:C,'SDL-BIAC-INDUCTIVA'!G:G)</f>
        <v>0</v>
      </c>
      <c r="J25" s="7">
        <f>_xlfn.XLOOKUP(C25,'SDL-BIAC-INDUCTIVA'!C:C,'SDL-BIAC-INDUCTIVA'!H:H)</f>
        <v>1</v>
      </c>
      <c r="K25" s="7">
        <f>_xlfn.XLOOKUP(C25,'SDL-BIAC-INDUCTIVA'!C:C,'SDL-BIAC-INDUCTIVA'!F:F)</f>
        <v>1</v>
      </c>
      <c r="M25" s="7">
        <f>_xlfn.XLOOKUP(C25,'SDL-BIAC-INDUCTIVA'!C:C,'SDL-BIAC-INDUCTIVA'!J:J)</f>
        <v>230.87</v>
      </c>
    </row>
    <row r="26" spans="1:13" hidden="1" x14ac:dyDescent="0.35">
      <c r="A26" s="10">
        <v>2025</v>
      </c>
      <c r="B26" s="10">
        <v>12</v>
      </c>
      <c r="C26" s="8" t="s">
        <v>55</v>
      </c>
      <c r="D26" s="8" t="s">
        <v>14</v>
      </c>
      <c r="E26" s="11">
        <v>2E-3</v>
      </c>
      <c r="F26" s="11">
        <v>853.29100000000005</v>
      </c>
      <c r="G26" s="11">
        <v>0</v>
      </c>
      <c r="H26" s="11">
        <v>1876.502</v>
      </c>
      <c r="I26" s="7">
        <f>_xlfn.XLOOKUP(C26,'SDL-BIAC-INDUCTIVA'!C:C,'SDL-BIAC-INDUCTIVA'!G:G)</f>
        <v>103.1615</v>
      </c>
      <c r="J26" s="7">
        <f>_xlfn.XLOOKUP(C26,'SDL-BIAC-INDUCTIVA'!C:C,'SDL-BIAC-INDUCTIVA'!H:H)</f>
        <v>1</v>
      </c>
      <c r="K26" s="7">
        <f>_xlfn.XLOOKUP(C26,'SDL-BIAC-INDUCTIVA'!C:C,'SDL-BIAC-INDUCTIVA'!F:F)</f>
        <v>1</v>
      </c>
      <c r="M26" s="7">
        <f>_xlfn.XLOOKUP(C26,'SDL-BIAC-INDUCTIVA'!C:C,'SDL-BIAC-INDUCTIVA'!J:J)</f>
        <v>230.87</v>
      </c>
    </row>
    <row r="27" spans="1:13" hidden="1" x14ac:dyDescent="0.35">
      <c r="A27" s="10">
        <v>2025</v>
      </c>
      <c r="B27" s="10">
        <v>12</v>
      </c>
      <c r="C27" s="8" t="s">
        <v>79</v>
      </c>
      <c r="D27" s="8" t="s">
        <v>14</v>
      </c>
      <c r="E27" s="11">
        <v>8.17</v>
      </c>
      <c r="F27" s="11">
        <v>1278.3</v>
      </c>
      <c r="G27" s="11">
        <v>0</v>
      </c>
      <c r="H27" s="11">
        <v>2553.06</v>
      </c>
      <c r="I27" s="7">
        <v>0</v>
      </c>
      <c r="J27" s="7">
        <v>1</v>
      </c>
      <c r="K27" s="7" t="e">
        <f>_xlfn.XLOOKUP(C27,'SDL-BIAC-INDUCTIVA'!C:C,'SDL-BIAC-INDUCTIVA'!F:F)</f>
        <v>#N/A</v>
      </c>
      <c r="M27" s="7" t="e">
        <f>_xlfn.XLOOKUP(C27,'SDL-BIAC-INDUCTIVA'!C:C,'SDL-BIAC-INDUCTIVA'!J:J)</f>
        <v>#N/A</v>
      </c>
    </row>
    <row r="28" spans="1:13" hidden="1" x14ac:dyDescent="0.35">
      <c r="A28" s="10">
        <v>2025</v>
      </c>
      <c r="B28" s="10">
        <v>12</v>
      </c>
      <c r="C28" s="8" t="s">
        <v>78</v>
      </c>
      <c r="D28" s="8" t="s">
        <v>14</v>
      </c>
      <c r="E28" s="11">
        <v>0</v>
      </c>
      <c r="F28" s="11">
        <v>4433.1000000000004</v>
      </c>
      <c r="G28" s="11">
        <v>0</v>
      </c>
      <c r="H28" s="11">
        <v>11674.52</v>
      </c>
      <c r="I28" s="7">
        <v>0</v>
      </c>
      <c r="J28" s="7">
        <v>1</v>
      </c>
      <c r="K28" s="7" t="e">
        <f>_xlfn.XLOOKUP(C28,'SDL-BIAC-INDUCTIVA'!C:C,'SDL-BIAC-INDUCTIVA'!F:F)</f>
        <v>#N/A</v>
      </c>
      <c r="M28" s="7" t="e">
        <f>_xlfn.XLOOKUP(C28,'SDL-BIAC-INDUCTIVA'!C:C,'SDL-BIAC-INDUCTIVA'!J:J)</f>
        <v>#N/A</v>
      </c>
    </row>
    <row r="29" spans="1:13" hidden="1" x14ac:dyDescent="0.35">
      <c r="A29" s="10">
        <v>2025</v>
      </c>
      <c r="B29" s="10">
        <v>12</v>
      </c>
      <c r="C29" s="8" t="s">
        <v>57</v>
      </c>
      <c r="D29" s="8" t="s">
        <v>14</v>
      </c>
      <c r="E29" s="11">
        <v>0.71</v>
      </c>
      <c r="F29" s="11">
        <v>111.468</v>
      </c>
      <c r="G29" s="11">
        <v>0</v>
      </c>
      <c r="H29" s="11">
        <v>743.40700000000004</v>
      </c>
      <c r="I29" s="7">
        <f>_xlfn.XLOOKUP(C29,'SDL-BIAC-INDUCTIVA'!C:C,'SDL-BIAC-INDUCTIVA'!G:G)</f>
        <v>0</v>
      </c>
      <c r="J29" s="7">
        <f>_xlfn.XLOOKUP(C29,'SDL-BIAC-INDUCTIVA'!C:C,'SDL-BIAC-INDUCTIVA'!H:H)</f>
        <v>1</v>
      </c>
      <c r="K29" s="7">
        <f>_xlfn.XLOOKUP(C29,'SDL-BIAC-INDUCTIVA'!C:C,'SDL-BIAC-INDUCTIVA'!F:F)</f>
        <v>1</v>
      </c>
      <c r="M29" s="7">
        <f>_xlfn.XLOOKUP(C29,'SDL-BIAC-INDUCTIVA'!C:C,'SDL-BIAC-INDUCTIVA'!J:J)</f>
        <v>230.87</v>
      </c>
    </row>
    <row r="30" spans="1:13" hidden="1" x14ac:dyDescent="0.35">
      <c r="A30" s="10">
        <v>2025</v>
      </c>
      <c r="B30" s="10">
        <v>12</v>
      </c>
      <c r="C30" s="8" t="s">
        <v>59</v>
      </c>
      <c r="D30" s="8" t="s">
        <v>14</v>
      </c>
      <c r="E30" s="11">
        <v>0</v>
      </c>
      <c r="F30" s="11">
        <v>6272.04</v>
      </c>
      <c r="G30" s="11">
        <v>0</v>
      </c>
      <c r="H30" s="11">
        <v>10421.18</v>
      </c>
      <c r="I30" s="7">
        <f>_xlfn.XLOOKUP(C30,'SDL-BIAC-INDUCTIVA'!C:C,'SDL-BIAC-INDUCTIVA'!G:G)</f>
        <v>1065.4349999999999</v>
      </c>
      <c r="J30" s="7">
        <f>_xlfn.XLOOKUP(C30,'SDL-BIAC-INDUCTIVA'!C:C,'SDL-BIAC-INDUCTIVA'!H:H)</f>
        <v>1</v>
      </c>
      <c r="K30" s="7">
        <f>_xlfn.XLOOKUP(C30,'SDL-BIAC-INDUCTIVA'!C:C,'SDL-BIAC-INDUCTIVA'!F:F)</f>
        <v>1</v>
      </c>
      <c r="M30" s="7">
        <f>_xlfn.XLOOKUP(C30,'SDL-BIAC-INDUCTIVA'!C:C,'SDL-BIAC-INDUCTIVA'!J:J)</f>
        <v>230.87</v>
      </c>
    </row>
    <row r="31" spans="1:13" hidden="1" x14ac:dyDescent="0.35">
      <c r="A31" s="10">
        <v>2025</v>
      </c>
      <c r="B31" s="10">
        <v>12</v>
      </c>
      <c r="C31" s="8" t="s">
        <v>61</v>
      </c>
      <c r="D31" s="8" t="s">
        <v>14</v>
      </c>
      <c r="E31" s="11">
        <v>1083.57</v>
      </c>
      <c r="F31" s="11">
        <v>0</v>
      </c>
      <c r="G31" s="11">
        <v>0</v>
      </c>
      <c r="H31" s="11">
        <v>5931.29</v>
      </c>
      <c r="I31" s="7">
        <f>_xlfn.XLOOKUP(C31,'SDL-BIAC-INDUCTIVA'!C:C,'SDL-BIAC-INDUCTIVA'!G:G)</f>
        <v>0</v>
      </c>
      <c r="J31" s="7">
        <f>_xlfn.XLOOKUP(C31,'SDL-BIAC-INDUCTIVA'!C:C,'SDL-BIAC-INDUCTIVA'!H:H)</f>
        <v>1</v>
      </c>
      <c r="K31" s="7">
        <f>_xlfn.XLOOKUP(C31,'SDL-BIAC-INDUCTIVA'!C:C,'SDL-BIAC-INDUCTIVA'!F:F)</f>
        <v>1</v>
      </c>
      <c r="M31" s="7">
        <f>_xlfn.XLOOKUP(C31,'SDL-BIAC-INDUCTIVA'!C:C,'SDL-BIAC-INDUCTIVA'!J:J)</f>
        <v>230.87</v>
      </c>
    </row>
    <row r="32" spans="1:13" hidden="1" x14ac:dyDescent="0.35">
      <c r="A32" s="10">
        <v>2025</v>
      </c>
      <c r="B32" s="10">
        <v>12</v>
      </c>
      <c r="C32" s="8" t="s">
        <v>63</v>
      </c>
      <c r="D32" s="8" t="s">
        <v>14</v>
      </c>
      <c r="E32" s="11">
        <v>1434.1949999999999</v>
      </c>
      <c r="F32" s="11">
        <v>376.93900000000002</v>
      </c>
      <c r="G32" s="11">
        <v>0</v>
      </c>
      <c r="H32" s="11">
        <v>4560.3159999999998</v>
      </c>
      <c r="I32" s="7">
        <f>_xlfn.XLOOKUP(C32,'SDL-BIAC-INDUCTIVA'!C:C,'SDL-BIAC-INDUCTIVA'!G:G)</f>
        <v>0</v>
      </c>
      <c r="J32" s="7">
        <f>_xlfn.XLOOKUP(C32,'SDL-BIAC-INDUCTIVA'!C:C,'SDL-BIAC-INDUCTIVA'!H:H)</f>
        <v>1</v>
      </c>
      <c r="K32" s="7">
        <f>_xlfn.XLOOKUP(C32,'SDL-BIAC-INDUCTIVA'!C:C,'SDL-BIAC-INDUCTIVA'!F:F)</f>
        <v>1</v>
      </c>
      <c r="M32" s="7">
        <f>_xlfn.XLOOKUP(C32,'SDL-BIAC-INDUCTIVA'!C:C,'SDL-BIAC-INDUCTIVA'!J:J)</f>
        <v>230.87</v>
      </c>
    </row>
    <row r="33" spans="1:13" hidden="1" x14ac:dyDescent="0.35">
      <c r="A33" s="10">
        <v>2025</v>
      </c>
      <c r="B33" s="10">
        <v>12</v>
      </c>
      <c r="C33" s="8" t="s">
        <v>65</v>
      </c>
      <c r="D33" s="8" t="s">
        <v>14</v>
      </c>
      <c r="E33" s="11">
        <v>335.2</v>
      </c>
      <c r="F33" s="11">
        <v>3248.72</v>
      </c>
      <c r="G33" s="11">
        <v>0</v>
      </c>
      <c r="H33" s="11">
        <v>7426.16</v>
      </c>
      <c r="I33" s="7">
        <f>_xlfn.XLOOKUP(C33,'SDL-BIAC-INDUCTIVA'!C:C,'SDL-BIAC-INDUCTIVA'!G:G)</f>
        <v>384.32</v>
      </c>
      <c r="J33" s="7">
        <f>_xlfn.XLOOKUP(C33,'SDL-BIAC-INDUCTIVA'!C:C,'SDL-BIAC-INDUCTIVA'!H:H)</f>
        <v>1</v>
      </c>
      <c r="K33" s="7">
        <f>_xlfn.XLOOKUP(C33,'SDL-BIAC-INDUCTIVA'!C:C,'SDL-BIAC-INDUCTIVA'!F:F)</f>
        <v>1</v>
      </c>
      <c r="M33" s="7">
        <f>_xlfn.XLOOKUP(C33,'SDL-BIAC-INDUCTIVA'!C:C,'SDL-BIAC-INDUCTIVA'!J:J)</f>
        <v>230.87</v>
      </c>
    </row>
  </sheetData>
  <autoFilter ref="A1:M33" xr:uid="{87F40EB6-73C5-4526-8E88-B1F5B24BC0DE}">
    <filterColumn colId="2">
      <filters>
        <filter val="Frt76605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activeCell="Q1" sqref="Q1:V8"/>
    </sheetView>
  </sheetViews>
  <sheetFormatPr baseColWidth="10" defaultColWidth="8.7265625" defaultRowHeight="14.5" x14ac:dyDescent="0.35"/>
  <cols>
    <col min="1" max="1" width="7.7265625" customWidth="1"/>
    <col min="2" max="2" width="7.453125" customWidth="1"/>
    <col min="3" max="3" width="10.90625" customWidth="1"/>
    <col min="4" max="4" width="48.36328125" customWidth="1"/>
    <col min="5" max="5" width="34.7265625" customWidth="1"/>
    <col min="6" max="7" width="13.81640625" customWidth="1"/>
    <col min="8" max="8" width="5.54296875" customWidth="1"/>
    <col min="9" max="9" width="13.81640625" customWidth="1"/>
    <col min="10" max="10" width="23.54296875" customWidth="1"/>
    <col min="11" max="11" width="13.81640625" customWidth="1"/>
    <col min="12" max="12" width="14" customWidth="1"/>
    <col min="13" max="13" width="11.089843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5">
      <c r="A2" s="2">
        <v>2025</v>
      </c>
      <c r="B2" s="2">
        <v>12</v>
      </c>
      <c r="C2" s="3" t="s">
        <v>12</v>
      </c>
      <c r="D2" s="3" t="s">
        <v>13</v>
      </c>
      <c r="E2" s="3" t="s">
        <v>14</v>
      </c>
      <c r="F2" s="4">
        <v>1</v>
      </c>
      <c r="G2" s="5">
        <v>71.97</v>
      </c>
      <c r="H2" s="4">
        <v>12</v>
      </c>
      <c r="I2" s="5">
        <v>863.64</v>
      </c>
      <c r="J2" s="2">
        <v>230.87</v>
      </c>
      <c r="K2" s="6">
        <v>199388.5668</v>
      </c>
      <c r="L2" s="3" t="s">
        <v>15</v>
      </c>
      <c r="M2" s="13"/>
    </row>
    <row r="3" spans="1:13" x14ac:dyDescent="0.35">
      <c r="A3" s="2">
        <v>2025</v>
      </c>
      <c r="B3" s="2">
        <v>12</v>
      </c>
      <c r="C3" s="3" t="s">
        <v>16</v>
      </c>
      <c r="D3" s="3" t="s">
        <v>17</v>
      </c>
      <c r="E3" s="3" t="s">
        <v>14</v>
      </c>
      <c r="F3" s="4">
        <v>1</v>
      </c>
      <c r="G3" s="5">
        <v>295.85000000000002</v>
      </c>
      <c r="H3" s="4">
        <v>7</v>
      </c>
      <c r="I3" s="5">
        <v>2070.9499999999998</v>
      </c>
      <c r="J3" s="2">
        <v>230.87</v>
      </c>
      <c r="K3" s="6">
        <v>478120.22649999999</v>
      </c>
      <c r="L3" s="3" t="s">
        <v>15</v>
      </c>
    </row>
    <row r="4" spans="1:13" x14ac:dyDescent="0.35">
      <c r="A4" s="2">
        <v>2025</v>
      </c>
      <c r="B4" s="2">
        <v>12</v>
      </c>
      <c r="C4" s="3" t="s">
        <v>18</v>
      </c>
      <c r="D4" s="3" t="s">
        <v>17</v>
      </c>
      <c r="E4" s="3" t="s">
        <v>14</v>
      </c>
      <c r="F4" s="4">
        <v>1</v>
      </c>
      <c r="G4" s="5">
        <v>376.72500000000002</v>
      </c>
      <c r="H4" s="4">
        <v>12</v>
      </c>
      <c r="I4" s="5">
        <v>4520.7</v>
      </c>
      <c r="J4" s="2">
        <v>230.87</v>
      </c>
      <c r="K4" s="6">
        <v>1043694.009</v>
      </c>
      <c r="L4" s="3" t="s">
        <v>15</v>
      </c>
    </row>
    <row r="5" spans="1:13" x14ac:dyDescent="0.35">
      <c r="A5" s="2">
        <v>2025</v>
      </c>
      <c r="B5" s="2">
        <v>12</v>
      </c>
      <c r="C5" s="3" t="s">
        <v>19</v>
      </c>
      <c r="D5" s="3" t="s">
        <v>17</v>
      </c>
      <c r="E5" s="3" t="s">
        <v>14</v>
      </c>
      <c r="F5" s="4">
        <v>1</v>
      </c>
      <c r="G5" s="5">
        <v>0.03</v>
      </c>
      <c r="H5" s="4">
        <v>1</v>
      </c>
      <c r="I5" s="5">
        <v>0.03</v>
      </c>
      <c r="J5" s="2">
        <v>230.87</v>
      </c>
      <c r="K5" s="6">
        <v>6.9260999999999999</v>
      </c>
      <c r="L5" s="3" t="s">
        <v>15</v>
      </c>
    </row>
    <row r="6" spans="1:13" x14ac:dyDescent="0.35">
      <c r="A6" s="2">
        <v>2025</v>
      </c>
      <c r="B6" s="2">
        <v>12</v>
      </c>
      <c r="C6" s="3" t="s">
        <v>20</v>
      </c>
      <c r="D6" s="3" t="s">
        <v>17</v>
      </c>
      <c r="E6" s="3" t="s">
        <v>14</v>
      </c>
      <c r="F6" s="4">
        <v>1</v>
      </c>
      <c r="G6" s="5">
        <v>0</v>
      </c>
      <c r="H6" s="4">
        <v>1</v>
      </c>
      <c r="I6" s="5">
        <v>0</v>
      </c>
      <c r="J6" s="2">
        <v>230.87</v>
      </c>
      <c r="K6" s="6">
        <v>0</v>
      </c>
      <c r="L6" s="3" t="s">
        <v>15</v>
      </c>
    </row>
    <row r="7" spans="1:13" x14ac:dyDescent="0.35">
      <c r="A7" s="2">
        <v>2025</v>
      </c>
      <c r="B7" s="2">
        <v>12</v>
      </c>
      <c r="C7" s="3" t="s">
        <v>21</v>
      </c>
      <c r="D7" s="3" t="s">
        <v>17</v>
      </c>
      <c r="E7" s="3" t="s">
        <v>14</v>
      </c>
      <c r="F7" s="4">
        <v>1</v>
      </c>
      <c r="G7" s="5">
        <v>0</v>
      </c>
      <c r="H7" s="4">
        <v>1</v>
      </c>
      <c r="I7" s="5">
        <v>0</v>
      </c>
      <c r="J7" s="2">
        <v>230.87</v>
      </c>
      <c r="K7" s="6">
        <v>0</v>
      </c>
      <c r="L7" s="3" t="s">
        <v>15</v>
      </c>
    </row>
    <row r="8" spans="1:13" x14ac:dyDescent="0.35">
      <c r="A8" s="2">
        <v>2025</v>
      </c>
      <c r="B8" s="2">
        <v>12</v>
      </c>
      <c r="C8" s="3" t="s">
        <v>22</v>
      </c>
      <c r="D8" s="3" t="s">
        <v>23</v>
      </c>
      <c r="E8" s="3" t="s">
        <v>14</v>
      </c>
      <c r="F8" s="4">
        <v>1</v>
      </c>
      <c r="G8" s="5">
        <v>0</v>
      </c>
      <c r="H8" s="4">
        <v>1</v>
      </c>
      <c r="I8" s="5">
        <v>0</v>
      </c>
      <c r="J8" s="2">
        <v>230.87</v>
      </c>
      <c r="K8" s="6">
        <v>0</v>
      </c>
      <c r="L8" s="3" t="s">
        <v>15</v>
      </c>
    </row>
    <row r="9" spans="1:13" x14ac:dyDescent="0.35">
      <c r="A9" s="2">
        <v>2025</v>
      </c>
      <c r="B9" s="2">
        <v>12</v>
      </c>
      <c r="C9" s="3" t="s">
        <v>24</v>
      </c>
      <c r="D9" s="3" t="s">
        <v>25</v>
      </c>
      <c r="E9" s="3" t="s">
        <v>14</v>
      </c>
      <c r="F9" s="4">
        <v>1</v>
      </c>
      <c r="G9" s="5">
        <v>0</v>
      </c>
      <c r="H9" s="4">
        <v>1</v>
      </c>
      <c r="I9" s="5">
        <v>0</v>
      </c>
      <c r="J9" s="2">
        <v>230.87</v>
      </c>
      <c r="K9" s="6">
        <v>0</v>
      </c>
      <c r="L9" s="3" t="s">
        <v>15</v>
      </c>
    </row>
    <row r="10" spans="1:13" x14ac:dyDescent="0.35">
      <c r="A10" s="2">
        <v>2025</v>
      </c>
      <c r="B10" s="2">
        <v>12</v>
      </c>
      <c r="C10" s="3" t="s">
        <v>26</v>
      </c>
      <c r="D10" s="3" t="s">
        <v>27</v>
      </c>
      <c r="E10" s="3" t="s">
        <v>14</v>
      </c>
      <c r="F10" s="4">
        <v>1</v>
      </c>
      <c r="G10" s="5">
        <v>510.94499999999999</v>
      </c>
      <c r="H10" s="4">
        <v>12</v>
      </c>
      <c r="I10" s="5">
        <v>6131.34</v>
      </c>
      <c r="J10" s="2">
        <v>230.87</v>
      </c>
      <c r="K10" s="6">
        <v>1415542.4657999999</v>
      </c>
      <c r="L10" s="3" t="s">
        <v>15</v>
      </c>
    </row>
    <row r="11" spans="1:13" x14ac:dyDescent="0.35">
      <c r="A11" s="2">
        <v>2025</v>
      </c>
      <c r="B11" s="2">
        <v>12</v>
      </c>
      <c r="C11" s="3" t="s">
        <v>28</v>
      </c>
      <c r="D11" s="3" t="s">
        <v>29</v>
      </c>
      <c r="E11" s="3" t="s">
        <v>14</v>
      </c>
      <c r="F11" s="4">
        <v>1</v>
      </c>
      <c r="G11" s="5">
        <v>10.734999999999999</v>
      </c>
      <c r="H11" s="4">
        <v>1</v>
      </c>
      <c r="I11" s="5">
        <v>10.734999999999999</v>
      </c>
      <c r="J11" s="2">
        <v>230.87</v>
      </c>
      <c r="K11" s="6">
        <v>2478.3894500000001</v>
      </c>
      <c r="L11" s="3" t="s">
        <v>15</v>
      </c>
    </row>
    <row r="12" spans="1:13" x14ac:dyDescent="0.35">
      <c r="A12" s="2">
        <v>2025</v>
      </c>
      <c r="B12" s="2">
        <v>12</v>
      </c>
      <c r="C12" s="3" t="s">
        <v>30</v>
      </c>
      <c r="D12" s="3" t="s">
        <v>31</v>
      </c>
      <c r="E12" s="3" t="s">
        <v>14</v>
      </c>
      <c r="F12" s="4">
        <v>1</v>
      </c>
      <c r="G12" s="5">
        <v>5.5449999999999999</v>
      </c>
      <c r="H12" s="4">
        <v>1</v>
      </c>
      <c r="I12" s="5">
        <v>5.5449999999999999</v>
      </c>
      <c r="J12" s="2">
        <v>230.87</v>
      </c>
      <c r="K12" s="6">
        <v>1280.1741500000001</v>
      </c>
      <c r="L12" s="3" t="s">
        <v>15</v>
      </c>
    </row>
    <row r="13" spans="1:13" x14ac:dyDescent="0.35">
      <c r="A13" s="2">
        <v>2025</v>
      </c>
      <c r="B13" s="2">
        <v>12</v>
      </c>
      <c r="C13" s="3" t="s">
        <v>32</v>
      </c>
      <c r="D13" s="3" t="s">
        <v>33</v>
      </c>
      <c r="E13" s="3" t="s">
        <v>14</v>
      </c>
      <c r="F13" s="4">
        <v>1</v>
      </c>
      <c r="G13" s="5">
        <v>0</v>
      </c>
      <c r="H13" s="4">
        <v>1</v>
      </c>
      <c r="I13" s="5">
        <v>0</v>
      </c>
      <c r="J13" s="2">
        <v>230.87</v>
      </c>
      <c r="K13" s="6">
        <v>0</v>
      </c>
      <c r="L13" s="3" t="s">
        <v>15</v>
      </c>
    </row>
    <row r="14" spans="1:13" x14ac:dyDescent="0.35">
      <c r="A14" s="2">
        <v>2025</v>
      </c>
      <c r="B14" s="2">
        <v>12</v>
      </c>
      <c r="C14" s="3" t="s">
        <v>34</v>
      </c>
      <c r="D14" s="3" t="s">
        <v>35</v>
      </c>
      <c r="E14" s="3" t="s">
        <v>14</v>
      </c>
      <c r="F14" s="4">
        <v>1</v>
      </c>
      <c r="G14" s="5">
        <v>1.405</v>
      </c>
      <c r="H14" s="4">
        <v>1</v>
      </c>
      <c r="I14" s="5">
        <v>1.405</v>
      </c>
      <c r="J14" s="2">
        <v>230.87</v>
      </c>
      <c r="K14" s="6">
        <v>324.37234999999998</v>
      </c>
      <c r="L14" s="3" t="s">
        <v>15</v>
      </c>
    </row>
    <row r="15" spans="1:13" x14ac:dyDescent="0.35">
      <c r="A15" s="2">
        <v>2025</v>
      </c>
      <c r="B15" s="2">
        <v>12</v>
      </c>
      <c r="C15" s="3" t="s">
        <v>36</v>
      </c>
      <c r="D15" s="3" t="s">
        <v>37</v>
      </c>
      <c r="E15" s="3" t="s">
        <v>14</v>
      </c>
      <c r="F15" s="4">
        <v>1</v>
      </c>
      <c r="G15" s="5">
        <v>0</v>
      </c>
      <c r="H15" s="4">
        <v>1</v>
      </c>
      <c r="I15" s="5">
        <v>0</v>
      </c>
      <c r="J15" s="2">
        <v>230.87</v>
      </c>
      <c r="K15" s="6">
        <v>0</v>
      </c>
      <c r="L15" s="3" t="s">
        <v>15</v>
      </c>
    </row>
    <row r="16" spans="1:13" x14ac:dyDescent="0.35">
      <c r="A16" s="2">
        <v>2025</v>
      </c>
      <c r="B16" s="2">
        <v>12</v>
      </c>
      <c r="C16" s="3" t="s">
        <v>38</v>
      </c>
      <c r="D16" s="3" t="s">
        <v>39</v>
      </c>
      <c r="E16" s="3" t="s">
        <v>14</v>
      </c>
      <c r="F16" s="4">
        <v>1</v>
      </c>
      <c r="G16" s="5">
        <v>64.084999999999994</v>
      </c>
      <c r="H16" s="4">
        <v>1</v>
      </c>
      <c r="I16" s="5">
        <v>64.084999999999994</v>
      </c>
      <c r="J16" s="2">
        <v>230.87</v>
      </c>
      <c r="K16" s="6">
        <v>14795.30395</v>
      </c>
      <c r="L16" s="3" t="s">
        <v>15</v>
      </c>
    </row>
    <row r="17" spans="1:12" x14ac:dyDescent="0.35">
      <c r="A17" s="2">
        <v>2025</v>
      </c>
      <c r="B17" s="2">
        <v>12</v>
      </c>
      <c r="C17" s="3" t="s">
        <v>40</v>
      </c>
      <c r="D17" s="3" t="s">
        <v>41</v>
      </c>
      <c r="E17" s="3" t="s">
        <v>14</v>
      </c>
      <c r="F17" s="4">
        <v>1</v>
      </c>
      <c r="G17" s="5">
        <v>0</v>
      </c>
      <c r="H17" s="4">
        <v>1</v>
      </c>
      <c r="I17" s="5">
        <v>0</v>
      </c>
      <c r="J17" s="2">
        <v>230.87</v>
      </c>
      <c r="K17" s="6">
        <v>0</v>
      </c>
      <c r="L17" s="3" t="s">
        <v>15</v>
      </c>
    </row>
    <row r="18" spans="1:12" x14ac:dyDescent="0.35">
      <c r="A18" s="2">
        <v>2025</v>
      </c>
      <c r="B18" s="2">
        <v>12</v>
      </c>
      <c r="C18" s="3" t="s">
        <v>42</v>
      </c>
      <c r="D18" s="3" t="s">
        <v>43</v>
      </c>
      <c r="E18" s="3" t="s">
        <v>14</v>
      </c>
      <c r="F18" s="4">
        <v>3</v>
      </c>
      <c r="G18" s="5">
        <v>0</v>
      </c>
      <c r="H18" s="4">
        <v>1</v>
      </c>
      <c r="I18" s="5">
        <v>0</v>
      </c>
      <c r="J18" s="2">
        <v>93.7</v>
      </c>
      <c r="K18" s="6">
        <v>0</v>
      </c>
      <c r="L18" s="3" t="s">
        <v>15</v>
      </c>
    </row>
    <row r="19" spans="1:12" x14ac:dyDescent="0.35">
      <c r="A19" s="2">
        <v>2025</v>
      </c>
      <c r="B19" s="2">
        <v>12</v>
      </c>
      <c r="C19" s="3" t="s">
        <v>44</v>
      </c>
      <c r="D19" s="3" t="s">
        <v>45</v>
      </c>
      <c r="E19" s="3" t="s">
        <v>14</v>
      </c>
      <c r="F19" s="4">
        <v>1</v>
      </c>
      <c r="G19" s="5">
        <v>5426.5649999999996</v>
      </c>
      <c r="H19" s="4">
        <v>1</v>
      </c>
      <c r="I19" s="5">
        <v>5426.5649999999996</v>
      </c>
      <c r="J19" s="2">
        <v>230.87</v>
      </c>
      <c r="K19" s="6">
        <v>1252831.06155</v>
      </c>
      <c r="L19" s="3" t="s">
        <v>15</v>
      </c>
    </row>
    <row r="20" spans="1:12" x14ac:dyDescent="0.35">
      <c r="A20" s="2">
        <v>2025</v>
      </c>
      <c r="B20" s="2">
        <v>12</v>
      </c>
      <c r="C20" s="3" t="s">
        <v>46</v>
      </c>
      <c r="D20" s="3" t="s">
        <v>47</v>
      </c>
      <c r="E20" s="3" t="s">
        <v>14</v>
      </c>
      <c r="F20" s="4">
        <v>1</v>
      </c>
      <c r="G20" s="5">
        <v>0</v>
      </c>
      <c r="H20" s="4">
        <v>1</v>
      </c>
      <c r="I20" s="5">
        <v>0</v>
      </c>
      <c r="J20" s="2">
        <v>230.87</v>
      </c>
      <c r="K20" s="6">
        <v>0</v>
      </c>
      <c r="L20" s="3" t="s">
        <v>15</v>
      </c>
    </row>
    <row r="21" spans="1:12" x14ac:dyDescent="0.35">
      <c r="A21" s="2">
        <v>2025</v>
      </c>
      <c r="B21" s="2">
        <v>12</v>
      </c>
      <c r="C21" s="3" t="s">
        <v>48</v>
      </c>
      <c r="D21" s="3" t="s">
        <v>47</v>
      </c>
      <c r="E21" s="3" t="s">
        <v>14</v>
      </c>
      <c r="F21" s="4">
        <v>1</v>
      </c>
      <c r="G21" s="5">
        <v>0</v>
      </c>
      <c r="H21" s="4">
        <v>1</v>
      </c>
      <c r="I21" s="5">
        <v>0</v>
      </c>
      <c r="J21" s="2">
        <v>230.87</v>
      </c>
      <c r="K21" s="6">
        <v>0</v>
      </c>
      <c r="L21" s="3" t="s">
        <v>15</v>
      </c>
    </row>
    <row r="22" spans="1:12" x14ac:dyDescent="0.35">
      <c r="A22" s="2">
        <v>2025</v>
      </c>
      <c r="B22" s="2">
        <v>12</v>
      </c>
      <c r="C22" s="3" t="s">
        <v>49</v>
      </c>
      <c r="D22" s="3" t="s">
        <v>50</v>
      </c>
      <c r="E22" s="3" t="s">
        <v>14</v>
      </c>
      <c r="F22" s="4">
        <v>1</v>
      </c>
      <c r="G22" s="5">
        <v>0</v>
      </c>
      <c r="H22" s="4">
        <v>1</v>
      </c>
      <c r="I22" s="5">
        <v>0</v>
      </c>
      <c r="J22" s="2">
        <v>230.87</v>
      </c>
      <c r="K22" s="6">
        <v>0</v>
      </c>
      <c r="L22" s="3" t="s">
        <v>15</v>
      </c>
    </row>
    <row r="23" spans="1:12" ht="29" x14ac:dyDescent="0.35">
      <c r="A23" s="2">
        <v>2025</v>
      </c>
      <c r="B23" s="2">
        <v>12</v>
      </c>
      <c r="C23" s="3" t="s">
        <v>51</v>
      </c>
      <c r="D23" s="3" t="s">
        <v>52</v>
      </c>
      <c r="E23" s="3" t="s">
        <v>14</v>
      </c>
      <c r="F23" s="4">
        <v>1</v>
      </c>
      <c r="G23" s="5">
        <v>0</v>
      </c>
      <c r="H23" s="4">
        <v>1</v>
      </c>
      <c r="I23" s="5">
        <v>0</v>
      </c>
      <c r="J23" s="2">
        <v>230.87</v>
      </c>
      <c r="K23" s="6">
        <v>0</v>
      </c>
      <c r="L23" s="3" t="s">
        <v>15</v>
      </c>
    </row>
    <row r="24" spans="1:12" ht="29" x14ac:dyDescent="0.35">
      <c r="A24" s="2">
        <v>2025</v>
      </c>
      <c r="B24" s="2">
        <v>12</v>
      </c>
      <c r="C24" s="3" t="s">
        <v>53</v>
      </c>
      <c r="D24" s="3" t="s">
        <v>54</v>
      </c>
      <c r="E24" s="3" t="s">
        <v>14</v>
      </c>
      <c r="F24" s="4">
        <v>1</v>
      </c>
      <c r="G24" s="5">
        <v>0</v>
      </c>
      <c r="H24" s="4">
        <v>1</v>
      </c>
      <c r="I24" s="5">
        <v>0</v>
      </c>
      <c r="J24" s="2">
        <v>230.87</v>
      </c>
      <c r="K24" s="6">
        <v>0</v>
      </c>
      <c r="L24" s="3" t="s">
        <v>15</v>
      </c>
    </row>
    <row r="25" spans="1:12" ht="29" x14ac:dyDescent="0.35">
      <c r="A25" s="2">
        <v>2025</v>
      </c>
      <c r="B25" s="2">
        <v>12</v>
      </c>
      <c r="C25" s="3" t="s">
        <v>55</v>
      </c>
      <c r="D25" s="3" t="s">
        <v>56</v>
      </c>
      <c r="E25" s="3" t="s">
        <v>14</v>
      </c>
      <c r="F25" s="4">
        <v>1</v>
      </c>
      <c r="G25" s="5">
        <v>103.1615</v>
      </c>
      <c r="H25" s="4">
        <v>1</v>
      </c>
      <c r="I25" s="5">
        <v>103.1615</v>
      </c>
      <c r="J25" s="2">
        <v>230.87</v>
      </c>
      <c r="K25" s="6">
        <v>23816.895505</v>
      </c>
      <c r="L25" s="3" t="s">
        <v>15</v>
      </c>
    </row>
    <row r="26" spans="1:12" ht="29" x14ac:dyDescent="0.35">
      <c r="A26" s="2">
        <v>2025</v>
      </c>
      <c r="B26" s="2">
        <v>12</v>
      </c>
      <c r="C26" s="3" t="s">
        <v>57</v>
      </c>
      <c r="D26" s="3" t="s">
        <v>58</v>
      </c>
      <c r="E26" s="3" t="s">
        <v>14</v>
      </c>
      <c r="F26" s="4">
        <v>1</v>
      </c>
      <c r="G26" s="5">
        <v>0</v>
      </c>
      <c r="H26" s="4">
        <v>1</v>
      </c>
      <c r="I26" s="5">
        <v>0</v>
      </c>
      <c r="J26" s="2">
        <v>230.87</v>
      </c>
      <c r="K26" s="6">
        <v>0</v>
      </c>
      <c r="L26" s="3" t="s">
        <v>15</v>
      </c>
    </row>
    <row r="27" spans="1:12" ht="29" x14ac:dyDescent="0.35">
      <c r="A27" s="2">
        <v>2025</v>
      </c>
      <c r="B27" s="2">
        <v>12</v>
      </c>
      <c r="C27" s="3" t="s">
        <v>59</v>
      </c>
      <c r="D27" s="3" t="s">
        <v>60</v>
      </c>
      <c r="E27" s="3" t="s">
        <v>14</v>
      </c>
      <c r="F27" s="4">
        <v>1</v>
      </c>
      <c r="G27" s="5">
        <v>1065.4349999999999</v>
      </c>
      <c r="H27" s="4">
        <v>1</v>
      </c>
      <c r="I27" s="5">
        <v>1065.4349999999999</v>
      </c>
      <c r="J27" s="2">
        <v>230.87</v>
      </c>
      <c r="K27" s="6">
        <v>245976.97845</v>
      </c>
      <c r="L27" s="3" t="s">
        <v>15</v>
      </c>
    </row>
    <row r="28" spans="1:12" x14ac:dyDescent="0.35">
      <c r="A28" s="2">
        <v>2025</v>
      </c>
      <c r="B28" s="2">
        <v>12</v>
      </c>
      <c r="C28" s="3" t="s">
        <v>61</v>
      </c>
      <c r="D28" s="3" t="s">
        <v>62</v>
      </c>
      <c r="E28" s="3" t="s">
        <v>14</v>
      </c>
      <c r="F28" s="4">
        <v>1</v>
      </c>
      <c r="G28" s="5">
        <v>0</v>
      </c>
      <c r="H28" s="4">
        <v>1</v>
      </c>
      <c r="I28" s="5">
        <v>0</v>
      </c>
      <c r="J28" s="2">
        <v>230.87</v>
      </c>
      <c r="K28" s="6">
        <v>0</v>
      </c>
      <c r="L28" s="3" t="s">
        <v>15</v>
      </c>
    </row>
    <row r="29" spans="1:12" x14ac:dyDescent="0.35">
      <c r="A29" s="2">
        <v>2025</v>
      </c>
      <c r="B29" s="2">
        <v>12</v>
      </c>
      <c r="C29" s="3" t="s">
        <v>63</v>
      </c>
      <c r="D29" s="3" t="s">
        <v>64</v>
      </c>
      <c r="E29" s="3" t="s">
        <v>14</v>
      </c>
      <c r="F29" s="4">
        <v>1</v>
      </c>
      <c r="G29" s="5">
        <v>0</v>
      </c>
      <c r="H29" s="4">
        <v>1</v>
      </c>
      <c r="I29" s="5">
        <v>0</v>
      </c>
      <c r="J29" s="2">
        <v>230.87</v>
      </c>
      <c r="K29" s="6">
        <v>0</v>
      </c>
      <c r="L29" s="3" t="s">
        <v>15</v>
      </c>
    </row>
    <row r="30" spans="1:12" x14ac:dyDescent="0.35">
      <c r="A30" s="2">
        <v>2025</v>
      </c>
      <c r="B30" s="2">
        <v>12</v>
      </c>
      <c r="C30" s="3" t="s">
        <v>65</v>
      </c>
      <c r="D30" s="3" t="s">
        <v>66</v>
      </c>
      <c r="E30" s="3" t="s">
        <v>14</v>
      </c>
      <c r="F30" s="4">
        <v>1</v>
      </c>
      <c r="G30" s="5">
        <v>384.32</v>
      </c>
      <c r="H30" s="4">
        <v>1</v>
      </c>
      <c r="I30" s="5">
        <v>384.32</v>
      </c>
      <c r="J30" s="2">
        <v>230.87</v>
      </c>
      <c r="K30" s="6">
        <v>88727.958400000003</v>
      </c>
      <c r="L30" s="3" t="s">
        <v>15</v>
      </c>
    </row>
    <row r="31" spans="1:12" x14ac:dyDescent="0.35">
      <c r="A31" s="3" t="s">
        <v>67</v>
      </c>
      <c r="B31" s="3" t="s">
        <v>67</v>
      </c>
      <c r="C31" s="3" t="s">
        <v>67</v>
      </c>
      <c r="D31" s="3" t="s">
        <v>67</v>
      </c>
      <c r="E31" s="3" t="s">
        <v>67</v>
      </c>
      <c r="F31" s="3" t="s">
        <v>67</v>
      </c>
      <c r="G31" s="3" t="s">
        <v>67</v>
      </c>
      <c r="H31" s="3" t="s">
        <v>67</v>
      </c>
      <c r="I31" s="3" t="s">
        <v>67</v>
      </c>
      <c r="J31" s="3" t="s">
        <v>67</v>
      </c>
      <c r="K31" s="3" t="s">
        <v>67</v>
      </c>
      <c r="L31" s="3" t="s">
        <v>67</v>
      </c>
    </row>
  </sheetData>
  <autoFilter ref="A1:M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6C7F7-57CF-4DFC-9BA8-BA67211AC345}">
  <dimension ref="A1:M4"/>
  <sheetViews>
    <sheetView workbookViewId="0">
      <selection activeCell="C5" sqref="C5"/>
    </sheetView>
  </sheetViews>
  <sheetFormatPr baseColWidth="10" defaultColWidth="8.7265625" defaultRowHeight="14.5" x14ac:dyDescent="0.35"/>
  <cols>
    <col min="1" max="1" width="7.7265625" style="7" customWidth="1"/>
    <col min="2" max="2" width="7.453125" style="7" customWidth="1"/>
    <col min="3" max="3" width="10.90625" style="7" customWidth="1"/>
    <col min="4" max="4" width="42.08984375" style="7" customWidth="1"/>
    <col min="5" max="5" width="34.7265625" style="7" customWidth="1"/>
    <col min="6" max="6" width="13.81640625" style="7" customWidth="1"/>
    <col min="7" max="7" width="17.36328125" style="7" customWidth="1"/>
    <col min="8" max="8" width="5.54296875" style="7" customWidth="1"/>
    <col min="9" max="11" width="13.81640625" style="7" customWidth="1"/>
    <col min="12" max="12" width="34.453125" style="7" customWidth="1"/>
    <col min="13" max="13" width="14.1796875" style="7" customWidth="1"/>
    <col min="14" max="16384" width="8.7265625" style="7"/>
  </cols>
  <sheetData>
    <row r="1" spans="1:13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77</v>
      </c>
      <c r="H1" s="12" t="s">
        <v>7</v>
      </c>
      <c r="I1" s="12" t="s">
        <v>8</v>
      </c>
      <c r="J1" s="12" t="s">
        <v>76</v>
      </c>
      <c r="K1" s="12" t="s">
        <v>10</v>
      </c>
      <c r="L1" s="12" t="s">
        <v>11</v>
      </c>
      <c r="M1" s="12" t="s">
        <v>75</v>
      </c>
    </row>
    <row r="2" spans="1:13" ht="29" x14ac:dyDescent="0.35">
      <c r="A2" s="10">
        <v>2025</v>
      </c>
      <c r="B2" s="10">
        <v>12</v>
      </c>
      <c r="C2" s="8" t="s">
        <v>74</v>
      </c>
      <c r="D2" s="8" t="s">
        <v>73</v>
      </c>
      <c r="E2" s="8" t="s">
        <v>70</v>
      </c>
      <c r="F2" s="10">
        <v>2</v>
      </c>
      <c r="G2" s="11">
        <v>0</v>
      </c>
      <c r="H2" s="10">
        <v>12</v>
      </c>
      <c r="I2" s="11">
        <v>0</v>
      </c>
      <c r="J2" s="10">
        <v>0</v>
      </c>
      <c r="K2" s="9">
        <v>0</v>
      </c>
      <c r="L2" s="8" t="s">
        <v>69</v>
      </c>
      <c r="M2" s="8" t="s">
        <v>68</v>
      </c>
    </row>
    <row r="3" spans="1:13" x14ac:dyDescent="0.35">
      <c r="A3" s="10">
        <v>2025</v>
      </c>
      <c r="B3" s="10">
        <v>12</v>
      </c>
      <c r="C3" s="8" t="s">
        <v>72</v>
      </c>
      <c r="D3" s="8" t="s">
        <v>71</v>
      </c>
      <c r="E3" s="8" t="s">
        <v>70</v>
      </c>
      <c r="F3" s="10">
        <v>3</v>
      </c>
      <c r="G3" s="11">
        <v>16.79</v>
      </c>
      <c r="H3" s="10">
        <v>1</v>
      </c>
      <c r="I3" s="11">
        <v>16.79</v>
      </c>
      <c r="J3" s="10">
        <v>0</v>
      </c>
      <c r="K3" s="9">
        <v>0</v>
      </c>
      <c r="L3" s="8" t="s">
        <v>69</v>
      </c>
      <c r="M3" s="8" t="s">
        <v>68</v>
      </c>
    </row>
    <row r="4" spans="1:13" x14ac:dyDescent="0.35">
      <c r="A4" s="8" t="s">
        <v>67</v>
      </c>
      <c r="B4" s="8" t="s">
        <v>67</v>
      </c>
      <c r="C4" s="8" t="s">
        <v>67</v>
      </c>
      <c r="D4" s="8" t="s">
        <v>67</v>
      </c>
      <c r="E4" s="8" t="s">
        <v>67</v>
      </c>
      <c r="F4" s="8" t="s">
        <v>67</v>
      </c>
      <c r="G4" s="8" t="s">
        <v>67</v>
      </c>
      <c r="H4" s="8" t="s">
        <v>67</v>
      </c>
      <c r="I4" s="8" t="s">
        <v>67</v>
      </c>
      <c r="J4" s="8" t="s">
        <v>67</v>
      </c>
      <c r="K4" s="8" t="s">
        <v>67</v>
      </c>
      <c r="L4" s="8" t="s">
        <v>67</v>
      </c>
      <c r="M4" s="8" t="s">
        <v>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B60C3AFF74D14783B9182160E321C2" ma:contentTypeVersion="6" ma:contentTypeDescription="Crear nuevo documento." ma:contentTypeScope="" ma:versionID="17d5ace27923094940ed3f68dc6093ef">
  <xsd:schema xmlns:xsd="http://www.w3.org/2001/XMLSchema" xmlns:xs="http://www.w3.org/2001/XMLSchema" xmlns:p="http://schemas.microsoft.com/office/2006/metadata/properties" xmlns:ns2="5c115796-58fe-44f6-ba47-f46ab1db4e56" xmlns:ns3="de508179-c69d-4d99-91c5-d45c11010b84" targetNamespace="http://schemas.microsoft.com/office/2006/metadata/properties" ma:root="true" ma:fieldsID="d9f2e4cad789fe3680f615ffb066a9fa" ns2:_="" ns3:_="">
    <xsd:import namespace="5c115796-58fe-44f6-ba47-f46ab1db4e56"/>
    <xsd:import namespace="de508179-c69d-4d99-91c5-d45c11010b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115796-58fe-44f6-ba47-f46ab1db4e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508179-c69d-4d99-91c5-d45c11010b8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B45A03-4A42-4E97-8B27-6AE23BC8849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D219FFE-842E-4253-8057-2FABE29DAA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69C39C-ED41-459C-BF5D-17D26B71BF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115796-58fe-44f6-ba47-f46ab1db4e56"/>
    <ds:schemaRef ds:uri="de508179-c69d-4d99-91c5-d45c11010b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SDL-BIAC-15</vt:lpstr>
      <vt:lpstr>SDL-BIAC-INDUCTIVA</vt:lpstr>
      <vt:lpstr>SDL-CMMC-CAPACITIVA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Sebastián Vanegas Velásquez</dc:creator>
  <cp:lastModifiedBy>Customer Experience</cp:lastModifiedBy>
  <dcterms:created xsi:type="dcterms:W3CDTF">2026-01-06T15:36:08Z</dcterms:created>
  <dcterms:modified xsi:type="dcterms:W3CDTF">2026-01-09T16:30:45Z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0x010100E0B60C3AFF74D14783B9182160E321C2</vt:lpwstr>
  </property>
</Properties>
</file>