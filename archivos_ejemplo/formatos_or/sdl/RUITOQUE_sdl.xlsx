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LIQUIDACIONES\PRELIQUIDACIONES SDL\13. Consumos Diciembre\"/>
    </mc:Choice>
  </mc:AlternateContent>
  <xr:revisionPtr revIDLastSave="0" documentId="8_{D846C7EF-AFB1-46DC-9791-9C6FCC4C2395}" xr6:coauthVersionLast="47" xr6:coauthVersionMax="47" xr10:uidLastSave="{00000000-0000-0000-0000-000000000000}"/>
  <bookViews>
    <workbookView xWindow="-108" yWindow="-108" windowWidth="23256" windowHeight="12456" xr2:uid="{16BB449A-5736-44D6-BF36-8519FBFA2075}"/>
  </bookViews>
  <sheets>
    <sheet name="BIA ENERG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N7" i="1"/>
  <c r="S7" i="1" l="1"/>
  <c r="O7" i="1"/>
  <c r="R7" i="1" l="1"/>
  <c r="T7" i="1" s="1"/>
</calcChain>
</file>

<file path=xl/sharedStrings.xml><?xml version="1.0" encoding="utf-8"?>
<sst xmlns="http://schemas.openxmlformats.org/spreadsheetml/2006/main" count="25" uniqueCount="25">
  <si>
    <t>RUITOQUE SA ESP</t>
  </si>
  <si>
    <t>Código de cliente</t>
  </si>
  <si>
    <t>Código SIC</t>
  </si>
  <si>
    <t>Nombre</t>
  </si>
  <si>
    <t>NT</t>
  </si>
  <si>
    <t>Comercializador</t>
  </si>
  <si>
    <t>Días</t>
  </si>
  <si>
    <t>Activa</t>
  </si>
  <si>
    <t>R_Inductiva Penalizada</t>
  </si>
  <si>
    <t>R_Capacitiva Penalizada</t>
  </si>
  <si>
    <t>Tarifa Activa</t>
  </si>
  <si>
    <t>Tarifa Reactiva</t>
  </si>
  <si>
    <t>Valor Activa</t>
  </si>
  <si>
    <t>MESES ACUMULADOS</t>
  </si>
  <si>
    <t>Factor M</t>
  </si>
  <si>
    <t>Valor R_Inductiva</t>
  </si>
  <si>
    <t>Valor R_Capacitiva</t>
  </si>
  <si>
    <t>Total</t>
  </si>
  <si>
    <t>Frt51985</t>
  </si>
  <si>
    <t>AQUALIA BOMBEO DE ACUEDUCTO</t>
  </si>
  <si>
    <t>Reactiva Inductiva</t>
  </si>
  <si>
    <t>Reactiva Capacitiva</t>
  </si>
  <si>
    <t>PRE-LIQUIDACIÓN BIA ENERGY</t>
  </si>
  <si>
    <t>BIA ENERGY</t>
  </si>
  <si>
    <t>DICIEMBRE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</si>
</sst>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-&quot;$&quot;\ * #,##0_-;\-&quot;$&quot;\ * #,##0_-;_-&quot;$&quot;\ * &quot;-&quot;??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yriad Variable Concept"/>
      <family val="2"/>
    </font>
    <font>
      <b/>
      <sz val="11"/>
      <color theme="0"/>
      <name val="Myriad Variable Concept"/>
      <family val="2"/>
    </font>
    <font>
      <sz val="16"/>
      <color theme="1"/>
      <name val="Myriad Variable Concept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43" fontId="3" fillId="3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164" fontId="2" fillId="0" borderId="2" xfId="2" applyFont="1" applyBorder="1"/>
    <xf numFmtId="0" fontId="2" fillId="2" borderId="2" xfId="0" applyFont="1" applyFill="1" applyBorder="1" applyAlignment="1">
      <alignment horizontal="center"/>
    </xf>
    <xf numFmtId="165" fontId="2" fillId="0" borderId="2" xfId="2" applyNumberFormat="1" applyFont="1" applyBorder="1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43" fontId="2" fillId="2" borderId="2" xfId="1" applyFont="1" applyFill="1" applyBorder="1" applyAlignment="1">
      <alignment horizontal="right"/>
    </xf>
    <xf numFmtId="43" fontId="2" fillId="0" borderId="0" xfId="0" applyNumberFormat="1" applyFont="1"/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7471</xdr:rowOff>
    </xdr:from>
    <xdr:to>
      <xdr:col>3</xdr:col>
      <xdr:colOff>1531470</xdr:colOff>
      <xdr:row>4</xdr:row>
      <xdr:rowOff>74559</xdr:rowOff>
    </xdr:to>
    <xdr:pic>
      <xdr:nvPicPr>
        <xdr:cNvPr id="2" name="Imagen 1" descr="Interfaz de usuario gráfica&#10;&#10;El contenido generado por IA puede ser incorrecto.">
          <a:extLst>
            <a:ext uri="{FF2B5EF4-FFF2-40B4-BE49-F238E27FC236}">
              <a16:creationId xmlns:a16="http://schemas.microsoft.com/office/drawing/2014/main" id="{75EF3D50-B38F-1134-36F4-F5DBD9FED4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992" t="36452" r="30436" b="37892"/>
        <a:stretch/>
      </xdr:blipFill>
      <xdr:spPr bwMode="auto">
        <a:xfrm>
          <a:off x="0" y="7471"/>
          <a:ext cx="2935941" cy="103826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F1F51-E416-4698-B097-6F994AF4D81F}">
  <dimension ref="B2:T9"/>
  <sheetViews>
    <sheetView showGridLines="0" tabSelected="1" topLeftCell="D1" zoomScale="85" zoomScaleNormal="85" workbookViewId="0">
      <selection activeCell="M7" sqref="M7:N7"/>
    </sheetView>
  </sheetViews>
  <sheetFormatPr baseColWidth="10" defaultColWidth="11.453125" defaultRowHeight="14"/>
  <cols>
    <col min="1" max="1" width="4.54296875" style="1" customWidth="1"/>
    <col min="2" max="2" width="9.81640625" style="1" bestFit="1" customWidth="1"/>
    <col min="3" max="3" width="10.26953125" style="1" bestFit="1" customWidth="1"/>
    <col min="4" max="4" width="31.81640625" style="1" bestFit="1" customWidth="1"/>
    <col min="5" max="5" width="5.1796875" style="1" customWidth="1"/>
    <col min="6" max="6" width="20" style="1" customWidth="1"/>
    <col min="7" max="7" width="8.26953125" style="1" customWidth="1"/>
    <col min="8" max="8" width="11.6328125" style="1" bestFit="1" customWidth="1"/>
    <col min="9" max="10" width="11.453125" style="1"/>
    <col min="11" max="11" width="12.54296875" style="1" bestFit="1" customWidth="1"/>
    <col min="12" max="12" width="12.54296875" style="1" customWidth="1"/>
    <col min="13" max="14" width="11.453125" style="1" customWidth="1"/>
    <col min="15" max="15" width="13.1796875" style="1" bestFit="1" customWidth="1"/>
    <col min="16" max="16" width="14.1796875" style="1" customWidth="1"/>
    <col min="17" max="17" width="11.453125" style="1"/>
    <col min="18" max="19" width="11.453125" style="1" customWidth="1"/>
    <col min="20" max="20" width="14.1796875" style="1" customWidth="1"/>
    <col min="21" max="21" width="11.453125" style="1" customWidth="1"/>
    <col min="22" max="16384" width="11.453125" style="1"/>
  </cols>
  <sheetData>
    <row r="2" spans="2:20" ht="20">
      <c r="J2" s="8" t="s">
        <v>0</v>
      </c>
    </row>
    <row r="3" spans="2:20" ht="20">
      <c r="J3" s="8" t="s">
        <v>22</v>
      </c>
    </row>
    <row r="4" spans="2:20" ht="20">
      <c r="J4" s="9" t="s">
        <v>24</v>
      </c>
    </row>
    <row r="5" spans="2:20" ht="20.5" thickBot="1">
      <c r="J5" s="9"/>
    </row>
    <row r="6" spans="2:20" ht="57" thickTop="1" thickBot="1"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3" t="s">
        <v>7</v>
      </c>
      <c r="I6" s="3" t="s">
        <v>20</v>
      </c>
      <c r="J6" s="3" t="s">
        <v>8</v>
      </c>
      <c r="K6" s="3" t="s">
        <v>21</v>
      </c>
      <c r="L6" s="3" t="s">
        <v>9</v>
      </c>
      <c r="M6" s="3" t="s">
        <v>10</v>
      </c>
      <c r="N6" s="3" t="s">
        <v>11</v>
      </c>
      <c r="O6" s="3" t="s">
        <v>12</v>
      </c>
      <c r="P6" s="3" t="s">
        <v>13</v>
      </c>
      <c r="Q6" s="3" t="s">
        <v>14</v>
      </c>
      <c r="R6" s="3" t="s">
        <v>15</v>
      </c>
      <c r="S6" s="3" t="s">
        <v>16</v>
      </c>
      <c r="T6" s="3" t="s">
        <v>17</v>
      </c>
    </row>
    <row r="7" spans="2:20" ht="14.5" thickTop="1">
      <c r="B7" s="4">
        <v>8000</v>
      </c>
      <c r="C7" s="4" t="s">
        <v>18</v>
      </c>
      <c r="D7" s="4" t="s">
        <v>19</v>
      </c>
      <c r="E7" s="4">
        <v>2</v>
      </c>
      <c r="F7" s="4" t="s">
        <v>23</v>
      </c>
      <c r="G7" s="4">
        <v>31</v>
      </c>
      <c r="H7" s="10">
        <v>148924.79</v>
      </c>
      <c r="I7" s="10">
        <v>60057.866000000002</v>
      </c>
      <c r="J7" s="10">
        <v>27.450500000000002</v>
      </c>
      <c r="K7" s="10">
        <v>54.131</v>
      </c>
      <c r="L7" s="10">
        <v>0</v>
      </c>
      <c r="M7" s="5">
        <f>ROUND(168.531344710346,2)</f>
        <v>168.53</v>
      </c>
      <c r="N7" s="5">
        <f>ROUND(204.697590864148,2)</f>
        <v>204.7</v>
      </c>
      <c r="O7" s="7">
        <f>+ROUND(M7*H7,0)</f>
        <v>25098295</v>
      </c>
      <c r="P7" s="4">
        <v>0</v>
      </c>
      <c r="Q7" s="6">
        <v>1</v>
      </c>
      <c r="R7" s="7">
        <f>+ROUND(N7*J7*Q7,0)</f>
        <v>5619</v>
      </c>
      <c r="S7" s="7">
        <f>+ROUND(L7*N7*Q7,0)</f>
        <v>0</v>
      </c>
      <c r="T7" s="7">
        <f>+S7+R7+O7</f>
        <v>25103914</v>
      </c>
    </row>
    <row r="9" spans="2:20">
      <c r="H9" s="11"/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dc5052-fbe2-4551-ab4f-c3afda8aace5">
      <Terms xmlns="http://schemas.microsoft.com/office/infopath/2007/PartnerControls"/>
    </lcf76f155ced4ddcb4097134ff3c332f>
    <TaxCatchAll xmlns="01a12f77-e104-450c-87d2-db9c56ad451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B62E2F5298F5439C6DB48906814413" ma:contentTypeVersion="12" ma:contentTypeDescription="Crear nuevo documento." ma:contentTypeScope="" ma:versionID="27de748abaea90f9210d88f93288c281">
  <xsd:schema xmlns:xsd="http://www.w3.org/2001/XMLSchema" xmlns:xs="http://www.w3.org/2001/XMLSchema" xmlns:p="http://schemas.microsoft.com/office/2006/metadata/properties" xmlns:ns2="72dc5052-fbe2-4551-ab4f-c3afda8aace5" xmlns:ns3="01a12f77-e104-450c-87d2-db9c56ad451e" targetNamespace="http://schemas.microsoft.com/office/2006/metadata/properties" ma:root="true" ma:fieldsID="bfafcf830a654880ba6754ac8cff6cfd" ns2:_="" ns3:_="">
    <xsd:import namespace="72dc5052-fbe2-4551-ab4f-c3afda8aace5"/>
    <xsd:import namespace="01a12f77-e104-450c-87d2-db9c56ad45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c5052-fbe2-4551-ab4f-c3afda8aac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9d888425-3af9-4008-8c3b-ed623f5daa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a12f77-e104-450c-87d2-db9c56ad451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bc4cb12-49eb-462c-a3e8-1889f13dec98}" ma:internalName="TaxCatchAll" ma:showField="CatchAllData" ma:web="01a12f77-e104-450c-87d2-db9c56ad45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6CFE38-D450-4B9D-88FE-B34BC1F246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B6FA3AA-D771-4D4B-AE62-E9FEC875CED5}">
  <ds:schemaRefs>
    <ds:schemaRef ds:uri="http://schemas.microsoft.com/office/2006/metadata/properties"/>
    <ds:schemaRef ds:uri="http://schemas.microsoft.com/office/infopath/2007/PartnerControls"/>
    <ds:schemaRef ds:uri="72dc5052-fbe2-4551-ab4f-c3afda8aace5"/>
    <ds:schemaRef ds:uri="01a12f77-e104-450c-87d2-db9c56ad451e"/>
  </ds:schemaRefs>
</ds:datastoreItem>
</file>

<file path=customXml/itemProps3.xml><?xml version="1.0" encoding="utf-8"?>
<ds:datastoreItem xmlns:ds="http://schemas.openxmlformats.org/officeDocument/2006/customXml" ds:itemID="{57AE85C6-DAC3-4045-88AA-B9CA7059B6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dc5052-fbe2-4551-ab4f-c3afda8aace5"/>
    <ds:schemaRef ds:uri="01a12f77-e104-450c-87d2-db9c56ad45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BIA ENERGY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Telemedida CGM</dc:creator>
  <cp:keywords/>
  <dc:description/>
  <cp:lastModifiedBy>Customer Experience</cp:lastModifiedBy>
  <cp:revision/>
  <dcterms:created xsi:type="dcterms:W3CDTF">2023-07-28T14:02:07Z</dcterms:created>
  <dcterms:modified xsi:type="dcterms:W3CDTF">2026-01-09T22:27:14Z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0x01010075B62E2F5298F5439C6DB48906814413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MediaServiceImageTags">
    <vt:lpwstr/>
  </property>
</Properties>
</file>